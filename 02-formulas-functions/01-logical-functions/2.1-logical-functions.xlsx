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Labs" sheetId="3" state="visible" r:id="rId3"/>
    <sheet name="ED" sheetId="4" state="visible" r:id="rId4"/>
    <sheet name="Bonus" sheetId="5" state="visible" r:id="rId5"/>
    <sheet name="Answer Key" sheetId="6" state="hidden" r:id="rId6"/>
    <sheet name="Bonus Key" sheetId="7" state="hidden" r:id="rId7"/>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h:mm:ss"/>
    <numFmt numFmtId="165" formatCode="mm/dd/yyyy hh:mm"/>
    <numFmt numFmtId="166" formatCode="0.0"/>
  </numFmts>
  <fonts count="17">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39">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3" borderId="2" applyAlignment="1" pivotButton="0" quotePrefix="0" xfId="0">
      <alignment horizontal="right" vertical="top"/>
    </xf>
    <xf numFmtId="0" fontId="1" fillId="0" borderId="1" applyAlignment="1" pivotButton="0" quotePrefix="0" xfId="0">
      <alignment vertical="top"/>
    </xf>
    <xf numFmtId="0" fontId="11" fillId="6" borderId="1" applyAlignment="1" pivotButton="0" quotePrefix="0" xfId="0">
      <alignment horizontal="right" vertical="top"/>
    </xf>
    <xf numFmtId="0" fontId="1" fillId="0" borderId="0" pivotButton="0" quotePrefix="0" xfId="0"/>
    <xf numFmtId="0" fontId="2" fillId="2" borderId="0" pivotButton="0" quotePrefix="0" xfId="0"/>
    <xf numFmtId="165" fontId="0" fillId="0" borderId="0" pivotButton="0" quotePrefix="0" xfId="0"/>
    <xf numFmtId="0" fontId="0" fillId="3" borderId="0" pivotButton="0" quotePrefix="0" xfId="0"/>
    <xf numFmtId="166" fontId="0" fillId="0" borderId="0" pivotButton="0" quotePrefix="0" xfId="0"/>
    <xf numFmtId="2" fontId="0" fillId="3" borderId="0" pivotButton="0" quotePrefix="0" xfId="0"/>
    <xf numFmtId="166" fontId="0" fillId="3" borderId="2" applyAlignment="1" pivotButton="0" quotePrefix="0" xfId="0">
      <alignment horizontal="right" vertical="top"/>
    </xf>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0" fontId="0" fillId="0" borderId="1" applyAlignment="1" pivotButton="0" quotePrefix="0" xfId="0">
      <alignment vertical="top"/>
    </xf>
    <xf numFmtId="166" fontId="1" fillId="0" borderId="1" applyAlignment="1" pivotButton="0" quotePrefix="0" xfId="0">
      <alignment vertical="top" wrapText="1"/>
    </xf>
    <xf numFmtId="166"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 Id="rIdXlcMeta" Type="http://schemas.openxmlformats.org/officeDocument/2006/relationships/sheetMetadata" Target="metadata.xml"/></Relationships>
</file>

<file path=xl/tables/table1.xml><?xml version="1.0" encoding="utf-8"?>
<table xmlns="http://schemas.openxmlformats.org/spreadsheetml/2006/main" id="1" name="tblLabs" displayName="tblLabs" ref="A1:J392" headerRowCount="1">
  <autoFilter ref="A1:J392"/>
  <tableColumns count="10">
    <tableColumn id="1" name="LabResultID"/>
    <tableColumn id="2" name="PatientID"/>
    <tableColumn id="3" name="CollectedDateTime"/>
    <tableColumn id="4" name="TestName"/>
    <tableColumn id="5" name="ResultValue"/>
    <tableColumn id="6" name="Units"/>
    <tableColumn id="7" name="RefLow"/>
    <tableColumn id="8" name="RefHigh"/>
    <tableColumn id="9" name="Priority"/>
    <tableColumn id="10" name="Flag"/>
  </tableColumns>
  <tableStyleInfo name="TableStyleMedium2" showRowStripes="1"/>
</table>
</file>

<file path=xl/tables/table2.xml><?xml version="1.0" encoding="utf-8"?>
<table xmlns="http://schemas.openxmlformats.org/spreadsheetml/2006/main" id="2" name="tblED" displayName="tblED" ref="A1:R424" headerRowCount="1">
  <autoFilter ref="A1:R424"/>
  <tableColumns count="18">
    <tableColumn id="1" name="EDVisitID"/>
    <tableColumn id="2" name="ArrivalDateTime"/>
    <tableColumn id="3" name="ArrivalMode"/>
    <tableColumn id="4" name="ESILevel"/>
    <tableColumn id="5" name="ChiefComplaint"/>
    <tableColumn id="6" name="TempF"/>
    <tableColumn id="7" name="HeartRate"/>
    <tableColumn id="8" name="RespRate"/>
    <tableColumn id="9" name="SystolicBP"/>
    <tableColumn id="10" name="SpO2"/>
    <tableColumn id="11" name="PainScore"/>
    <tableColumn id="12" name="EDDisposition"/>
    <tableColumn id="13" name="PainLevel"/>
    <tableColumn id="14" name="FastTrack"/>
    <tableColumn id="15" name="SIRS"/>
    <tableColumn id="16" name="ESIName"/>
    <tableColumn id="17" name="ShockIndex"/>
    <tableColumn id="18" name="qSOF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001F4E79"/>
    <outlinePr summaryBelow="1" summaryRight="1"/>
    <pageSetUpPr fitToPage="1"/>
  </sheetPr>
  <dimension ref="B2:C30"/>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2.1</t>
        </is>
      </c>
    </row>
    <row r="3">
      <c r="B3" s="2" t="inlineStr">
        <is>
          <t>Logical Functions: IF, AND, OR, IFS &amp; More</t>
        </is>
      </c>
    </row>
    <row r="4">
      <c r="B4" s="3" t="inlineStr">
        <is>
          <t>Beginner → Intermediate  ·  about 50 minutes  ·  Bluestone Health System (fictional)</t>
        </is>
      </c>
    </row>
    <row r="6">
      <c r="B6" s="4" t="inlineStr">
        <is>
          <t>What you'll learn</t>
        </is>
      </c>
      <c r="C6" s="5" t="n"/>
    </row>
    <row r="7" ht="18" customHeight="1">
      <c r="B7" s="6" t="inlineStr">
        <is>
          <t>•</t>
        </is>
      </c>
      <c r="C7" s="7" t="inlineStr">
        <is>
          <t>Compare values to produce TRUE/FALSE and use booleans in math</t>
        </is>
      </c>
    </row>
    <row r="8" ht="18" customHeight="1">
      <c r="B8" s="6" t="inlineStr">
        <is>
          <t>•</t>
        </is>
      </c>
      <c r="C8" s="7" t="inlineStr">
        <is>
          <t>Make decisions with IF, nested IF, and IFS</t>
        </is>
      </c>
    </row>
    <row r="9" ht="18" customHeight="1">
      <c r="B9" s="6" t="inlineStr">
        <is>
          <t>•</t>
        </is>
      </c>
      <c r="C9" s="7" t="inlineStr">
        <is>
          <t>Combine conditions with AND, OR, NOT (and XOR)</t>
        </is>
      </c>
    </row>
    <row r="10" ht="18" customHeight="1">
      <c r="B10" s="6" t="inlineStr">
        <is>
          <t>•</t>
        </is>
      </c>
      <c r="C10" s="7" t="inlineStr">
        <is>
          <t>Map codes to labels with SWITCH; trap errors with IFERROR and IFNA</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https://github.com/lmansf/learn-excel/tree/main/02-formulas-functions/01-logical-functions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The clinical rules in this lesson (lab flags, SIRS, qSOFA, shock index, fast track) are simplified for teaching spreadsheet logic. They are not clinical guidance.</t>
        </is>
      </c>
    </row>
    <row r="20">
      <c r="B20" s="4" t="inlineStr">
        <is>
          <t>Color legend</t>
        </is>
      </c>
      <c r="C20" s="5" t="n"/>
    </row>
    <row r="21" ht="18" customHeight="1">
      <c r="B21" s="9" t="inlineStr">
        <is>
          <t>Yellow cell</t>
        </is>
      </c>
      <c r="C21" s="7" t="inlineStr">
        <is>
          <t>Your answer goes here.</t>
        </is>
      </c>
    </row>
    <row r="22" ht="18" customHeight="1">
      <c r="B22" s="10" t="inlineStr">
        <is>
          <t>Gray cell</t>
        </is>
      </c>
      <c r="C22" s="7" t="inlineStr">
        <is>
          <t>Pre-filled summary formula — it reads the work you did on another sheet.</t>
        </is>
      </c>
    </row>
    <row r="23" ht="18" customHeight="1">
      <c r="B23" s="11" t="inlineStr">
        <is>
          <t>✔ Correct</t>
        </is>
      </c>
      <c r="C23" s="7" t="inlineStr">
        <is>
          <t>Your answer matches the key.</t>
        </is>
      </c>
    </row>
    <row r="24" ht="18" customHeight="1">
      <c r="B24" s="12" t="inlineStr">
        <is>
          <t>✘ Not yet</t>
        </is>
      </c>
      <c r="C24" s="7" t="inlineStr">
        <is>
          <t>Not matching yet — check the hint and try again.</t>
        </is>
      </c>
    </row>
    <row r="26">
      <c r="B26" s="4" t="inlineStr">
        <is>
          <t>Sheets in this workbook</t>
        </is>
      </c>
      <c r="C26" s="5" t="n"/>
    </row>
    <row r="27" ht="18" customHeight="1">
      <c r="B27" s="8" t="inlineStr">
        <is>
          <t>Labs</t>
        </is>
      </c>
      <c r="C27" s="7" t="inlineStr">
        <is>
          <t>Data: 391 rows — Excel Table 'tblLabs'</t>
        </is>
      </c>
    </row>
    <row r="28" ht="18" customHeight="1">
      <c r="B28" s="8" t="inlineStr">
        <is>
          <t>ED</t>
        </is>
      </c>
      <c r="C28" s="7" t="inlineStr">
        <is>
          <t>Data: 423 rows — Excel Table 'tblED'</t>
        </is>
      </c>
    </row>
    <row r="29" ht="48" customHeight="1">
      <c r="B29" s="8" t="inlineStr">
        <is>
          <t>About the data</t>
        </is>
      </c>
      <c r="C29" s="7" t="inlineStr">
        <is>
          <t>391 lab results collected December 1–4, 2025 across Bluestone Health, and all 423 emergency department visits at Bluestone Memorial Hospital in December 2025 with triage vital signs. Triage blood pressure was not recorded for 12 of those visits.</t>
        </is>
      </c>
    </row>
    <row r="30" ht="18" customHeight="1">
      <c r="B30" s="8" t="inlineStr">
        <is>
          <t>Disclaimer</t>
        </is>
      </c>
      <c r="C30"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2.1 · Practice</t>
        </is>
      </c>
    </row>
    <row r="2" ht="64" customHeight="1">
      <c r="A2" s="14" t="inlineStr">
        <is>
          <t>Tasks 1–3 use the Labs sheet. Tasks 4–13 use the ED sheet. Several tasks ask you to fill one of the yellow columns on a data sheet: type the formula in the first data row and Excel fills the rest of the Table column for you (if it doesn't, double-click the fill handle). The gray cell on this sheet then summarizes your column. When a formula on this sheet points at a data sheet, include the sheet name (for example Labs!E38), or click the cell on that sheet and Excel adds the name for you.</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Labs row 38 holds a White Blood Cell Count result of 11 K/uL. Write a comparison that returns TRUE if that ResultValue is greater than its RefHigh, and FALSE if not.</t>
        </is>
      </c>
      <c r="C6" s="20" t="inlineStr">
        <is>
          <t>A comparison needs no function: just =cell&gt;cell. Include the sheet name (Labs!) in both references</t>
        </is>
      </c>
      <c r="D6" s="21" t="n"/>
      <c r="E6" s="22">
        <f>IF(IFERROR(D6="",FALSE),"",IF(IFERROR(D6='Answer Key'!$C$5,FALSE),"✔ Correct","✘ Not yet"))</f>
        <v/>
      </c>
    </row>
    <row r="7" ht="51" customHeight="1">
      <c r="A7" s="18" t="inlineStr">
        <is>
          <t>2</t>
        </is>
      </c>
      <c r="B7" s="19" t="inlineStr">
        <is>
          <t>How many of the lab results are above their reference high (ResultValue greater than RefHigh)? Use one formula that turns every row's comparison into a 1 or 0 and adds them up.</t>
        </is>
      </c>
      <c r="C7" s="20" t="inlineStr">
        <is>
          <t>-- turns TRUE/FALSE into 1/0, and SUMPRODUCT adds them up</t>
        </is>
      </c>
      <c r="D7" s="21" t="n"/>
      <c r="E7" s="22">
        <f>IF(IFERROR(D7="",FALSE),"",IF(IFERROR(AND(ISNUMBER(D7),OR(ABS(D7-'Answer Key'!$C$6)&lt;=0.0001)),FALSE),"✔ Correct","✘ Not yet"))</f>
        <v/>
      </c>
    </row>
    <row r="8" ht="66" customHeight="1">
      <c r="A8" s="18" t="inlineStr">
        <is>
          <t>3</t>
        </is>
      </c>
      <c r="B8" s="19" t="inlineStr">
        <is>
          <t>Fill the yellow Flag column on the Labs sheet with a nested IF: "High" if ResultValue is greater than RefHigh, "Low" if it is less than RefLow, otherwise "Normal". A result exactly on a limit is Normal. Start in J2. The gray cell counts your "Normal" flags.</t>
        </is>
      </c>
      <c r="C8" s="20" t="inlineStr">
        <is>
          <t>IF(test, "High", IF(test, "Low", "Normal"))</t>
        </is>
      </c>
      <c r="D8" cm="1" s="23">
        <f t="array" ref="D8">IF(COUNTA('Labs'!$J$2:$J$392)=0,"",COUNTIF('Labs'!$J$2:$J$392,"Normal"))</f>
        <v/>
      </c>
      <c r="E8" s="22">
        <f>IF(IFERROR(D8="",FALSE),"",IF(IFERROR(AND(ISNUMBER(D8),OR(ABS(D8-'Answer Key'!$C$7)&lt;=0.0001)),FALSE),"✔ Correct","✘ Not yet"))</f>
        <v/>
      </c>
    </row>
    <row r="9" ht="51" customHeight="1">
      <c r="A9" s="18" t="inlineStr">
        <is>
          <t>4</t>
        </is>
      </c>
      <c r="B9" s="19" t="inlineStr">
        <is>
          <t>Fill the yellow PainLevel column on the ED sheet with IFS: PainScore 0 is "None", 1–3 is "Mild", 4–6 is "Moderate", and 7–10 is "Severe". Start in M2. The gray cell counts your "Moderate" rows.</t>
        </is>
      </c>
      <c r="C9" s="20" t="inlineStr">
        <is>
          <t>Test from the lowest band up, and end with TRUE as the catch-all</t>
        </is>
      </c>
      <c r="D9" cm="1" s="23">
        <f t="array" ref="D9">IF(COUNTA('ED'!$M$2:$M$424)=0,"",COUNTIF('ED'!$M$2:$M$424,"Moderate"))</f>
        <v/>
      </c>
      <c r="E9" s="22">
        <f>IF(IFERROR(D9="",FALSE),"",IF(IFERROR(AND(ISNUMBER(D9),OR(ABS(D9-'Answer Key'!$C$8)&lt;=0.0001)),FALSE),"✔ Correct","✘ Not yet"))</f>
        <v/>
      </c>
    </row>
    <row r="10" ht="36" customHeight="1">
      <c r="A10" s="18" t="inlineStr">
        <is>
          <t>5</t>
        </is>
      </c>
      <c r="B10" s="19" t="inlineStr">
        <is>
          <t>How many ED visits had an abnormal temperature: TempF above 100.4 OR below 96.8?</t>
        </is>
      </c>
      <c r="C10" s="20" t="inlineStr">
        <is>
          <t>Adding two TRUE/FALSE lists works like OR when both can't be TRUE at once</t>
        </is>
      </c>
      <c r="D10" s="21" t="n"/>
      <c r="E10" s="22">
        <f>IF(IFERROR(D10="",FALSE),"",IF(IFERROR(AND(ISNUMBER(D10),OR(ABS(D10-'Answer Key'!$C$9)&lt;=0.0001)),FALSE),"✔ Correct","✘ Not yet"))</f>
        <v/>
      </c>
    </row>
    <row r="11" ht="36" customHeight="1">
      <c r="A11" s="18" t="inlineStr">
        <is>
          <t>6</t>
        </is>
      </c>
      <c r="B11" s="19" t="inlineStr">
        <is>
          <t>How many visits had BOTH a fever (TempF above 100.4) AND tachycardia (HeartRate above 90)?</t>
        </is>
      </c>
      <c r="C11" s="20" t="inlineStr">
        <is>
          <t>Multiplying two TRUE/FALSE lists works like AND</t>
        </is>
      </c>
      <c r="D11" s="21" t="n"/>
      <c r="E11" s="22">
        <f>IF(IFERROR(D11="",FALSE),"",IF(IFERROR(AND(ISNUMBER(D11),OR(ABS(D11-'Answer Key'!$C$10)&lt;=0.0001)),FALSE),"✔ Correct","✘ Not yet"))</f>
        <v/>
      </c>
    </row>
    <row r="12" ht="51" customHeight="1">
      <c r="A12" s="18" t="inlineStr">
        <is>
          <t>7</t>
        </is>
      </c>
      <c r="B12" s="19" t="inlineStr">
        <is>
          <t>The sepsis coordinator already reviews visits with both signs. How many visits had exactly ONE of the two: a fever (TempF above 100.4) or tachycardia (HeartRate above 90), but not both?</t>
        </is>
      </c>
      <c r="C12" s="20" t="inlineStr">
        <is>
          <t>This is XOR logic. Use XOR in a helper column, or compare the two TRUE/FALSE lists with &lt;&gt;</t>
        </is>
      </c>
      <c r="D12" s="21" t="n"/>
      <c r="E12" s="22">
        <f>IF(IFERROR(D12="",FALSE),"",IF(IFERROR(AND(ISNUMBER(D12),OR(ABS(D12-'Answer Key'!$C$11)&lt;=0.0001)),FALSE),"✔ Correct","✘ Not yet"))</f>
        <v/>
      </c>
    </row>
    <row r="13" ht="66" customHeight="1">
      <c r="A13" s="18" t="inlineStr">
        <is>
          <t>8</t>
        </is>
      </c>
      <c r="B13" s="19" t="inlineStr">
        <is>
          <t>Fill the yellow FastTrack column: "Fast Track" when ESILevel is 4 or 5 AND ArrivalMode is "Walk-In" AND the ChiefComplaint is NOT "Chest Pain" or "Shortness of Breath" (it is neither one). Every other visit is "Main ED". Start in N2. The gray cell counts your "Fast Track" rows.</t>
        </is>
      </c>
      <c r="C13" s="20" t="inlineStr">
        <is>
          <t>IF(AND(…, …, NOT(OR(…, …))), "Fast Track", "Main ED")</t>
        </is>
      </c>
      <c r="D13" cm="1" s="23">
        <f t="array" ref="D13">IF(COUNTA('ED'!$N$2:$N$424)=0,"",COUNTIF('ED'!$N$2:$N$424,"Fast Track"))</f>
        <v/>
      </c>
      <c r="E13" s="22">
        <f>IF(IFERROR(D13="",FALSE),"",IF(IFERROR(AND(ISNUMBER(D13),OR(ABS(D13-'Answer Key'!$C$12)&lt;=0.0001)),FALSE),"✔ Correct","✘ Not yet"))</f>
        <v/>
      </c>
    </row>
    <row r="14" ht="66" customHeight="1">
      <c r="A14" s="18" t="inlineStr">
        <is>
          <t>9</t>
        </is>
      </c>
      <c r="B14" s="19" t="inlineStr">
        <is>
          <t>Fill the yellow SIRS column with a vital-sign SIRS score from 0 to 3: one point for an abnormal temperature (TempF above 100.4 OR below 96.8), one for HeartRate above 90, and one for RespRate above 20. Start in O2. The gray cell adds up your whole column.</t>
        </is>
      </c>
      <c r="C14" s="20" t="inlineStr">
        <is>
          <t>TRUE + TRUE = 2. Add three TRUE/FALSE tests together</t>
        </is>
      </c>
      <c r="D14" cm="1" s="23">
        <f t="array" ref="D14">IF(COUNTA('ED'!$O$2:$O$424)=0,"",SUM('ED'!$O$2:$O$424))</f>
        <v/>
      </c>
      <c r="E14" s="22">
        <f>IF(IFERROR(D14="",FALSE),"",IF(IFERROR(AND(ISNUMBER(D14),OR(ABS(D14-'Answer Key'!$C$13)&lt;=0.0001)),FALSE),"✔ Correct","✘ Not yet"))</f>
        <v/>
      </c>
    </row>
    <row r="15" ht="36" customHeight="1">
      <c r="A15" s="18" t="inlineStr">
        <is>
          <t>10</t>
        </is>
      </c>
      <c r="B15" s="19" t="inlineStr">
        <is>
          <t>How many visits are SIRS-positive, meaning a score of 2 or more in your SIRS column?</t>
        </is>
      </c>
      <c r="C15" s="20" t="inlineStr">
        <is>
          <t>COUNTIF with a "&gt;=2" criterion</t>
        </is>
      </c>
      <c r="D15" s="21" t="n"/>
      <c r="E15" s="22">
        <f>IF(IFERROR(D15="",FALSE),"",IF(IFERROR(AND(ISNUMBER(D15),OR(ABS(D15-'Answer Key'!$C$14)&lt;=0.0001)),FALSE),"✔ Correct","✘ Not yet"))</f>
        <v/>
      </c>
    </row>
    <row r="16" ht="51" customHeight="1">
      <c r="A16" s="18" t="inlineStr">
        <is>
          <t>11</t>
        </is>
      </c>
      <c r="B16" s="19" t="inlineStr">
        <is>
          <t>Fill the yellow ESIName column with SWITCH: ESILevel 1 is "Resuscitation", 2 is "Emergent", 3 is "Urgent", 4 is "Less Urgent", 5 is "Non-Urgent". Start in P2. The gray cell counts your "Emergent" rows.</t>
        </is>
      </c>
      <c r="C16" s="20" t="inlineStr">
        <is>
          <t>SWITCH(value, 1, "…", 2, "…", …)</t>
        </is>
      </c>
      <c r="D16" cm="1" s="23">
        <f t="array" ref="D16">IF(COUNTA('ED'!$P$2:$P$424)=0,"",COUNTIF('ED'!$P$2:$P$424,"Emergent"))</f>
        <v/>
      </c>
      <c r="E16" s="22">
        <f>IF(IFERROR(D16="",FALSE),"",IF(IFERROR(AND(ISNUMBER(D16),OR(ABS(D16-'Answer Key'!$C$15)&lt;=0.0001)),FALSE),"✔ Correct","✘ Not yet"))</f>
        <v/>
      </c>
    </row>
    <row r="17" ht="81" customHeight="1">
      <c r="A17" s="18" t="inlineStr">
        <is>
          <t>12</t>
        </is>
      </c>
      <c r="B17" s="19" t="inlineStr">
        <is>
          <t>Shock index = HeartRate ÷ SystolicBP, and 1.0 or more is a warning sign. Fill the yellow ShockIndex column, wrapping the division in IFERROR so the 12 visits with no SystolicBP show a blank ("") instead of #DIV/0!. Start in Q2. The gray cell counts visits with a shock index of 1.0 or higher (it asks you to fix any errors first).</t>
        </is>
      </c>
      <c r="C17" s="20" t="inlineStr">
        <is>
          <t>IFERROR(value, value_if_error)</t>
        </is>
      </c>
      <c r="D17" cm="1" s="23">
        <f t="array" ref="D17">IF(COUNTA('ED'!$Q$2:$Q$424)=0,"",IF(SUMPRODUCT(--ISERROR('ED'!$Q$2:$Q$424))&gt;0,"Fix the errors first",COUNTIF('ED'!$Q$2:$Q$424,"&gt;=1")))</f>
        <v/>
      </c>
      <c r="E17" s="22">
        <f>IF(IFERROR(D17="",FALSE),"",IF(IFERROR(AND(ISNUMBER(D17),OR(ABS(D17-'Answer Key'!$C$16)&lt;=0.0001)),FALSE),"✔ Correct","✘ Not yet"))</f>
        <v/>
      </c>
    </row>
    <row r="18" ht="51" customHeight="1">
      <c r="A18" s="18" t="inlineStr">
        <is>
          <t>13</t>
        </is>
      </c>
      <c r="B18" s="19" t="inlineStr">
        <is>
          <t>Visit ED211716 (ED row 13) has no SystolicBP. In the yellow cell, calculate its shock index again, but wrap the division in IFNA(…, "") instead of IFERROR. The check turns green when your cell shows the error that IFNA lets through.</t>
        </is>
      </c>
      <c r="C18" s="20" t="inlineStr">
        <is>
          <t>IFNA traps only one kind of error</t>
        </is>
      </c>
      <c r="D18" s="21" t="n"/>
      <c r="E18" s="22">
        <f>IF(IFERROR(D18="",FALSE),"",IF(IFERROR(AND(IFERROR(ERROR.TYPE(D18)=2,FALSE),ISNUMBER(SEARCH("IFNA",_xlfn.FORMULATEXT(D18)))),FALSE),"✔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J392"/>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7" customWidth="1" min="3" max="3"/>
    <col width="30" customWidth="1" min="4" max="4"/>
    <col width="13" customWidth="1" min="5" max="5"/>
    <col width="9" customWidth="1" min="6" max="6"/>
    <col width="9" customWidth="1" min="7" max="7"/>
    <col width="9" customWidth="1" min="8" max="8"/>
    <col width="10" customWidth="1" min="9" max="9"/>
    <col width="11" customWidth="1" min="10" max="10"/>
  </cols>
  <sheetData>
    <row r="1">
      <c r="A1" s="24" t="inlineStr">
        <is>
          <t>LabResultID</t>
        </is>
      </c>
      <c r="B1" s="24" t="inlineStr">
        <is>
          <t>PatientID</t>
        </is>
      </c>
      <c r="C1" s="24" t="inlineStr">
        <is>
          <t>CollectedDateTime</t>
        </is>
      </c>
      <c r="D1" s="24" t="inlineStr">
        <is>
          <t>TestName</t>
        </is>
      </c>
      <c r="E1" s="24" t="inlineStr">
        <is>
          <t>ResultValue</t>
        </is>
      </c>
      <c r="F1" s="24" t="inlineStr">
        <is>
          <t>Units</t>
        </is>
      </c>
      <c r="G1" s="24" t="inlineStr">
        <is>
          <t>RefLow</t>
        </is>
      </c>
      <c r="H1" s="24" t="inlineStr">
        <is>
          <t>RefHigh</t>
        </is>
      </c>
      <c r="I1" s="24" t="inlineStr">
        <is>
          <t>Priority</t>
        </is>
      </c>
      <c r="J1" s="25" t="inlineStr">
        <is>
          <t>Flag</t>
        </is>
      </c>
    </row>
    <row r="2">
      <c r="A2" t="inlineStr">
        <is>
          <t>LAB749134</t>
        </is>
      </c>
      <c r="B2" t="inlineStr">
        <is>
          <t>PT12857</t>
        </is>
      </c>
      <c r="C2" s="26" t="n">
        <v>45992.26527777778</v>
      </c>
      <c r="D2" t="inlineStr">
        <is>
          <t>B-Type Natriuretic Peptide</t>
        </is>
      </c>
      <c r="E2" t="n">
        <v>1203</v>
      </c>
      <c r="F2" t="inlineStr">
        <is>
          <t>pg/mL</t>
        </is>
      </c>
      <c r="G2" t="n">
        <v>0</v>
      </c>
      <c r="H2" t="n">
        <v>100</v>
      </c>
      <c r="I2" t="inlineStr">
        <is>
          <t>STAT</t>
        </is>
      </c>
      <c r="J2" s="27" t="n"/>
    </row>
    <row r="3">
      <c r="A3" t="inlineStr">
        <is>
          <t>LAB749129</t>
        </is>
      </c>
      <c r="B3" t="inlineStr">
        <is>
          <t>PT12857</t>
        </is>
      </c>
      <c r="C3" s="26" t="n">
        <v>45992.27847222222</v>
      </c>
      <c r="D3" t="inlineStr">
        <is>
          <t>Glucose</t>
        </is>
      </c>
      <c r="E3" t="n">
        <v>132</v>
      </c>
      <c r="F3" t="inlineStr">
        <is>
          <t>mg/dL</t>
        </is>
      </c>
      <c r="G3" t="n">
        <v>70</v>
      </c>
      <c r="H3" t="n">
        <v>99</v>
      </c>
      <c r="I3" t="inlineStr">
        <is>
          <t>STAT</t>
        </is>
      </c>
      <c r="J3" s="27" t="n"/>
    </row>
    <row r="4">
      <c r="A4" t="inlineStr">
        <is>
          <t>LAB749131</t>
        </is>
      </c>
      <c r="B4" t="inlineStr">
        <is>
          <t>PT12857</t>
        </is>
      </c>
      <c r="C4" s="26" t="n">
        <v>45992.27916666667</v>
      </c>
      <c r="D4" t="inlineStr">
        <is>
          <t>White Blood Cell Count</t>
        </is>
      </c>
      <c r="E4" t="n">
        <v>10.6</v>
      </c>
      <c r="F4" t="inlineStr">
        <is>
          <t>K/uL</t>
        </is>
      </c>
      <c r="G4" t="n">
        <v>4.5</v>
      </c>
      <c r="H4" t="n">
        <v>11</v>
      </c>
      <c r="I4" t="inlineStr">
        <is>
          <t>Routine</t>
        </is>
      </c>
      <c r="J4" s="27" t="n"/>
    </row>
    <row r="5">
      <c r="A5" t="inlineStr">
        <is>
          <t>LAB749132</t>
        </is>
      </c>
      <c r="B5" t="inlineStr">
        <is>
          <t>PT12857</t>
        </is>
      </c>
      <c r="C5" s="26" t="n">
        <v>45992.27916666667</v>
      </c>
      <c r="D5" t="inlineStr">
        <is>
          <t>Hemoglobin</t>
        </is>
      </c>
      <c r="E5" t="n">
        <v>15.2</v>
      </c>
      <c r="F5" t="inlineStr">
        <is>
          <t>g/dL</t>
        </is>
      </c>
      <c r="G5" t="n">
        <v>12</v>
      </c>
      <c r="H5" t="n">
        <v>17.5</v>
      </c>
      <c r="I5" t="inlineStr">
        <is>
          <t>Routine</t>
        </is>
      </c>
      <c r="J5" s="27" t="n"/>
    </row>
    <row r="6">
      <c r="A6" t="inlineStr">
        <is>
          <t>LAB749130</t>
        </is>
      </c>
      <c r="B6" t="inlineStr">
        <is>
          <t>PT12857</t>
        </is>
      </c>
      <c r="C6" s="26" t="n">
        <v>45992.27986111111</v>
      </c>
      <c r="D6" t="inlineStr">
        <is>
          <t>Creatinine</t>
        </is>
      </c>
      <c r="E6" t="n">
        <v>0.99</v>
      </c>
      <c r="F6" t="inlineStr">
        <is>
          <t>mg/dL</t>
        </is>
      </c>
      <c r="G6" t="n">
        <v>0.6</v>
      </c>
      <c r="H6" t="n">
        <v>1.3</v>
      </c>
      <c r="I6" t="inlineStr">
        <is>
          <t>Routine</t>
        </is>
      </c>
      <c r="J6" s="27" t="n"/>
    </row>
    <row r="7">
      <c r="A7" t="inlineStr">
        <is>
          <t>LAB749133</t>
        </is>
      </c>
      <c r="B7" t="inlineStr">
        <is>
          <t>PT12857</t>
        </is>
      </c>
      <c r="C7" s="26" t="n">
        <v>45992.28402777778</v>
      </c>
      <c r="D7" t="inlineStr">
        <is>
          <t>Troponin I, High Sensitivity</t>
        </is>
      </c>
      <c r="E7" t="n">
        <v>67</v>
      </c>
      <c r="F7" t="inlineStr">
        <is>
          <t>ng/L</t>
        </is>
      </c>
      <c r="G7" t="n">
        <v>0</v>
      </c>
      <c r="H7" t="n">
        <v>34</v>
      </c>
      <c r="I7" t="inlineStr">
        <is>
          <t>STAT</t>
        </is>
      </c>
      <c r="J7" s="27" t="n"/>
    </row>
    <row r="8">
      <c r="A8" t="inlineStr">
        <is>
          <t>LAB749138</t>
        </is>
      </c>
      <c r="B8" t="inlineStr">
        <is>
          <t>PT13060</t>
        </is>
      </c>
      <c r="C8" s="26" t="n">
        <v>45992.32083333333</v>
      </c>
      <c r="D8" t="inlineStr">
        <is>
          <t>Hemoglobin</t>
        </is>
      </c>
      <c r="E8" t="n">
        <v>12.4</v>
      </c>
      <c r="F8" t="inlineStr">
        <is>
          <t>g/dL</t>
        </is>
      </c>
      <c r="G8" t="n">
        <v>12</v>
      </c>
      <c r="H8" t="n">
        <v>17.5</v>
      </c>
      <c r="I8" t="inlineStr">
        <is>
          <t>Routine</t>
        </is>
      </c>
      <c r="J8" s="27" t="n"/>
    </row>
    <row r="9">
      <c r="A9" t="inlineStr">
        <is>
          <t>LAB749135</t>
        </is>
      </c>
      <c r="B9" t="inlineStr">
        <is>
          <t>PT13060</t>
        </is>
      </c>
      <c r="C9" s="26" t="n">
        <v>45992.32638888889</v>
      </c>
      <c r="D9" t="inlineStr">
        <is>
          <t>Glucose</t>
        </is>
      </c>
      <c r="E9" t="n">
        <v>114</v>
      </c>
      <c r="F9" t="inlineStr">
        <is>
          <t>mg/dL</t>
        </is>
      </c>
      <c r="G9" t="n">
        <v>70</v>
      </c>
      <c r="H9" t="n">
        <v>99</v>
      </c>
      <c r="I9" t="inlineStr">
        <is>
          <t>STAT</t>
        </is>
      </c>
      <c r="J9" s="27" t="n"/>
    </row>
    <row r="10">
      <c r="A10" t="inlineStr">
        <is>
          <t>LAB749136</t>
        </is>
      </c>
      <c r="B10" t="inlineStr">
        <is>
          <t>PT13060</t>
        </is>
      </c>
      <c r="C10" s="26" t="n">
        <v>45992.32847222222</v>
      </c>
      <c r="D10" t="inlineStr">
        <is>
          <t>Creatinine</t>
        </is>
      </c>
      <c r="E10" t="n">
        <v>1.34</v>
      </c>
      <c r="F10" t="inlineStr">
        <is>
          <t>mg/dL</t>
        </is>
      </c>
      <c r="G10" t="n">
        <v>0.6</v>
      </c>
      <c r="H10" t="n">
        <v>1.3</v>
      </c>
      <c r="I10" t="inlineStr">
        <is>
          <t>STAT</t>
        </is>
      </c>
      <c r="J10" s="27" t="n"/>
    </row>
    <row r="11">
      <c r="A11" t="inlineStr">
        <is>
          <t>LAB749140</t>
        </is>
      </c>
      <c r="B11" t="inlineStr">
        <is>
          <t>PT10001</t>
        </is>
      </c>
      <c r="C11" s="26" t="n">
        <v>45992.32916666667</v>
      </c>
      <c r="D11" t="inlineStr">
        <is>
          <t>Creatinine</t>
        </is>
      </c>
      <c r="E11" t="n">
        <v>0.88</v>
      </c>
      <c r="F11" t="inlineStr">
        <is>
          <t>mg/dL</t>
        </is>
      </c>
      <c r="G11" t="n">
        <v>0.6</v>
      </c>
      <c r="H11" t="n">
        <v>1.3</v>
      </c>
      <c r="I11" t="inlineStr">
        <is>
          <t>STAT</t>
        </is>
      </c>
      <c r="J11" s="27" t="n"/>
    </row>
    <row r="12">
      <c r="A12" t="inlineStr">
        <is>
          <t>LAB749137</t>
        </is>
      </c>
      <c r="B12" t="inlineStr">
        <is>
          <t>PT13060</t>
        </is>
      </c>
      <c r="C12" s="26" t="n">
        <v>45992.33055555556</v>
      </c>
      <c r="D12" t="inlineStr">
        <is>
          <t>White Blood Cell Count</t>
        </is>
      </c>
      <c r="E12" t="n">
        <v>9.4</v>
      </c>
      <c r="F12" t="inlineStr">
        <is>
          <t>K/uL</t>
        </is>
      </c>
      <c r="G12" t="n">
        <v>4.5</v>
      </c>
      <c r="H12" t="n">
        <v>11</v>
      </c>
      <c r="I12" t="inlineStr">
        <is>
          <t>STAT</t>
        </is>
      </c>
      <c r="J12" s="27" t="n"/>
    </row>
    <row r="13">
      <c r="A13" t="inlineStr">
        <is>
          <t>LAB749139</t>
        </is>
      </c>
      <c r="B13" t="inlineStr">
        <is>
          <t>PT10001</t>
        </is>
      </c>
      <c r="C13" s="26" t="n">
        <v>45992.33888888889</v>
      </c>
      <c r="D13" t="inlineStr">
        <is>
          <t>Glucose</t>
        </is>
      </c>
      <c r="E13" t="n">
        <v>59</v>
      </c>
      <c r="F13" t="inlineStr">
        <is>
          <t>mg/dL</t>
        </is>
      </c>
      <c r="G13" t="n">
        <v>70</v>
      </c>
      <c r="H13" t="n">
        <v>99</v>
      </c>
      <c r="I13" t="inlineStr">
        <is>
          <t>STAT</t>
        </is>
      </c>
      <c r="J13" s="27" t="n"/>
    </row>
    <row r="14">
      <c r="A14" t="inlineStr">
        <is>
          <t>LAB749142</t>
        </is>
      </c>
      <c r="B14" t="inlineStr">
        <is>
          <t>PT10001</t>
        </is>
      </c>
      <c r="C14" s="26" t="n">
        <v>45992.35208333333</v>
      </c>
      <c r="D14" t="inlineStr">
        <is>
          <t>Hemoglobin</t>
        </is>
      </c>
      <c r="E14" t="n">
        <v>15.7</v>
      </c>
      <c r="F14" t="inlineStr">
        <is>
          <t>g/dL</t>
        </is>
      </c>
      <c r="G14" t="n">
        <v>12</v>
      </c>
      <c r="H14" t="n">
        <v>17.5</v>
      </c>
      <c r="I14" t="inlineStr">
        <is>
          <t>Routine</t>
        </is>
      </c>
      <c r="J14" s="27" t="n"/>
    </row>
    <row r="15">
      <c r="A15" t="inlineStr">
        <is>
          <t>LAB749141</t>
        </is>
      </c>
      <c r="B15" t="inlineStr">
        <is>
          <t>PT10001</t>
        </is>
      </c>
      <c r="C15" s="26" t="n">
        <v>45992.35416666666</v>
      </c>
      <c r="D15" t="inlineStr">
        <is>
          <t>White Blood Cell Count</t>
        </is>
      </c>
      <c r="E15" t="n">
        <v>16.4</v>
      </c>
      <c r="F15" t="inlineStr">
        <is>
          <t>K/uL</t>
        </is>
      </c>
      <c r="G15" t="n">
        <v>4.5</v>
      </c>
      <c r="H15" t="n">
        <v>11</v>
      </c>
      <c r="I15" t="inlineStr">
        <is>
          <t>STAT</t>
        </is>
      </c>
      <c r="J15" s="27" t="n"/>
    </row>
    <row r="16">
      <c r="A16" t="inlineStr">
        <is>
          <t>LAB749144</t>
        </is>
      </c>
      <c r="B16" t="inlineStr">
        <is>
          <t>PT14000</t>
        </is>
      </c>
      <c r="C16" s="26" t="n">
        <v>45992.36805555555</v>
      </c>
      <c r="D16" t="inlineStr">
        <is>
          <t>Creatinine</t>
        </is>
      </c>
      <c r="E16" t="n">
        <v>0.97</v>
      </c>
      <c r="F16" t="inlineStr">
        <is>
          <t>mg/dL</t>
        </is>
      </c>
      <c r="G16" t="n">
        <v>0.6</v>
      </c>
      <c r="H16" t="n">
        <v>1.3</v>
      </c>
      <c r="I16" t="inlineStr">
        <is>
          <t>STAT</t>
        </is>
      </c>
      <c r="J16" s="27" t="n"/>
    </row>
    <row r="17">
      <c r="A17" t="inlineStr">
        <is>
          <t>LAB749145</t>
        </is>
      </c>
      <c r="B17" t="inlineStr">
        <is>
          <t>PT12685</t>
        </is>
      </c>
      <c r="C17" s="26" t="n">
        <v>45992.37361111111</v>
      </c>
      <c r="D17" t="inlineStr">
        <is>
          <t>LDL Cholesterol</t>
        </is>
      </c>
      <c r="E17" t="n">
        <v>154</v>
      </c>
      <c r="F17" t="inlineStr">
        <is>
          <t>mg/dL</t>
        </is>
      </c>
      <c r="G17" t="n">
        <v>0</v>
      </c>
      <c r="H17" t="n">
        <v>99</v>
      </c>
      <c r="I17" t="inlineStr">
        <is>
          <t>Routine</t>
        </is>
      </c>
      <c r="J17" s="27" t="n"/>
    </row>
    <row r="18">
      <c r="A18" t="inlineStr">
        <is>
          <t>LAB749146</t>
        </is>
      </c>
      <c r="B18" t="inlineStr">
        <is>
          <t>PT12685</t>
        </is>
      </c>
      <c r="C18" s="26" t="n">
        <v>45992.38194444445</v>
      </c>
      <c r="D18" t="inlineStr">
        <is>
          <t>Hemoglobin A1c</t>
        </is>
      </c>
      <c r="E18" t="n">
        <v>5.8</v>
      </c>
      <c r="F18" t="inlineStr">
        <is>
          <t>%</t>
        </is>
      </c>
      <c r="G18" t="n">
        <v>4</v>
      </c>
      <c r="H18" t="n">
        <v>5.6</v>
      </c>
      <c r="I18" t="inlineStr">
        <is>
          <t>Routine</t>
        </is>
      </c>
      <c r="J18" s="27" t="n"/>
    </row>
    <row r="19">
      <c r="A19" t="inlineStr">
        <is>
          <t>LAB749143</t>
        </is>
      </c>
      <c r="B19" t="inlineStr">
        <is>
          <t>PT14000</t>
        </is>
      </c>
      <c r="C19" s="26" t="n">
        <v>45992.38958333333</v>
      </c>
      <c r="D19" t="inlineStr">
        <is>
          <t>Glucose</t>
        </is>
      </c>
      <c r="E19" t="n">
        <v>89</v>
      </c>
      <c r="F19" t="inlineStr">
        <is>
          <t>mg/dL</t>
        </is>
      </c>
      <c r="G19" t="n">
        <v>70</v>
      </c>
      <c r="H19" t="n">
        <v>99</v>
      </c>
      <c r="I19" t="inlineStr">
        <is>
          <t>STAT</t>
        </is>
      </c>
      <c r="J19" s="27" t="n"/>
    </row>
    <row r="20">
      <c r="A20" t="inlineStr">
        <is>
          <t>LAB749155</t>
        </is>
      </c>
      <c r="B20" t="inlineStr">
        <is>
          <t>PT12833</t>
        </is>
      </c>
      <c r="C20" s="26" t="n">
        <v>45992.40138888889</v>
      </c>
      <c r="D20" t="inlineStr">
        <is>
          <t>LDL Cholesterol</t>
        </is>
      </c>
      <c r="E20" t="n">
        <v>172</v>
      </c>
      <c r="F20" t="inlineStr">
        <is>
          <t>mg/dL</t>
        </is>
      </c>
      <c r="G20" t="n">
        <v>0</v>
      </c>
      <c r="H20" t="n">
        <v>99</v>
      </c>
      <c r="I20" t="inlineStr">
        <is>
          <t>Routine</t>
        </is>
      </c>
      <c r="J20" s="27" t="n"/>
    </row>
    <row r="21">
      <c r="A21" t="inlineStr">
        <is>
          <t>LAB749148</t>
        </is>
      </c>
      <c r="B21" t="inlineStr">
        <is>
          <t>PT13765</t>
        </is>
      </c>
      <c r="C21" s="26" t="n">
        <v>45992.40208333333</v>
      </c>
      <c r="D21" t="inlineStr">
        <is>
          <t>Creatinine</t>
        </is>
      </c>
      <c r="E21" t="n">
        <v>0.95</v>
      </c>
      <c r="F21" t="inlineStr">
        <is>
          <t>mg/dL</t>
        </is>
      </c>
      <c r="G21" t="n">
        <v>0.6</v>
      </c>
      <c r="H21" t="n">
        <v>1.3</v>
      </c>
      <c r="I21" t="inlineStr">
        <is>
          <t>STAT</t>
        </is>
      </c>
      <c r="J21" s="27" t="n"/>
    </row>
    <row r="22">
      <c r="A22" t="inlineStr">
        <is>
          <t>LAB749156</t>
        </is>
      </c>
      <c r="B22" t="inlineStr">
        <is>
          <t>PT12472</t>
        </is>
      </c>
      <c r="C22" s="26" t="n">
        <v>45992.41111111111</v>
      </c>
      <c r="D22" t="inlineStr">
        <is>
          <t>Glucose</t>
        </is>
      </c>
      <c r="E22" t="n">
        <v>118</v>
      </c>
      <c r="F22" t="inlineStr">
        <is>
          <t>mg/dL</t>
        </is>
      </c>
      <c r="G22" t="n">
        <v>70</v>
      </c>
      <c r="H22" t="n">
        <v>99</v>
      </c>
      <c r="I22" t="inlineStr">
        <is>
          <t>STAT</t>
        </is>
      </c>
      <c r="J22" s="27" t="n"/>
    </row>
    <row r="23">
      <c r="A23" t="inlineStr">
        <is>
          <t>LAB749150</t>
        </is>
      </c>
      <c r="B23" t="inlineStr">
        <is>
          <t>PT13765</t>
        </is>
      </c>
      <c r="C23" s="26" t="n">
        <v>45992.41319444445</v>
      </c>
      <c r="D23" t="inlineStr">
        <is>
          <t>Hemoglobin</t>
        </is>
      </c>
      <c r="E23" t="n">
        <v>12.4</v>
      </c>
      <c r="F23" t="inlineStr">
        <is>
          <t>g/dL</t>
        </is>
      </c>
      <c r="G23" t="n">
        <v>12</v>
      </c>
      <c r="H23" t="n">
        <v>17.5</v>
      </c>
      <c r="I23" t="inlineStr">
        <is>
          <t>STAT</t>
        </is>
      </c>
      <c r="J23" s="27" t="n"/>
    </row>
    <row r="24">
      <c r="A24" t="inlineStr">
        <is>
          <t>LAB749147</t>
        </is>
      </c>
      <c r="B24" t="inlineStr">
        <is>
          <t>PT13765</t>
        </is>
      </c>
      <c r="C24" s="26" t="n">
        <v>45992.42291666667</v>
      </c>
      <c r="D24" t="inlineStr">
        <is>
          <t>Glucose</t>
        </is>
      </c>
      <c r="E24" t="n">
        <v>80</v>
      </c>
      <c r="F24" t="inlineStr">
        <is>
          <t>mg/dL</t>
        </is>
      </c>
      <c r="G24" t="n">
        <v>70</v>
      </c>
      <c r="H24" t="n">
        <v>99</v>
      </c>
      <c r="I24" t="inlineStr">
        <is>
          <t>Routine</t>
        </is>
      </c>
      <c r="J24" s="27" t="n"/>
    </row>
    <row r="25">
      <c r="A25" t="inlineStr">
        <is>
          <t>LAB749149</t>
        </is>
      </c>
      <c r="B25" t="inlineStr">
        <is>
          <t>PT13765</t>
        </is>
      </c>
      <c r="C25" s="26" t="n">
        <v>45992.42986111111</v>
      </c>
      <c r="D25" t="inlineStr">
        <is>
          <t>White Blood Cell Count</t>
        </is>
      </c>
      <c r="E25" t="n">
        <v>7.7</v>
      </c>
      <c r="F25" t="inlineStr">
        <is>
          <t>K/uL</t>
        </is>
      </c>
      <c r="G25" t="n">
        <v>4.5</v>
      </c>
      <c r="H25" t="n">
        <v>11</v>
      </c>
      <c r="I25" t="inlineStr">
        <is>
          <t>STAT</t>
        </is>
      </c>
      <c r="J25" s="27" t="n"/>
    </row>
    <row r="26">
      <c r="A26" t="inlineStr">
        <is>
          <t>LAB749159</t>
        </is>
      </c>
      <c r="B26" t="inlineStr">
        <is>
          <t>PT12472</t>
        </is>
      </c>
      <c r="C26" s="26" t="n">
        <v>45992.43819444445</v>
      </c>
      <c r="D26" t="inlineStr">
        <is>
          <t>Hemoglobin</t>
        </is>
      </c>
      <c r="E26" t="n">
        <v>13.3</v>
      </c>
      <c r="F26" t="inlineStr">
        <is>
          <t>g/dL</t>
        </is>
      </c>
      <c r="G26" t="n">
        <v>12</v>
      </c>
      <c r="H26" t="n">
        <v>17.5</v>
      </c>
      <c r="I26" t="inlineStr">
        <is>
          <t>Routine</t>
        </is>
      </c>
      <c r="J26" s="27" t="n"/>
    </row>
    <row r="27">
      <c r="A27" t="inlineStr">
        <is>
          <t>LAB749158</t>
        </is>
      </c>
      <c r="B27" t="inlineStr">
        <is>
          <t>PT12472</t>
        </is>
      </c>
      <c r="C27" s="26" t="n">
        <v>45992.44236111111</v>
      </c>
      <c r="D27" t="inlineStr">
        <is>
          <t>White Blood Cell Count</t>
        </is>
      </c>
      <c r="E27" t="n">
        <v>10.1</v>
      </c>
      <c r="F27" t="inlineStr">
        <is>
          <t>K/uL</t>
        </is>
      </c>
      <c r="G27" t="n">
        <v>4.5</v>
      </c>
      <c r="H27" t="n">
        <v>11</v>
      </c>
      <c r="I27" t="inlineStr">
        <is>
          <t>STAT</t>
        </is>
      </c>
      <c r="J27" s="27" t="n"/>
    </row>
    <row r="28">
      <c r="A28" t="inlineStr">
        <is>
          <t>LAB749160</t>
        </is>
      </c>
      <c r="B28" t="inlineStr">
        <is>
          <t>PT12472</t>
        </is>
      </c>
      <c r="C28" s="26" t="n">
        <v>45992.44305555556</v>
      </c>
      <c r="D28" t="inlineStr">
        <is>
          <t>Prothrombin Time INR</t>
        </is>
      </c>
      <c r="E28" t="n">
        <v>1.2</v>
      </c>
      <c r="F28" t="inlineStr">
        <is>
          <t>ratio</t>
        </is>
      </c>
      <c r="G28" t="n">
        <v>0.8</v>
      </c>
      <c r="H28" t="n">
        <v>1.2</v>
      </c>
      <c r="I28" t="inlineStr">
        <is>
          <t>STAT</t>
        </is>
      </c>
      <c r="J28" s="27" t="n"/>
    </row>
    <row r="29">
      <c r="A29" t="inlineStr">
        <is>
          <t>LAB749157</t>
        </is>
      </c>
      <c r="B29" t="inlineStr">
        <is>
          <t>PT12472</t>
        </is>
      </c>
      <c r="C29" s="26" t="n">
        <v>45992.45486111111</v>
      </c>
      <c r="D29" t="inlineStr">
        <is>
          <t>Creatinine</t>
        </is>
      </c>
      <c r="E29" t="n">
        <v>0.86</v>
      </c>
      <c r="F29" t="inlineStr">
        <is>
          <t>mg/dL</t>
        </is>
      </c>
      <c r="G29" t="n">
        <v>0.6</v>
      </c>
      <c r="H29" t="n">
        <v>1.3</v>
      </c>
      <c r="I29" t="inlineStr">
        <is>
          <t>Routine</t>
        </is>
      </c>
      <c r="J29" s="27" t="n"/>
    </row>
    <row r="30">
      <c r="A30" t="inlineStr">
        <is>
          <t>LAB749163</t>
        </is>
      </c>
      <c r="B30" t="inlineStr">
        <is>
          <t>PT10433</t>
        </is>
      </c>
      <c r="C30" s="26" t="n">
        <v>45992.48333333333</v>
      </c>
      <c r="D30" t="inlineStr">
        <is>
          <t>White Blood Cell Count</t>
        </is>
      </c>
      <c r="E30" t="n">
        <v>6.3</v>
      </c>
      <c r="F30" t="inlineStr">
        <is>
          <t>K/uL</t>
        </is>
      </c>
      <c r="G30" t="n">
        <v>4.5</v>
      </c>
      <c r="H30" t="n">
        <v>11</v>
      </c>
      <c r="I30" t="inlineStr">
        <is>
          <t>Routine</t>
        </is>
      </c>
      <c r="J30" s="27" t="n"/>
    </row>
    <row r="31">
      <c r="A31" t="inlineStr">
        <is>
          <t>LAB749164</t>
        </is>
      </c>
      <c r="B31" t="inlineStr">
        <is>
          <t>PT10433</t>
        </is>
      </c>
      <c r="C31" s="26" t="n">
        <v>45992.48402777778</v>
      </c>
      <c r="D31" t="inlineStr">
        <is>
          <t>Hemoglobin</t>
        </is>
      </c>
      <c r="E31" t="n">
        <v>13.3</v>
      </c>
      <c r="F31" t="inlineStr">
        <is>
          <t>g/dL</t>
        </is>
      </c>
      <c r="G31" t="n">
        <v>12</v>
      </c>
      <c r="H31" t="n">
        <v>17.5</v>
      </c>
      <c r="I31" t="inlineStr">
        <is>
          <t>STAT</t>
        </is>
      </c>
      <c r="J31" s="27" t="n"/>
    </row>
    <row r="32">
      <c r="A32" t="inlineStr">
        <is>
          <t>LAB749165</t>
        </is>
      </c>
      <c r="B32" t="inlineStr">
        <is>
          <t>PT10433</t>
        </is>
      </c>
      <c r="C32" s="26" t="n">
        <v>45992.48611111111</v>
      </c>
      <c r="D32" t="inlineStr">
        <is>
          <t>Troponin I, High Sensitivity</t>
        </is>
      </c>
      <c r="E32" t="n">
        <v>4</v>
      </c>
      <c r="F32" t="inlineStr">
        <is>
          <t>ng/L</t>
        </is>
      </c>
      <c r="G32" t="n">
        <v>0</v>
      </c>
      <c r="H32" t="n">
        <v>34</v>
      </c>
      <c r="I32" t="inlineStr">
        <is>
          <t>STAT</t>
        </is>
      </c>
      <c r="J32" s="27" t="n"/>
    </row>
    <row r="33">
      <c r="A33" t="inlineStr">
        <is>
          <t>LAB749161</t>
        </is>
      </c>
      <c r="B33" t="inlineStr">
        <is>
          <t>PT10433</t>
        </is>
      </c>
      <c r="C33" s="26" t="n">
        <v>45992.49236111111</v>
      </c>
      <c r="D33" t="inlineStr">
        <is>
          <t>Glucose</t>
        </is>
      </c>
      <c r="E33" t="n">
        <v>125</v>
      </c>
      <c r="F33" t="inlineStr">
        <is>
          <t>mg/dL</t>
        </is>
      </c>
      <c r="G33" t="n">
        <v>70</v>
      </c>
      <c r="H33" t="n">
        <v>99</v>
      </c>
      <c r="I33" t="inlineStr">
        <is>
          <t>Routine</t>
        </is>
      </c>
      <c r="J33" s="27" t="n"/>
    </row>
    <row r="34">
      <c r="A34" t="inlineStr">
        <is>
          <t>LAB749162</t>
        </is>
      </c>
      <c r="B34" t="inlineStr">
        <is>
          <t>PT10433</t>
        </is>
      </c>
      <c r="C34" s="26" t="n">
        <v>45992.49375</v>
      </c>
      <c r="D34" t="inlineStr">
        <is>
          <t>Creatinine</t>
        </is>
      </c>
      <c r="E34" t="n">
        <v>1.22</v>
      </c>
      <c r="F34" t="inlineStr">
        <is>
          <t>mg/dL</t>
        </is>
      </c>
      <c r="G34" t="n">
        <v>0.6</v>
      </c>
      <c r="H34" t="n">
        <v>1.3</v>
      </c>
      <c r="I34" t="inlineStr">
        <is>
          <t>Routine</t>
        </is>
      </c>
      <c r="J34" s="27" t="n"/>
    </row>
    <row r="35">
      <c r="A35" t="inlineStr">
        <is>
          <t>LAB749154</t>
        </is>
      </c>
      <c r="B35" t="inlineStr">
        <is>
          <t>PT12844</t>
        </is>
      </c>
      <c r="C35" s="26" t="n">
        <v>45992.50277777778</v>
      </c>
      <c r="D35" t="inlineStr">
        <is>
          <t>Hemoglobin</t>
        </is>
      </c>
      <c r="E35" t="n">
        <v>13.2</v>
      </c>
      <c r="F35" t="inlineStr">
        <is>
          <t>g/dL</t>
        </is>
      </c>
      <c r="G35" t="n">
        <v>12</v>
      </c>
      <c r="H35" t="n">
        <v>17.5</v>
      </c>
      <c r="I35" t="inlineStr">
        <is>
          <t>STAT</t>
        </is>
      </c>
      <c r="J35" s="27" t="n"/>
    </row>
    <row r="36">
      <c r="A36" t="inlineStr">
        <is>
          <t>LAB749152</t>
        </is>
      </c>
      <c r="B36" t="inlineStr">
        <is>
          <t>PT12844</t>
        </is>
      </c>
      <c r="C36" s="26" t="n">
        <v>45992.50347222222</v>
      </c>
      <c r="D36" t="inlineStr">
        <is>
          <t>Creatinine</t>
        </is>
      </c>
      <c r="E36" t="n">
        <v>0.58</v>
      </c>
      <c r="F36" t="inlineStr">
        <is>
          <t>mg/dL</t>
        </is>
      </c>
      <c r="G36" t="n">
        <v>0.6</v>
      </c>
      <c r="H36" t="n">
        <v>1.3</v>
      </c>
      <c r="I36" t="inlineStr">
        <is>
          <t>Routine</t>
        </is>
      </c>
      <c r="J36" s="27" t="n"/>
    </row>
    <row r="37">
      <c r="A37" t="inlineStr">
        <is>
          <t>LAB749151</t>
        </is>
      </c>
      <c r="B37" t="inlineStr">
        <is>
          <t>PT12844</t>
        </is>
      </c>
      <c r="C37" s="26" t="n">
        <v>45992.52777777778</v>
      </c>
      <c r="D37" t="inlineStr">
        <is>
          <t>Glucose</t>
        </is>
      </c>
      <c r="E37" t="n">
        <v>132</v>
      </c>
      <c r="F37" t="inlineStr">
        <is>
          <t>mg/dL</t>
        </is>
      </c>
      <c r="G37" t="n">
        <v>70</v>
      </c>
      <c r="H37" t="n">
        <v>99</v>
      </c>
      <c r="I37" t="inlineStr">
        <is>
          <t>STAT</t>
        </is>
      </c>
      <c r="J37" s="27" t="n"/>
    </row>
    <row r="38">
      <c r="A38" t="inlineStr">
        <is>
          <t>LAB749153</t>
        </is>
      </c>
      <c r="B38" t="inlineStr">
        <is>
          <t>PT12844</t>
        </is>
      </c>
      <c r="C38" s="26" t="n">
        <v>45992.53541666667</v>
      </c>
      <c r="D38" t="inlineStr">
        <is>
          <t>White Blood Cell Count</t>
        </is>
      </c>
      <c r="E38" t="n">
        <v>11</v>
      </c>
      <c r="F38" t="inlineStr">
        <is>
          <t>K/uL</t>
        </is>
      </c>
      <c r="G38" t="n">
        <v>4.5</v>
      </c>
      <c r="H38" t="n">
        <v>11</v>
      </c>
      <c r="I38" t="inlineStr">
        <is>
          <t>Routine</t>
        </is>
      </c>
      <c r="J38" s="27" t="n"/>
    </row>
    <row r="39">
      <c r="A39" t="inlineStr">
        <is>
          <t>LAB749179</t>
        </is>
      </c>
      <c r="B39" t="inlineStr">
        <is>
          <t>PT11828</t>
        </is>
      </c>
      <c r="C39" s="26" t="n">
        <v>45992.56805555556</v>
      </c>
      <c r="D39" t="inlineStr">
        <is>
          <t>Glucose</t>
        </is>
      </c>
      <c r="E39" t="n">
        <v>129</v>
      </c>
      <c r="F39" t="inlineStr">
        <is>
          <t>mg/dL</t>
        </is>
      </c>
      <c r="G39" t="n">
        <v>70</v>
      </c>
      <c r="H39" t="n">
        <v>99</v>
      </c>
      <c r="I39" t="inlineStr">
        <is>
          <t>STAT</t>
        </is>
      </c>
      <c r="J39" s="27" t="n"/>
    </row>
    <row r="40">
      <c r="A40" t="inlineStr">
        <is>
          <t>LAB749181</t>
        </is>
      </c>
      <c r="B40" t="inlineStr">
        <is>
          <t>PT11828</t>
        </is>
      </c>
      <c r="C40" s="26" t="n">
        <v>45992.57569444444</v>
      </c>
      <c r="D40" t="inlineStr">
        <is>
          <t>White Blood Cell Count</t>
        </is>
      </c>
      <c r="E40" t="n">
        <v>10</v>
      </c>
      <c r="F40" t="inlineStr">
        <is>
          <t>K/uL</t>
        </is>
      </c>
      <c r="G40" t="n">
        <v>4.5</v>
      </c>
      <c r="H40" t="n">
        <v>11</v>
      </c>
      <c r="I40" t="inlineStr">
        <is>
          <t>STAT</t>
        </is>
      </c>
      <c r="J40" s="27" t="n"/>
    </row>
    <row r="41">
      <c r="A41" t="inlineStr">
        <is>
          <t>LAB749182</t>
        </is>
      </c>
      <c r="B41" t="inlineStr">
        <is>
          <t>PT11828</t>
        </is>
      </c>
      <c r="C41" s="26" t="n">
        <v>45992.5875</v>
      </c>
      <c r="D41" t="inlineStr">
        <is>
          <t>Troponin I, High Sensitivity</t>
        </is>
      </c>
      <c r="E41" t="n">
        <v>10</v>
      </c>
      <c r="F41" t="inlineStr">
        <is>
          <t>ng/L</t>
        </is>
      </c>
      <c r="G41" t="n">
        <v>0</v>
      </c>
      <c r="H41" t="n">
        <v>34</v>
      </c>
      <c r="I41" t="inlineStr">
        <is>
          <t>STAT</t>
        </is>
      </c>
      <c r="J41" s="27" t="n"/>
    </row>
    <row r="42">
      <c r="A42" t="inlineStr">
        <is>
          <t>LAB749180</t>
        </is>
      </c>
      <c r="B42" t="inlineStr">
        <is>
          <t>PT11828</t>
        </is>
      </c>
      <c r="C42" s="26" t="n">
        <v>45992.58958333333</v>
      </c>
      <c r="D42" t="inlineStr">
        <is>
          <t>Creatinine</t>
        </is>
      </c>
      <c r="E42" t="n">
        <v>0.64</v>
      </c>
      <c r="F42" t="inlineStr">
        <is>
          <t>mg/dL</t>
        </is>
      </c>
      <c r="G42" t="n">
        <v>0.6</v>
      </c>
      <c r="H42" t="n">
        <v>1.3</v>
      </c>
      <c r="I42" t="inlineStr">
        <is>
          <t>Routine</t>
        </is>
      </c>
      <c r="J42" s="27" t="n"/>
    </row>
    <row r="43">
      <c r="A43" t="inlineStr">
        <is>
          <t>LAB749183</t>
        </is>
      </c>
      <c r="B43" t="inlineStr">
        <is>
          <t>PT10373</t>
        </is>
      </c>
      <c r="C43" s="26" t="n">
        <v>45992.6125</v>
      </c>
      <c r="D43" t="inlineStr">
        <is>
          <t>LDL Cholesterol</t>
        </is>
      </c>
      <c r="E43" t="n">
        <v>119</v>
      </c>
      <c r="F43" t="inlineStr">
        <is>
          <t>mg/dL</t>
        </is>
      </c>
      <c r="G43" t="n">
        <v>0</v>
      </c>
      <c r="H43" t="n">
        <v>99</v>
      </c>
      <c r="I43" t="inlineStr">
        <is>
          <t>Routine</t>
        </is>
      </c>
      <c r="J43" s="27" t="n"/>
    </row>
    <row r="44">
      <c r="A44" t="inlineStr">
        <is>
          <t>LAB749167</t>
        </is>
      </c>
      <c r="B44" t="inlineStr">
        <is>
          <t>PT10619</t>
        </is>
      </c>
      <c r="C44" s="26" t="n">
        <v>45992.61388888889</v>
      </c>
      <c r="D44" t="inlineStr">
        <is>
          <t>Creatinine</t>
        </is>
      </c>
      <c r="E44" t="n">
        <v>2.41</v>
      </c>
      <c r="F44" t="inlineStr">
        <is>
          <t>mg/dL</t>
        </is>
      </c>
      <c r="G44" t="n">
        <v>0.6</v>
      </c>
      <c r="H44" t="n">
        <v>1.3</v>
      </c>
      <c r="I44" t="inlineStr">
        <is>
          <t>Routine</t>
        </is>
      </c>
      <c r="J44" s="27" t="n"/>
    </row>
    <row r="45">
      <c r="A45" t="inlineStr">
        <is>
          <t>LAB749184</t>
        </is>
      </c>
      <c r="B45" t="inlineStr">
        <is>
          <t>PT10373</t>
        </is>
      </c>
      <c r="C45" s="26" t="n">
        <v>45992.61388888889</v>
      </c>
      <c r="D45" t="inlineStr">
        <is>
          <t>Hemoglobin A1c</t>
        </is>
      </c>
      <c r="E45" t="n">
        <v>5.3</v>
      </c>
      <c r="F45" t="inlineStr">
        <is>
          <t>%</t>
        </is>
      </c>
      <c r="G45" t="n">
        <v>4</v>
      </c>
      <c r="H45" t="n">
        <v>5.6</v>
      </c>
      <c r="I45" t="inlineStr">
        <is>
          <t>Routine</t>
        </is>
      </c>
      <c r="J45" s="27" t="n"/>
    </row>
    <row r="46">
      <c r="A46" t="inlineStr">
        <is>
          <t>LAB749168</t>
        </is>
      </c>
      <c r="B46" t="inlineStr">
        <is>
          <t>PT10619</t>
        </is>
      </c>
      <c r="C46" s="26" t="n">
        <v>45992.62013888889</v>
      </c>
      <c r="D46" t="inlineStr">
        <is>
          <t>White Blood Cell Count</t>
        </is>
      </c>
      <c r="E46" t="n">
        <v>20.2</v>
      </c>
      <c r="F46" t="inlineStr">
        <is>
          <t>K/uL</t>
        </is>
      </c>
      <c r="G46" t="n">
        <v>4.5</v>
      </c>
      <c r="H46" t="n">
        <v>11</v>
      </c>
      <c r="I46" t="inlineStr">
        <is>
          <t>STAT</t>
        </is>
      </c>
      <c r="J46" s="27" t="n"/>
    </row>
    <row r="47">
      <c r="A47" t="inlineStr">
        <is>
          <t>LAB749177</t>
        </is>
      </c>
      <c r="B47" t="inlineStr">
        <is>
          <t>PT12989</t>
        </is>
      </c>
      <c r="C47" s="26" t="n">
        <v>45992.62361111111</v>
      </c>
      <c r="D47" t="inlineStr">
        <is>
          <t>Sodium</t>
        </is>
      </c>
      <c r="E47" t="n">
        <v>138</v>
      </c>
      <c r="F47" t="inlineStr">
        <is>
          <t>mmol/L</t>
        </is>
      </c>
      <c r="G47" t="n">
        <v>136</v>
      </c>
      <c r="H47" t="n">
        <v>145</v>
      </c>
      <c r="I47" t="inlineStr">
        <is>
          <t>STAT</t>
        </is>
      </c>
      <c r="J47" s="27" t="n"/>
    </row>
    <row r="48">
      <c r="A48" t="inlineStr">
        <is>
          <t>LAB749178</t>
        </is>
      </c>
      <c r="B48" t="inlineStr">
        <is>
          <t>PT12989</t>
        </is>
      </c>
      <c r="C48" s="26" t="n">
        <v>45992.62361111111</v>
      </c>
      <c r="D48" t="inlineStr">
        <is>
          <t>Potassium</t>
        </is>
      </c>
      <c r="E48" t="n">
        <v>4.6</v>
      </c>
      <c r="F48" t="inlineStr">
        <is>
          <t>mmol/L</t>
        </is>
      </c>
      <c r="G48" t="n">
        <v>3.5</v>
      </c>
      <c r="H48" t="n">
        <v>5.1</v>
      </c>
      <c r="I48" t="inlineStr">
        <is>
          <t>STAT</t>
        </is>
      </c>
      <c r="J48" s="27" t="n"/>
    </row>
    <row r="49">
      <c r="A49" t="inlineStr">
        <is>
          <t>LAB749188</t>
        </is>
      </c>
      <c r="B49" t="inlineStr">
        <is>
          <t>PT10120</t>
        </is>
      </c>
      <c r="C49" s="26" t="n">
        <v>45992.625</v>
      </c>
      <c r="D49" t="inlineStr">
        <is>
          <t>Hemoglobin</t>
        </is>
      </c>
      <c r="E49" t="n">
        <v>14.1</v>
      </c>
      <c r="F49" t="inlineStr">
        <is>
          <t>g/dL</t>
        </is>
      </c>
      <c r="G49" t="n">
        <v>12</v>
      </c>
      <c r="H49" t="n">
        <v>17.5</v>
      </c>
      <c r="I49" t="inlineStr">
        <is>
          <t>Routine</t>
        </is>
      </c>
      <c r="J49" s="27" t="n"/>
    </row>
    <row r="50">
      <c r="A50" t="inlineStr">
        <is>
          <t>LAB749186</t>
        </is>
      </c>
      <c r="B50" t="inlineStr">
        <is>
          <t>PT10120</t>
        </is>
      </c>
      <c r="C50" s="26" t="n">
        <v>45992.62847222222</v>
      </c>
      <c r="D50" t="inlineStr">
        <is>
          <t>Creatinine</t>
        </is>
      </c>
      <c r="E50" t="n">
        <v>1.09</v>
      </c>
      <c r="F50" t="inlineStr">
        <is>
          <t>mg/dL</t>
        </is>
      </c>
      <c r="G50" t="n">
        <v>0.6</v>
      </c>
      <c r="H50" t="n">
        <v>1.3</v>
      </c>
      <c r="I50" t="inlineStr">
        <is>
          <t>STAT</t>
        </is>
      </c>
      <c r="J50" s="27" t="n"/>
    </row>
    <row r="51">
      <c r="A51" t="inlineStr">
        <is>
          <t>LAB749185</t>
        </is>
      </c>
      <c r="B51" t="inlineStr">
        <is>
          <t>PT10120</t>
        </is>
      </c>
      <c r="C51" s="26" t="n">
        <v>45992.63541666666</v>
      </c>
      <c r="D51" t="inlineStr">
        <is>
          <t>Glucose</t>
        </is>
      </c>
      <c r="E51" t="n">
        <v>88</v>
      </c>
      <c r="F51" t="inlineStr">
        <is>
          <t>mg/dL</t>
        </is>
      </c>
      <c r="G51" t="n">
        <v>70</v>
      </c>
      <c r="H51" t="n">
        <v>99</v>
      </c>
      <c r="I51" t="inlineStr">
        <is>
          <t>Routine</t>
        </is>
      </c>
      <c r="J51" s="27" t="n"/>
    </row>
    <row r="52">
      <c r="A52" t="inlineStr">
        <is>
          <t>LAB749189</t>
        </is>
      </c>
      <c r="B52" t="inlineStr">
        <is>
          <t>PT10120</t>
        </is>
      </c>
      <c r="C52" s="26" t="n">
        <v>45992.63611111111</v>
      </c>
      <c r="D52" t="inlineStr">
        <is>
          <t>Blood Urea Nitrogen</t>
        </is>
      </c>
      <c r="E52" t="n">
        <v>18</v>
      </c>
      <c r="F52" t="inlineStr">
        <is>
          <t>mg/dL</t>
        </is>
      </c>
      <c r="G52" t="n">
        <v>7</v>
      </c>
      <c r="H52" t="n">
        <v>20</v>
      </c>
      <c r="I52" t="inlineStr">
        <is>
          <t>STAT</t>
        </is>
      </c>
      <c r="J52" s="27" t="n"/>
    </row>
    <row r="53">
      <c r="A53" t="inlineStr">
        <is>
          <t>LAB749166</t>
        </is>
      </c>
      <c r="B53" t="inlineStr">
        <is>
          <t>PT10619</t>
        </is>
      </c>
      <c r="C53" s="26" t="n">
        <v>45992.63680555556</v>
      </c>
      <c r="D53" t="inlineStr">
        <is>
          <t>Glucose</t>
        </is>
      </c>
      <c r="E53" t="n">
        <v>158</v>
      </c>
      <c r="F53" t="inlineStr">
        <is>
          <t>mg/dL</t>
        </is>
      </c>
      <c r="G53" t="n">
        <v>70</v>
      </c>
      <c r="H53" t="n">
        <v>99</v>
      </c>
      <c r="I53" t="inlineStr">
        <is>
          <t>STAT</t>
        </is>
      </c>
      <c r="J53" s="27" t="n"/>
    </row>
    <row r="54">
      <c r="A54" t="inlineStr">
        <is>
          <t>LAB749173</t>
        </is>
      </c>
      <c r="B54" t="inlineStr">
        <is>
          <t>PT12989</t>
        </is>
      </c>
      <c r="C54" s="26" t="n">
        <v>45992.6375</v>
      </c>
      <c r="D54" t="inlineStr">
        <is>
          <t>Glucose</t>
        </is>
      </c>
      <c r="E54" t="n">
        <v>149</v>
      </c>
      <c r="F54" t="inlineStr">
        <is>
          <t>mg/dL</t>
        </is>
      </c>
      <c r="G54" t="n">
        <v>70</v>
      </c>
      <c r="H54" t="n">
        <v>99</v>
      </c>
      <c r="I54" t="inlineStr">
        <is>
          <t>STAT</t>
        </is>
      </c>
      <c r="J54" s="27" t="n"/>
    </row>
    <row r="55">
      <c r="A55" t="inlineStr">
        <is>
          <t>LAB749187</t>
        </is>
      </c>
      <c r="B55" t="inlineStr">
        <is>
          <t>PT10120</t>
        </is>
      </c>
      <c r="C55" s="26" t="n">
        <v>45992.64513888889</v>
      </c>
      <c r="D55" t="inlineStr">
        <is>
          <t>White Blood Cell Count</t>
        </is>
      </c>
      <c r="E55" t="n">
        <v>7.6</v>
      </c>
      <c r="F55" t="inlineStr">
        <is>
          <t>K/uL</t>
        </is>
      </c>
      <c r="G55" t="n">
        <v>4.5</v>
      </c>
      <c r="H55" t="n">
        <v>11</v>
      </c>
      <c r="I55" t="inlineStr">
        <is>
          <t>STAT</t>
        </is>
      </c>
      <c r="J55" s="27" t="n"/>
    </row>
    <row r="56">
      <c r="A56" t="inlineStr">
        <is>
          <t>LAB749175</t>
        </is>
      </c>
      <c r="B56" t="inlineStr">
        <is>
          <t>PT12989</t>
        </is>
      </c>
      <c r="C56" s="26" t="n">
        <v>45992.64861111111</v>
      </c>
      <c r="D56" t="inlineStr">
        <is>
          <t>White Blood Cell Count</t>
        </is>
      </c>
      <c r="E56" t="n">
        <v>7.1</v>
      </c>
      <c r="F56" t="inlineStr">
        <is>
          <t>K/uL</t>
        </is>
      </c>
      <c r="G56" t="n">
        <v>4.5</v>
      </c>
      <c r="H56" t="n">
        <v>11</v>
      </c>
      <c r="I56" t="inlineStr">
        <is>
          <t>STAT</t>
        </is>
      </c>
      <c r="J56" s="27" t="n"/>
    </row>
    <row r="57">
      <c r="A57" t="inlineStr">
        <is>
          <t>LAB749176</t>
        </is>
      </c>
      <c r="B57" t="inlineStr">
        <is>
          <t>PT12989</t>
        </is>
      </c>
      <c r="C57" s="26" t="n">
        <v>45992.64930555555</v>
      </c>
      <c r="D57" t="inlineStr">
        <is>
          <t>Hemoglobin</t>
        </is>
      </c>
      <c r="E57" t="n">
        <v>11.9</v>
      </c>
      <c r="F57" t="inlineStr">
        <is>
          <t>g/dL</t>
        </is>
      </c>
      <c r="G57" t="n">
        <v>12</v>
      </c>
      <c r="H57" t="n">
        <v>17.5</v>
      </c>
      <c r="I57" t="inlineStr">
        <is>
          <t>STAT</t>
        </is>
      </c>
      <c r="J57" s="27" t="n"/>
    </row>
    <row r="58">
      <c r="A58" t="inlineStr">
        <is>
          <t>LAB749171</t>
        </is>
      </c>
      <c r="B58" t="inlineStr">
        <is>
          <t>PT10619</t>
        </is>
      </c>
      <c r="C58" s="26" t="n">
        <v>45992.65</v>
      </c>
      <c r="D58" t="inlineStr">
        <is>
          <t>Potassium</t>
        </is>
      </c>
      <c r="E58" t="n">
        <v>3.8</v>
      </c>
      <c r="F58" t="inlineStr">
        <is>
          <t>mmol/L</t>
        </is>
      </c>
      <c r="G58" t="n">
        <v>3.5</v>
      </c>
      <c r="H58" t="n">
        <v>5.1</v>
      </c>
      <c r="I58" t="inlineStr">
        <is>
          <t>STAT</t>
        </is>
      </c>
      <c r="J58" s="27" t="n"/>
    </row>
    <row r="59">
      <c r="A59" t="inlineStr">
        <is>
          <t>LAB749191</t>
        </is>
      </c>
      <c r="B59" t="inlineStr">
        <is>
          <t>PT12966</t>
        </is>
      </c>
      <c r="C59" s="26" t="n">
        <v>45992.65069444444</v>
      </c>
      <c r="D59" t="inlineStr">
        <is>
          <t>LDL Cholesterol</t>
        </is>
      </c>
      <c r="E59" t="n">
        <v>142</v>
      </c>
      <c r="F59" t="inlineStr">
        <is>
          <t>mg/dL</t>
        </is>
      </c>
      <c r="G59" t="n">
        <v>0</v>
      </c>
      <c r="H59" t="n">
        <v>99</v>
      </c>
      <c r="I59" t="inlineStr">
        <is>
          <t>Routine</t>
        </is>
      </c>
      <c r="J59" s="27" t="n"/>
    </row>
    <row r="60">
      <c r="A60" t="inlineStr">
        <is>
          <t>LAB749192</t>
        </is>
      </c>
      <c r="B60" t="inlineStr">
        <is>
          <t>PT12966</t>
        </is>
      </c>
      <c r="C60" s="26" t="n">
        <v>45992.65069444444</v>
      </c>
      <c r="D60" t="inlineStr">
        <is>
          <t>Hemoglobin A1c</t>
        </is>
      </c>
      <c r="E60" t="n">
        <v>5.6</v>
      </c>
      <c r="F60" t="inlineStr">
        <is>
          <t>%</t>
        </is>
      </c>
      <c r="G60" t="n">
        <v>4</v>
      </c>
      <c r="H60" t="n">
        <v>5.6</v>
      </c>
      <c r="I60" t="inlineStr">
        <is>
          <t>Routine</t>
        </is>
      </c>
      <c r="J60" s="27" t="n"/>
    </row>
    <row r="61">
      <c r="A61" t="inlineStr">
        <is>
          <t>LAB749190</t>
        </is>
      </c>
      <c r="B61" t="inlineStr">
        <is>
          <t>PT10120</t>
        </is>
      </c>
      <c r="C61" s="26" t="n">
        <v>45992.65138888889</v>
      </c>
      <c r="D61" t="inlineStr">
        <is>
          <t>Platelet Count</t>
        </is>
      </c>
      <c r="E61" t="n">
        <v>256</v>
      </c>
      <c r="F61" t="inlineStr">
        <is>
          <t>K/uL</t>
        </is>
      </c>
      <c r="G61" t="n">
        <v>150</v>
      </c>
      <c r="H61" t="n">
        <v>400</v>
      </c>
      <c r="I61" t="inlineStr">
        <is>
          <t>STAT</t>
        </is>
      </c>
      <c r="J61" s="27" t="n"/>
    </row>
    <row r="62">
      <c r="A62" t="inlineStr">
        <is>
          <t>LAB749174</t>
        </is>
      </c>
      <c r="B62" t="inlineStr">
        <is>
          <t>PT12989</t>
        </is>
      </c>
      <c r="C62" s="26" t="n">
        <v>45992.65486111111</v>
      </c>
      <c r="D62" t="inlineStr">
        <is>
          <t>Creatinine</t>
        </is>
      </c>
      <c r="E62" t="n">
        <v>1.19</v>
      </c>
      <c r="F62" t="inlineStr">
        <is>
          <t>mg/dL</t>
        </is>
      </c>
      <c r="G62" t="n">
        <v>0.6</v>
      </c>
      <c r="H62" t="n">
        <v>1.3</v>
      </c>
      <c r="I62" t="inlineStr">
        <is>
          <t>Routine</t>
        </is>
      </c>
      <c r="J62" s="27" t="n"/>
    </row>
    <row r="63">
      <c r="A63" t="inlineStr">
        <is>
          <t>LAB749172</t>
        </is>
      </c>
      <c r="B63" t="inlineStr">
        <is>
          <t>PT10619</t>
        </is>
      </c>
      <c r="C63" s="26" t="n">
        <v>45992.65555555555</v>
      </c>
      <c r="D63" t="inlineStr">
        <is>
          <t>Lactate</t>
        </is>
      </c>
      <c r="E63" t="n">
        <v>4.2</v>
      </c>
      <c r="F63" t="inlineStr">
        <is>
          <t>mmol/L</t>
        </is>
      </c>
      <c r="G63" t="n">
        <v>0.5</v>
      </c>
      <c r="H63" t="n">
        <v>2</v>
      </c>
      <c r="I63" t="inlineStr">
        <is>
          <t>STAT</t>
        </is>
      </c>
      <c r="J63" s="27" t="n"/>
    </row>
    <row r="64">
      <c r="A64" t="inlineStr">
        <is>
          <t>LAB749169</t>
        </is>
      </c>
      <c r="B64" t="inlineStr">
        <is>
          <t>PT10619</t>
        </is>
      </c>
      <c r="C64" s="26" t="n">
        <v>45992.65625</v>
      </c>
      <c r="D64" t="inlineStr">
        <is>
          <t>Hemoglobin</t>
        </is>
      </c>
      <c r="E64" t="n">
        <v>12.5</v>
      </c>
      <c r="F64" t="inlineStr">
        <is>
          <t>g/dL</t>
        </is>
      </c>
      <c r="G64" t="n">
        <v>12</v>
      </c>
      <c r="H64" t="n">
        <v>17.5</v>
      </c>
      <c r="I64" t="inlineStr">
        <is>
          <t>STAT</t>
        </is>
      </c>
      <c r="J64" s="27" t="n"/>
    </row>
    <row r="65">
      <c r="A65" t="inlineStr">
        <is>
          <t>LAB749170</t>
        </is>
      </c>
      <c r="B65" t="inlineStr">
        <is>
          <t>PT10619</t>
        </is>
      </c>
      <c r="C65" s="26" t="n">
        <v>45992.67291666667</v>
      </c>
      <c r="D65" t="inlineStr">
        <is>
          <t>Sodium</t>
        </is>
      </c>
      <c r="E65" t="n">
        <v>142</v>
      </c>
      <c r="F65" t="inlineStr">
        <is>
          <t>mmol/L</t>
        </is>
      </c>
      <c r="G65" t="n">
        <v>136</v>
      </c>
      <c r="H65" t="n">
        <v>145</v>
      </c>
      <c r="I65" t="inlineStr">
        <is>
          <t>Routine</t>
        </is>
      </c>
      <c r="J65" s="27" t="n"/>
    </row>
    <row r="66">
      <c r="A66" t="inlineStr">
        <is>
          <t>LAB749194</t>
        </is>
      </c>
      <c r="B66" t="inlineStr">
        <is>
          <t>PT13123</t>
        </is>
      </c>
      <c r="C66" s="26" t="n">
        <v>45992.70555555556</v>
      </c>
      <c r="D66" t="inlineStr">
        <is>
          <t>Hemoglobin</t>
        </is>
      </c>
      <c r="E66" t="n">
        <v>9.1</v>
      </c>
      <c r="F66" t="inlineStr">
        <is>
          <t>g/dL</t>
        </is>
      </c>
      <c r="G66" t="n">
        <v>12</v>
      </c>
      <c r="H66" t="n">
        <v>17.5</v>
      </c>
      <c r="I66" t="inlineStr">
        <is>
          <t>Routine</t>
        </is>
      </c>
      <c r="J66" s="27" t="n"/>
    </row>
    <row r="67">
      <c r="A67" t="inlineStr">
        <is>
          <t>LAB749193</t>
        </is>
      </c>
      <c r="B67" t="inlineStr">
        <is>
          <t>PT13123</t>
        </is>
      </c>
      <c r="C67" s="26" t="n">
        <v>45992.70833333334</v>
      </c>
      <c r="D67" t="inlineStr">
        <is>
          <t>White Blood Cell Count</t>
        </is>
      </c>
      <c r="E67" t="n">
        <v>7.5</v>
      </c>
      <c r="F67" t="inlineStr">
        <is>
          <t>K/uL</t>
        </is>
      </c>
      <c r="G67" t="n">
        <v>4.5</v>
      </c>
      <c r="H67" t="n">
        <v>11</v>
      </c>
      <c r="I67" t="inlineStr">
        <is>
          <t>Routine</t>
        </is>
      </c>
      <c r="J67" s="27" t="n"/>
    </row>
    <row r="68">
      <c r="A68" t="inlineStr">
        <is>
          <t>LAB749201</t>
        </is>
      </c>
      <c r="B68" t="inlineStr">
        <is>
          <t>PT11616</t>
        </is>
      </c>
      <c r="C68" s="26" t="n">
        <v>45992.71319444444</v>
      </c>
      <c r="D68" t="inlineStr">
        <is>
          <t>Creatinine</t>
        </is>
      </c>
      <c r="E68" t="n">
        <v>2.11</v>
      </c>
      <c r="F68" t="inlineStr">
        <is>
          <t>mg/dL</t>
        </is>
      </c>
      <c r="G68" t="n">
        <v>0.6</v>
      </c>
      <c r="H68" t="n">
        <v>1.3</v>
      </c>
      <c r="I68" t="inlineStr">
        <is>
          <t>Routine</t>
        </is>
      </c>
      <c r="J68" s="27" t="n"/>
    </row>
    <row r="69">
      <c r="A69" t="inlineStr">
        <is>
          <t>LAB749195</t>
        </is>
      </c>
      <c r="B69" t="inlineStr">
        <is>
          <t>PT13123</t>
        </is>
      </c>
      <c r="C69" s="26" t="n">
        <v>45992.72013888889</v>
      </c>
      <c r="D69" t="inlineStr">
        <is>
          <t>Platelet Count</t>
        </is>
      </c>
      <c r="E69" t="n">
        <v>292</v>
      </c>
      <c r="F69" t="inlineStr">
        <is>
          <t>K/uL</t>
        </is>
      </c>
      <c r="G69" t="n">
        <v>150</v>
      </c>
      <c r="H69" t="n">
        <v>400</v>
      </c>
      <c r="I69" t="inlineStr">
        <is>
          <t>Routine</t>
        </is>
      </c>
      <c r="J69" s="27" t="n"/>
    </row>
    <row r="70">
      <c r="A70" t="inlineStr">
        <is>
          <t>LAB749202</t>
        </is>
      </c>
      <c r="B70" t="inlineStr">
        <is>
          <t>PT11616</t>
        </is>
      </c>
      <c r="C70" s="26" t="n">
        <v>45992.72361111111</v>
      </c>
      <c r="D70" t="inlineStr">
        <is>
          <t>White Blood Cell Count</t>
        </is>
      </c>
      <c r="E70" t="n">
        <v>8.5</v>
      </c>
      <c r="F70" t="inlineStr">
        <is>
          <t>K/uL</t>
        </is>
      </c>
      <c r="G70" t="n">
        <v>4.5</v>
      </c>
      <c r="H70" t="n">
        <v>11</v>
      </c>
      <c r="I70" t="inlineStr">
        <is>
          <t>STAT</t>
        </is>
      </c>
      <c r="J70" s="27" t="n"/>
    </row>
    <row r="71">
      <c r="A71" t="inlineStr">
        <is>
          <t>LAB749200</t>
        </is>
      </c>
      <c r="B71" t="inlineStr">
        <is>
          <t>PT11616</t>
        </is>
      </c>
      <c r="C71" s="26" t="n">
        <v>45992.72708333333</v>
      </c>
      <c r="D71" t="inlineStr">
        <is>
          <t>Glucose</t>
        </is>
      </c>
      <c r="E71" t="n">
        <v>86</v>
      </c>
      <c r="F71" t="inlineStr">
        <is>
          <t>mg/dL</t>
        </is>
      </c>
      <c r="G71" t="n">
        <v>70</v>
      </c>
      <c r="H71" t="n">
        <v>99</v>
      </c>
      <c r="I71" t="inlineStr">
        <is>
          <t>STAT</t>
        </is>
      </c>
      <c r="J71" s="27" t="n"/>
    </row>
    <row r="72">
      <c r="A72" t="inlineStr">
        <is>
          <t>LAB749203</t>
        </is>
      </c>
      <c r="B72" t="inlineStr">
        <is>
          <t>PT11616</t>
        </is>
      </c>
      <c r="C72" s="26" t="n">
        <v>45992.7625</v>
      </c>
      <c r="D72" t="inlineStr">
        <is>
          <t>Hemoglobin</t>
        </is>
      </c>
      <c r="E72" t="n">
        <v>10.2</v>
      </c>
      <c r="F72" t="inlineStr">
        <is>
          <t>g/dL</t>
        </is>
      </c>
      <c r="G72" t="n">
        <v>12</v>
      </c>
      <c r="H72" t="n">
        <v>17.5</v>
      </c>
      <c r="I72" t="inlineStr">
        <is>
          <t>STAT</t>
        </is>
      </c>
      <c r="J72" s="27" t="n"/>
    </row>
    <row r="73">
      <c r="A73" t="inlineStr">
        <is>
          <t>LAB749205</t>
        </is>
      </c>
      <c r="B73" t="inlineStr">
        <is>
          <t>PT10261</t>
        </is>
      </c>
      <c r="C73" s="26" t="n">
        <v>45992.78333333333</v>
      </c>
      <c r="D73" t="inlineStr">
        <is>
          <t>Creatinine</t>
        </is>
      </c>
      <c r="E73" t="n">
        <v>0.44</v>
      </c>
      <c r="F73" t="inlineStr">
        <is>
          <t>mg/dL</t>
        </is>
      </c>
      <c r="G73" t="n">
        <v>0.6</v>
      </c>
      <c r="H73" t="n">
        <v>1.3</v>
      </c>
      <c r="I73" t="inlineStr">
        <is>
          <t>STAT</t>
        </is>
      </c>
      <c r="J73" s="27" t="n"/>
    </row>
    <row r="74">
      <c r="A74" t="inlineStr">
        <is>
          <t>LAB749209</t>
        </is>
      </c>
      <c r="B74" t="inlineStr">
        <is>
          <t>PT10261</t>
        </is>
      </c>
      <c r="C74" s="26" t="n">
        <v>45992.79791666667</v>
      </c>
      <c r="D74" t="inlineStr">
        <is>
          <t>Potassium</t>
        </is>
      </c>
      <c r="E74" t="n">
        <v>5</v>
      </c>
      <c r="F74" t="inlineStr">
        <is>
          <t>mmol/L</t>
        </is>
      </c>
      <c r="G74" t="n">
        <v>3.5</v>
      </c>
      <c r="H74" t="n">
        <v>5.1</v>
      </c>
      <c r="I74" t="inlineStr">
        <is>
          <t>STAT</t>
        </is>
      </c>
      <c r="J74" s="27" t="n"/>
    </row>
    <row r="75">
      <c r="A75" t="inlineStr">
        <is>
          <t>LAB749204</t>
        </is>
      </c>
      <c r="B75" t="inlineStr">
        <is>
          <t>PT10261</t>
        </is>
      </c>
      <c r="C75" s="26" t="n">
        <v>45992.80555555555</v>
      </c>
      <c r="D75" t="inlineStr">
        <is>
          <t>Glucose</t>
        </is>
      </c>
      <c r="E75" t="n">
        <v>98</v>
      </c>
      <c r="F75" t="inlineStr">
        <is>
          <t>mg/dL</t>
        </is>
      </c>
      <c r="G75" t="n">
        <v>70</v>
      </c>
      <c r="H75" t="n">
        <v>99</v>
      </c>
      <c r="I75" t="inlineStr">
        <is>
          <t>Routine</t>
        </is>
      </c>
      <c r="J75" s="27" t="n"/>
    </row>
    <row r="76">
      <c r="A76" t="inlineStr">
        <is>
          <t>LAB749206</t>
        </is>
      </c>
      <c r="B76" t="inlineStr">
        <is>
          <t>PT10261</t>
        </is>
      </c>
      <c r="C76" s="26" t="n">
        <v>45992.81875</v>
      </c>
      <c r="D76" t="inlineStr">
        <is>
          <t>White Blood Cell Count</t>
        </is>
      </c>
      <c r="E76" t="n">
        <v>9.699999999999999</v>
      </c>
      <c r="F76" t="inlineStr">
        <is>
          <t>K/uL</t>
        </is>
      </c>
      <c r="G76" t="n">
        <v>4.5</v>
      </c>
      <c r="H76" t="n">
        <v>11</v>
      </c>
      <c r="I76" t="inlineStr">
        <is>
          <t>STAT</t>
        </is>
      </c>
      <c r="J76" s="27" t="n"/>
    </row>
    <row r="77">
      <c r="A77" t="inlineStr">
        <is>
          <t>LAB749207</t>
        </is>
      </c>
      <c r="B77" t="inlineStr">
        <is>
          <t>PT10261</t>
        </is>
      </c>
      <c r="C77" s="26" t="n">
        <v>45992.82083333333</v>
      </c>
      <c r="D77" t="inlineStr">
        <is>
          <t>Hemoglobin</t>
        </is>
      </c>
      <c r="E77" t="n">
        <v>15.3</v>
      </c>
      <c r="F77" t="inlineStr">
        <is>
          <t>g/dL</t>
        </is>
      </c>
      <c r="G77" t="n">
        <v>12</v>
      </c>
      <c r="H77" t="n">
        <v>17.5</v>
      </c>
      <c r="I77" t="inlineStr">
        <is>
          <t>STAT</t>
        </is>
      </c>
      <c r="J77" s="27" t="n"/>
    </row>
    <row r="78">
      <c r="A78" t="inlineStr">
        <is>
          <t>LAB749208</t>
        </is>
      </c>
      <c r="B78" t="inlineStr">
        <is>
          <t>PT10261</t>
        </is>
      </c>
      <c r="C78" s="26" t="n">
        <v>45992.83263888889</v>
      </c>
      <c r="D78" t="inlineStr">
        <is>
          <t>Sodium</t>
        </is>
      </c>
      <c r="E78" t="n">
        <v>138</v>
      </c>
      <c r="F78" t="inlineStr">
        <is>
          <t>mmol/L</t>
        </is>
      </c>
      <c r="G78" t="n">
        <v>136</v>
      </c>
      <c r="H78" t="n">
        <v>145</v>
      </c>
      <c r="I78" t="inlineStr">
        <is>
          <t>STAT</t>
        </is>
      </c>
      <c r="J78" s="27" t="n"/>
    </row>
    <row r="79">
      <c r="A79" t="inlineStr">
        <is>
          <t>LAB749212</t>
        </is>
      </c>
      <c r="B79" t="inlineStr">
        <is>
          <t>PT13714</t>
        </is>
      </c>
      <c r="C79" s="26" t="n">
        <v>45992.86597222222</v>
      </c>
      <c r="D79" t="inlineStr">
        <is>
          <t>White Blood Cell Count</t>
        </is>
      </c>
      <c r="E79" t="n">
        <v>7</v>
      </c>
      <c r="F79" t="inlineStr">
        <is>
          <t>K/uL</t>
        </is>
      </c>
      <c r="G79" t="n">
        <v>4.5</v>
      </c>
      <c r="H79" t="n">
        <v>11</v>
      </c>
      <c r="I79" t="inlineStr">
        <is>
          <t>STAT</t>
        </is>
      </c>
      <c r="J79" s="27" t="n"/>
    </row>
    <row r="80">
      <c r="A80" t="inlineStr">
        <is>
          <t>LAB749199</t>
        </is>
      </c>
      <c r="B80" t="inlineStr">
        <is>
          <t>PT11293</t>
        </is>
      </c>
      <c r="C80" s="26" t="n">
        <v>45992.86875</v>
      </c>
      <c r="D80" t="inlineStr">
        <is>
          <t>Hemoglobin</t>
        </is>
      </c>
      <c r="E80" t="n">
        <v>13.4</v>
      </c>
      <c r="F80" t="inlineStr">
        <is>
          <t>g/dL</t>
        </is>
      </c>
      <c r="G80" t="n">
        <v>12</v>
      </c>
      <c r="H80" t="n">
        <v>17.5</v>
      </c>
      <c r="I80" t="inlineStr">
        <is>
          <t>STAT</t>
        </is>
      </c>
      <c r="J80" s="27" t="n"/>
    </row>
    <row r="81">
      <c r="A81" t="inlineStr">
        <is>
          <t>LAB749211</t>
        </is>
      </c>
      <c r="B81" t="inlineStr">
        <is>
          <t>PT13714</t>
        </is>
      </c>
      <c r="C81" s="26" t="n">
        <v>45992.87916666667</v>
      </c>
      <c r="D81" t="inlineStr">
        <is>
          <t>Creatinine</t>
        </is>
      </c>
      <c r="E81" t="n">
        <v>1.51</v>
      </c>
      <c r="F81" t="inlineStr">
        <is>
          <t>mg/dL</t>
        </is>
      </c>
      <c r="G81" t="n">
        <v>0.6</v>
      </c>
      <c r="H81" t="n">
        <v>1.3</v>
      </c>
      <c r="I81" t="inlineStr">
        <is>
          <t>Routine</t>
        </is>
      </c>
      <c r="J81" s="27" t="n"/>
    </row>
    <row r="82">
      <c r="A82" t="inlineStr">
        <is>
          <t>LAB749213</t>
        </is>
      </c>
      <c r="B82" t="inlineStr">
        <is>
          <t>PT13714</t>
        </is>
      </c>
      <c r="C82" s="26" t="n">
        <v>45992.88055555556</v>
      </c>
      <c r="D82" t="inlineStr">
        <is>
          <t>Hemoglobin</t>
        </is>
      </c>
      <c r="E82" t="n">
        <v>13</v>
      </c>
      <c r="F82" t="inlineStr">
        <is>
          <t>g/dL</t>
        </is>
      </c>
      <c r="G82" t="n">
        <v>12</v>
      </c>
      <c r="H82" t="n">
        <v>17.5</v>
      </c>
      <c r="I82" t="inlineStr">
        <is>
          <t>Routine</t>
        </is>
      </c>
      <c r="J82" s="27" t="n"/>
    </row>
    <row r="83">
      <c r="A83" t="inlineStr">
        <is>
          <t>LAB749198</t>
        </is>
      </c>
      <c r="B83" t="inlineStr">
        <is>
          <t>PT11293</t>
        </is>
      </c>
      <c r="C83" s="26" t="n">
        <v>45992.88194444445</v>
      </c>
      <c r="D83" t="inlineStr">
        <is>
          <t>White Blood Cell Count</t>
        </is>
      </c>
      <c r="E83" t="n">
        <v>10.6</v>
      </c>
      <c r="F83" t="inlineStr">
        <is>
          <t>K/uL</t>
        </is>
      </c>
      <c r="G83" t="n">
        <v>4.5</v>
      </c>
      <c r="H83" t="n">
        <v>11</v>
      </c>
      <c r="I83" t="inlineStr">
        <is>
          <t>Routine</t>
        </is>
      </c>
      <c r="J83" s="27" t="n"/>
    </row>
    <row r="84">
      <c r="A84" t="inlineStr">
        <is>
          <t>LAB749197</t>
        </is>
      </c>
      <c r="B84" t="inlineStr">
        <is>
          <t>PT11293</t>
        </is>
      </c>
      <c r="C84" s="26" t="n">
        <v>45992.88611111111</v>
      </c>
      <c r="D84" t="inlineStr">
        <is>
          <t>Creatinine</t>
        </is>
      </c>
      <c r="E84" t="n">
        <v>1.04</v>
      </c>
      <c r="F84" t="inlineStr">
        <is>
          <t>mg/dL</t>
        </is>
      </c>
      <c r="G84" t="n">
        <v>0.6</v>
      </c>
      <c r="H84" t="n">
        <v>1.3</v>
      </c>
      <c r="I84" t="inlineStr">
        <is>
          <t>Routine</t>
        </is>
      </c>
      <c r="J84" s="27" t="n"/>
    </row>
    <row r="85">
      <c r="A85" t="inlineStr">
        <is>
          <t>LAB749210</t>
        </is>
      </c>
      <c r="B85" t="inlineStr">
        <is>
          <t>PT13714</t>
        </is>
      </c>
      <c r="C85" s="26" t="n">
        <v>45992.88888888889</v>
      </c>
      <c r="D85" t="inlineStr">
        <is>
          <t>Glucose</t>
        </is>
      </c>
      <c r="E85" t="n">
        <v>137</v>
      </c>
      <c r="F85" t="inlineStr">
        <is>
          <t>mg/dL</t>
        </is>
      </c>
      <c r="G85" t="n">
        <v>70</v>
      </c>
      <c r="H85" t="n">
        <v>99</v>
      </c>
      <c r="I85" t="inlineStr">
        <is>
          <t>STAT</t>
        </is>
      </c>
      <c r="J85" s="27" t="n"/>
    </row>
    <row r="86">
      <c r="A86" t="inlineStr">
        <is>
          <t>LAB749196</t>
        </is>
      </c>
      <c r="B86" t="inlineStr">
        <is>
          <t>PT11293</t>
        </is>
      </c>
      <c r="C86" s="26" t="n">
        <v>45992.91111111111</v>
      </c>
      <c r="D86" t="inlineStr">
        <is>
          <t>Glucose</t>
        </is>
      </c>
      <c r="E86" t="n">
        <v>53</v>
      </c>
      <c r="F86" t="inlineStr">
        <is>
          <t>mg/dL</t>
        </is>
      </c>
      <c r="G86" t="n">
        <v>70</v>
      </c>
      <c r="H86" t="n">
        <v>99</v>
      </c>
      <c r="I86" t="inlineStr">
        <is>
          <t>Routine</t>
        </is>
      </c>
      <c r="J86" s="27" t="n"/>
    </row>
    <row r="87">
      <c r="A87" t="inlineStr">
        <is>
          <t>LAB749220</t>
        </is>
      </c>
      <c r="B87" t="inlineStr">
        <is>
          <t>PT11186</t>
        </is>
      </c>
      <c r="C87" s="26" t="n">
        <v>45993.0375</v>
      </c>
      <c r="D87" t="inlineStr">
        <is>
          <t>White Blood Cell Count</t>
        </is>
      </c>
      <c r="E87" t="n">
        <v>7.4</v>
      </c>
      <c r="F87" t="inlineStr">
        <is>
          <t>K/uL</t>
        </is>
      </c>
      <c r="G87" t="n">
        <v>4.5</v>
      </c>
      <c r="H87" t="n">
        <v>11</v>
      </c>
      <c r="I87" t="inlineStr">
        <is>
          <t>STAT</t>
        </is>
      </c>
      <c r="J87" s="27" t="n"/>
    </row>
    <row r="88">
      <c r="A88" t="inlineStr">
        <is>
          <t>LAB749215</t>
        </is>
      </c>
      <c r="B88" t="inlineStr">
        <is>
          <t>PT11247</t>
        </is>
      </c>
      <c r="C88" s="26" t="n">
        <v>45993.05763888889</v>
      </c>
      <c r="D88" t="inlineStr">
        <is>
          <t>Creatinine</t>
        </is>
      </c>
      <c r="E88" t="n">
        <v>0.49</v>
      </c>
      <c r="F88" t="inlineStr">
        <is>
          <t>mg/dL</t>
        </is>
      </c>
      <c r="G88" t="n">
        <v>0.6</v>
      </c>
      <c r="H88" t="n">
        <v>1.3</v>
      </c>
      <c r="I88" t="inlineStr">
        <is>
          <t>Routine</t>
        </is>
      </c>
      <c r="J88" s="27" t="n"/>
    </row>
    <row r="89">
      <c r="A89" t="inlineStr">
        <is>
          <t>LAB749222</t>
        </is>
      </c>
      <c r="B89" t="inlineStr">
        <is>
          <t>PT11186</t>
        </is>
      </c>
      <c r="C89" s="26" t="n">
        <v>45993.05902777778</v>
      </c>
      <c r="D89" t="inlineStr">
        <is>
          <t>Prothrombin Time INR</t>
        </is>
      </c>
      <c r="E89" t="n">
        <v>1.1</v>
      </c>
      <c r="F89" t="inlineStr">
        <is>
          <t>ratio</t>
        </is>
      </c>
      <c r="G89" t="n">
        <v>0.8</v>
      </c>
      <c r="H89" t="n">
        <v>1.2</v>
      </c>
      <c r="I89" t="inlineStr">
        <is>
          <t>Routine</t>
        </is>
      </c>
      <c r="J89" s="27" t="n"/>
    </row>
    <row r="90">
      <c r="A90" t="inlineStr">
        <is>
          <t>LAB749219</t>
        </is>
      </c>
      <c r="B90" t="inlineStr">
        <is>
          <t>PT11186</t>
        </is>
      </c>
      <c r="C90" s="26" t="n">
        <v>45993.07083333333</v>
      </c>
      <c r="D90" t="inlineStr">
        <is>
          <t>Creatinine</t>
        </is>
      </c>
      <c r="E90" t="n">
        <v>0.9399999999999999</v>
      </c>
      <c r="F90" t="inlineStr">
        <is>
          <t>mg/dL</t>
        </is>
      </c>
      <c r="G90" t="n">
        <v>0.6</v>
      </c>
      <c r="H90" t="n">
        <v>1.3</v>
      </c>
      <c r="I90" t="inlineStr">
        <is>
          <t>Routine</t>
        </is>
      </c>
      <c r="J90" s="27" t="n"/>
    </row>
    <row r="91">
      <c r="A91" t="inlineStr">
        <is>
          <t>LAB749221</t>
        </is>
      </c>
      <c r="B91" t="inlineStr">
        <is>
          <t>PT11186</t>
        </is>
      </c>
      <c r="C91" s="26" t="n">
        <v>45993.07638888889</v>
      </c>
      <c r="D91" t="inlineStr">
        <is>
          <t>Hemoglobin</t>
        </is>
      </c>
      <c r="E91" t="n">
        <v>13</v>
      </c>
      <c r="F91" t="inlineStr">
        <is>
          <t>g/dL</t>
        </is>
      </c>
      <c r="G91" t="n">
        <v>12</v>
      </c>
      <c r="H91" t="n">
        <v>17.5</v>
      </c>
      <c r="I91" t="inlineStr">
        <is>
          <t>Routine</t>
        </is>
      </c>
      <c r="J91" s="27" t="n"/>
    </row>
    <row r="92">
      <c r="A92" t="inlineStr">
        <is>
          <t>LAB749216</t>
        </is>
      </c>
      <c r="B92" t="inlineStr">
        <is>
          <t>PT11247</t>
        </is>
      </c>
      <c r="C92" s="26" t="n">
        <v>45993.08263888889</v>
      </c>
      <c r="D92" t="inlineStr">
        <is>
          <t>White Blood Cell Count</t>
        </is>
      </c>
      <c r="E92" t="n">
        <v>21.2</v>
      </c>
      <c r="F92" t="inlineStr">
        <is>
          <t>K/uL</t>
        </is>
      </c>
      <c r="G92" t="n">
        <v>4.5</v>
      </c>
      <c r="H92" t="n">
        <v>11</v>
      </c>
      <c r="I92" t="inlineStr">
        <is>
          <t>STAT</t>
        </is>
      </c>
      <c r="J92" s="27" t="n"/>
    </row>
    <row r="93">
      <c r="A93" t="inlineStr">
        <is>
          <t>LAB749214</t>
        </is>
      </c>
      <c r="B93" t="inlineStr">
        <is>
          <t>PT11247</t>
        </is>
      </c>
      <c r="C93" s="26" t="n">
        <v>45993.08472222222</v>
      </c>
      <c r="D93" t="inlineStr">
        <is>
          <t>Glucose</t>
        </is>
      </c>
      <c r="E93" t="n">
        <v>121</v>
      </c>
      <c r="F93" t="inlineStr">
        <is>
          <t>mg/dL</t>
        </is>
      </c>
      <c r="G93" t="n">
        <v>70</v>
      </c>
      <c r="H93" t="n">
        <v>99</v>
      </c>
      <c r="I93" t="inlineStr">
        <is>
          <t>STAT</t>
        </is>
      </c>
      <c r="J93" s="27" t="n"/>
    </row>
    <row r="94">
      <c r="A94" t="inlineStr">
        <is>
          <t>LAB749217</t>
        </is>
      </c>
      <c r="B94" t="inlineStr">
        <is>
          <t>PT11247</t>
        </is>
      </c>
      <c r="C94" s="26" t="n">
        <v>45993.08680555555</v>
      </c>
      <c r="D94" t="inlineStr">
        <is>
          <t>Hemoglobin</t>
        </is>
      </c>
      <c r="E94" t="n">
        <v>14.7</v>
      </c>
      <c r="F94" t="inlineStr">
        <is>
          <t>g/dL</t>
        </is>
      </c>
      <c r="G94" t="n">
        <v>12</v>
      </c>
      <c r="H94" t="n">
        <v>17.5</v>
      </c>
      <c r="I94" t="inlineStr">
        <is>
          <t>Routine</t>
        </is>
      </c>
      <c r="J94" s="27" t="n"/>
    </row>
    <row r="95">
      <c r="A95" t="inlineStr">
        <is>
          <t>LAB749218</t>
        </is>
      </c>
      <c r="B95" t="inlineStr">
        <is>
          <t>PT11186</t>
        </is>
      </c>
      <c r="C95" s="26" t="n">
        <v>45993.08888888889</v>
      </c>
      <c r="D95" t="inlineStr">
        <is>
          <t>Glucose</t>
        </is>
      </c>
      <c r="E95" t="n">
        <v>217</v>
      </c>
      <c r="F95" t="inlineStr">
        <is>
          <t>mg/dL</t>
        </is>
      </c>
      <c r="G95" t="n">
        <v>70</v>
      </c>
      <c r="H95" t="n">
        <v>99</v>
      </c>
      <c r="I95" t="inlineStr">
        <is>
          <t>STAT</t>
        </is>
      </c>
      <c r="J95" s="27" t="n"/>
    </row>
    <row r="96">
      <c r="A96" t="inlineStr">
        <is>
          <t>LAB749227</t>
        </is>
      </c>
      <c r="B96" t="inlineStr">
        <is>
          <t>PT13294</t>
        </is>
      </c>
      <c r="C96" s="26" t="n">
        <v>45993.25902777778</v>
      </c>
      <c r="D96" t="inlineStr">
        <is>
          <t>Glucose</t>
        </is>
      </c>
      <c r="E96" t="n">
        <v>106</v>
      </c>
      <c r="F96" t="inlineStr">
        <is>
          <t>mg/dL</t>
        </is>
      </c>
      <c r="G96" t="n">
        <v>70</v>
      </c>
      <c r="H96" t="n">
        <v>99</v>
      </c>
      <c r="I96" t="inlineStr">
        <is>
          <t>Routine</t>
        </is>
      </c>
      <c r="J96" s="27" t="n"/>
    </row>
    <row r="97">
      <c r="A97" t="inlineStr">
        <is>
          <t>LAB749228</t>
        </is>
      </c>
      <c r="B97" t="inlineStr">
        <is>
          <t>PT13294</t>
        </is>
      </c>
      <c r="C97" s="26" t="n">
        <v>45993.25972222222</v>
      </c>
      <c r="D97" t="inlineStr">
        <is>
          <t>Creatinine</t>
        </is>
      </c>
      <c r="E97" t="n">
        <v>1.46</v>
      </c>
      <c r="F97" t="inlineStr">
        <is>
          <t>mg/dL</t>
        </is>
      </c>
      <c r="G97" t="n">
        <v>0.6</v>
      </c>
      <c r="H97" t="n">
        <v>1.3</v>
      </c>
      <c r="I97" t="inlineStr">
        <is>
          <t>STAT</t>
        </is>
      </c>
      <c r="J97" s="27" t="n"/>
    </row>
    <row r="98">
      <c r="A98" t="inlineStr">
        <is>
          <t>LAB749233</t>
        </is>
      </c>
      <c r="B98" t="inlineStr">
        <is>
          <t>PT13493</t>
        </is>
      </c>
      <c r="C98" s="26" t="n">
        <v>45993.26458333333</v>
      </c>
      <c r="D98" t="inlineStr">
        <is>
          <t>Hemoglobin</t>
        </is>
      </c>
      <c r="E98" t="n">
        <v>11.3</v>
      </c>
      <c r="F98" t="inlineStr">
        <is>
          <t>g/dL</t>
        </is>
      </c>
      <c r="G98" t="n">
        <v>12</v>
      </c>
      <c r="H98" t="n">
        <v>17.5</v>
      </c>
      <c r="I98" t="inlineStr">
        <is>
          <t>Routine</t>
        </is>
      </c>
      <c r="J98" s="27" t="n"/>
    </row>
    <row r="99">
      <c r="A99" t="inlineStr">
        <is>
          <t>LAB749231</t>
        </is>
      </c>
      <c r="B99" t="inlineStr">
        <is>
          <t>PT13493</t>
        </is>
      </c>
      <c r="C99" s="26" t="n">
        <v>45993.27291666667</v>
      </c>
      <c r="D99" t="inlineStr">
        <is>
          <t>Creatinine</t>
        </is>
      </c>
      <c r="E99" t="n">
        <v>0.86</v>
      </c>
      <c r="F99" t="inlineStr">
        <is>
          <t>mg/dL</t>
        </is>
      </c>
      <c r="G99" t="n">
        <v>0.6</v>
      </c>
      <c r="H99" t="n">
        <v>1.3</v>
      </c>
      <c r="I99" t="inlineStr">
        <is>
          <t>STAT</t>
        </is>
      </c>
      <c r="J99" s="27" t="n"/>
    </row>
    <row r="100">
      <c r="A100" t="inlineStr">
        <is>
          <t>LAB749230</t>
        </is>
      </c>
      <c r="B100" t="inlineStr">
        <is>
          <t>PT13493</t>
        </is>
      </c>
      <c r="C100" s="26" t="n">
        <v>45993.27777777778</v>
      </c>
      <c r="D100" t="inlineStr">
        <is>
          <t>Glucose</t>
        </is>
      </c>
      <c r="E100" t="n">
        <v>113</v>
      </c>
      <c r="F100" t="inlineStr">
        <is>
          <t>mg/dL</t>
        </is>
      </c>
      <c r="G100" t="n">
        <v>70</v>
      </c>
      <c r="H100" t="n">
        <v>99</v>
      </c>
      <c r="I100" t="inlineStr">
        <is>
          <t>STAT</t>
        </is>
      </c>
      <c r="J100" s="27" t="n"/>
    </row>
    <row r="101">
      <c r="A101" t="inlineStr">
        <is>
          <t>LAB749229</t>
        </is>
      </c>
      <c r="B101" t="inlineStr">
        <is>
          <t>PT13294</t>
        </is>
      </c>
      <c r="C101" s="26" t="n">
        <v>45993.28194444445</v>
      </c>
      <c r="D101" t="inlineStr">
        <is>
          <t>White Blood Cell Count</t>
        </is>
      </c>
      <c r="E101" t="n">
        <v>9.5</v>
      </c>
      <c r="F101" t="inlineStr">
        <is>
          <t>K/uL</t>
        </is>
      </c>
      <c r="G101" t="n">
        <v>4.5</v>
      </c>
      <c r="H101" t="n">
        <v>11</v>
      </c>
      <c r="I101" t="inlineStr">
        <is>
          <t>STAT</t>
        </is>
      </c>
      <c r="J101" s="27" t="n"/>
    </row>
    <row r="102">
      <c r="A102" t="inlineStr">
        <is>
          <t>LAB749232</t>
        </is>
      </c>
      <c r="B102" t="inlineStr">
        <is>
          <t>PT13493</t>
        </is>
      </c>
      <c r="C102" s="26" t="n">
        <v>45993.31458333333</v>
      </c>
      <c r="D102" t="inlineStr">
        <is>
          <t>White Blood Cell Count</t>
        </is>
      </c>
      <c r="E102" t="n">
        <v>8.6</v>
      </c>
      <c r="F102" t="inlineStr">
        <is>
          <t>K/uL</t>
        </is>
      </c>
      <c r="G102" t="n">
        <v>4.5</v>
      </c>
      <c r="H102" t="n">
        <v>11</v>
      </c>
      <c r="I102" t="inlineStr">
        <is>
          <t>Routine</t>
        </is>
      </c>
      <c r="J102" s="27" t="n"/>
    </row>
    <row r="103">
      <c r="A103" t="inlineStr">
        <is>
          <t>LAB749235</t>
        </is>
      </c>
      <c r="B103" t="inlineStr">
        <is>
          <t>PT13311</t>
        </is>
      </c>
      <c r="C103" s="26" t="n">
        <v>45993.33402777778</v>
      </c>
      <c r="D103" t="inlineStr">
        <is>
          <t>Creatinine</t>
        </is>
      </c>
      <c r="E103" t="n">
        <v>1.07</v>
      </c>
      <c r="F103" t="inlineStr">
        <is>
          <t>mg/dL</t>
        </is>
      </c>
      <c r="G103" t="n">
        <v>0.6</v>
      </c>
      <c r="H103" t="n">
        <v>1.3</v>
      </c>
      <c r="I103" t="inlineStr">
        <is>
          <t>STAT</t>
        </is>
      </c>
      <c r="J103" s="27" t="n"/>
    </row>
    <row r="104">
      <c r="A104" t="inlineStr">
        <is>
          <t>LAB749225</t>
        </is>
      </c>
      <c r="B104" t="inlineStr">
        <is>
          <t>PT12121</t>
        </is>
      </c>
      <c r="C104" s="26" t="n">
        <v>45993.34513888889</v>
      </c>
      <c r="D104" t="inlineStr">
        <is>
          <t>White Blood Cell Count</t>
        </is>
      </c>
      <c r="E104" t="n">
        <v>18.2</v>
      </c>
      <c r="F104" t="inlineStr">
        <is>
          <t>K/uL</t>
        </is>
      </c>
      <c r="G104" t="n">
        <v>4.5</v>
      </c>
      <c r="H104" t="n">
        <v>11</v>
      </c>
      <c r="I104" t="inlineStr">
        <is>
          <t>STAT</t>
        </is>
      </c>
      <c r="J104" s="27" t="n"/>
    </row>
    <row r="105">
      <c r="A105" t="inlineStr">
        <is>
          <t>LAB749238</t>
        </is>
      </c>
      <c r="B105" t="inlineStr">
        <is>
          <t>PT13311</t>
        </is>
      </c>
      <c r="C105" s="26" t="n">
        <v>45993.34513888889</v>
      </c>
      <c r="D105" t="inlineStr">
        <is>
          <t>Sodium</t>
        </is>
      </c>
      <c r="E105" t="n">
        <v>140</v>
      </c>
      <c r="F105" t="inlineStr">
        <is>
          <t>mmol/L</t>
        </is>
      </c>
      <c r="G105" t="n">
        <v>136</v>
      </c>
      <c r="H105" t="n">
        <v>145</v>
      </c>
      <c r="I105" t="inlineStr">
        <is>
          <t>Routine</t>
        </is>
      </c>
      <c r="J105" s="27" t="n"/>
    </row>
    <row r="106">
      <c r="A106" t="inlineStr">
        <is>
          <t>LAB749239</t>
        </is>
      </c>
      <c r="B106" t="inlineStr">
        <is>
          <t>PT13311</t>
        </is>
      </c>
      <c r="C106" s="26" t="n">
        <v>45993.34930555556</v>
      </c>
      <c r="D106" t="inlineStr">
        <is>
          <t>Potassium</t>
        </is>
      </c>
      <c r="E106" t="n">
        <v>4</v>
      </c>
      <c r="F106" t="inlineStr">
        <is>
          <t>mmol/L</t>
        </is>
      </c>
      <c r="G106" t="n">
        <v>3.5</v>
      </c>
      <c r="H106" t="n">
        <v>5.1</v>
      </c>
      <c r="I106" t="inlineStr">
        <is>
          <t>STAT</t>
        </is>
      </c>
      <c r="J106" s="27" t="n"/>
    </row>
    <row r="107">
      <c r="A107" t="inlineStr">
        <is>
          <t>LAB749226</t>
        </is>
      </c>
      <c r="B107" t="inlineStr">
        <is>
          <t>PT12121</t>
        </is>
      </c>
      <c r="C107" s="26" t="n">
        <v>45993.35763888889</v>
      </c>
      <c r="D107" t="inlineStr">
        <is>
          <t>Hemoglobin</t>
        </is>
      </c>
      <c r="E107" t="n">
        <v>13.6</v>
      </c>
      <c r="F107" t="inlineStr">
        <is>
          <t>g/dL</t>
        </is>
      </c>
      <c r="G107" t="n">
        <v>12</v>
      </c>
      <c r="H107" t="n">
        <v>17.5</v>
      </c>
      <c r="I107" t="inlineStr">
        <is>
          <t>STAT</t>
        </is>
      </c>
      <c r="J107" s="27" t="n"/>
    </row>
    <row r="108">
      <c r="A108" t="inlineStr">
        <is>
          <t>LAB749223</t>
        </is>
      </c>
      <c r="B108" t="inlineStr">
        <is>
          <t>PT12121</t>
        </is>
      </c>
      <c r="C108" s="26" t="n">
        <v>45993.3625</v>
      </c>
      <c r="D108" t="inlineStr">
        <is>
          <t>Glucose</t>
        </is>
      </c>
      <c r="E108" t="n">
        <v>87</v>
      </c>
      <c r="F108" t="inlineStr">
        <is>
          <t>mg/dL</t>
        </is>
      </c>
      <c r="G108" t="n">
        <v>70</v>
      </c>
      <c r="H108" t="n">
        <v>99</v>
      </c>
      <c r="I108" t="inlineStr">
        <is>
          <t>STAT</t>
        </is>
      </c>
      <c r="J108" s="27" t="n"/>
    </row>
    <row r="109">
      <c r="A109" t="inlineStr">
        <is>
          <t>LAB749246</t>
        </is>
      </c>
      <c r="B109" t="inlineStr">
        <is>
          <t>PT13189</t>
        </is>
      </c>
      <c r="C109" s="26" t="n">
        <v>45993.36597222222</v>
      </c>
      <c r="D109" t="inlineStr">
        <is>
          <t>Hemoglobin A1c</t>
        </is>
      </c>
      <c r="E109" t="n">
        <v>6.2</v>
      </c>
      <c r="F109" t="inlineStr">
        <is>
          <t>%</t>
        </is>
      </c>
      <c r="G109" t="n">
        <v>4</v>
      </c>
      <c r="H109" t="n">
        <v>5.6</v>
      </c>
      <c r="I109" t="inlineStr">
        <is>
          <t>Routine</t>
        </is>
      </c>
      <c r="J109" s="27" t="n"/>
    </row>
    <row r="110">
      <c r="A110" t="inlineStr">
        <is>
          <t>LAB749234</t>
        </is>
      </c>
      <c r="B110" t="inlineStr">
        <is>
          <t>PT13311</t>
        </is>
      </c>
      <c r="C110" s="26" t="n">
        <v>45993.36944444444</v>
      </c>
      <c r="D110" t="inlineStr">
        <is>
          <t>Glucose</t>
        </is>
      </c>
      <c r="E110" t="n">
        <v>134</v>
      </c>
      <c r="F110" t="inlineStr">
        <is>
          <t>mg/dL</t>
        </is>
      </c>
      <c r="G110" t="n">
        <v>70</v>
      </c>
      <c r="H110" t="n">
        <v>99</v>
      </c>
      <c r="I110" t="inlineStr">
        <is>
          <t>Routine</t>
        </is>
      </c>
      <c r="J110" s="27" t="n"/>
    </row>
    <row r="111">
      <c r="A111" t="inlineStr">
        <is>
          <t>LAB749224</t>
        </is>
      </c>
      <c r="B111" t="inlineStr">
        <is>
          <t>PT12121</t>
        </is>
      </c>
      <c r="C111" s="26" t="n">
        <v>45993.37430555555</v>
      </c>
      <c r="D111" t="inlineStr">
        <is>
          <t>Creatinine</t>
        </is>
      </c>
      <c r="E111" t="n">
        <v>1.09</v>
      </c>
      <c r="F111" t="inlineStr">
        <is>
          <t>mg/dL</t>
        </is>
      </c>
      <c r="G111" t="n">
        <v>0.6</v>
      </c>
      <c r="H111" t="n">
        <v>1.3</v>
      </c>
      <c r="I111" t="inlineStr">
        <is>
          <t>STAT</t>
        </is>
      </c>
      <c r="J111" s="27" t="n"/>
    </row>
    <row r="112">
      <c r="A112" t="inlineStr">
        <is>
          <t>LAB749247</t>
        </is>
      </c>
      <c r="B112" t="inlineStr">
        <is>
          <t>PT13189</t>
        </is>
      </c>
      <c r="C112" s="26" t="n">
        <v>45993.37847222222</v>
      </c>
      <c r="D112" t="inlineStr">
        <is>
          <t>Glucose</t>
        </is>
      </c>
      <c r="E112" t="n">
        <v>151</v>
      </c>
      <c r="F112" t="inlineStr">
        <is>
          <t>mg/dL</t>
        </is>
      </c>
      <c r="G112" t="n">
        <v>70</v>
      </c>
      <c r="H112" t="n">
        <v>99</v>
      </c>
      <c r="I112" t="inlineStr">
        <is>
          <t>Routine</t>
        </is>
      </c>
      <c r="J112" s="27" t="n"/>
    </row>
    <row r="113">
      <c r="A113" t="inlineStr">
        <is>
          <t>LAB749236</t>
        </is>
      </c>
      <c r="B113" t="inlineStr">
        <is>
          <t>PT13311</t>
        </is>
      </c>
      <c r="C113" s="26" t="n">
        <v>45993.38402777778</v>
      </c>
      <c r="D113" t="inlineStr">
        <is>
          <t>White Blood Cell Count</t>
        </is>
      </c>
      <c r="E113" t="n">
        <v>6.2</v>
      </c>
      <c r="F113" t="inlineStr">
        <is>
          <t>K/uL</t>
        </is>
      </c>
      <c r="G113" t="n">
        <v>4.5</v>
      </c>
      <c r="H113" t="n">
        <v>11</v>
      </c>
      <c r="I113" t="inlineStr">
        <is>
          <t>STAT</t>
        </is>
      </c>
      <c r="J113" s="27" t="n"/>
    </row>
    <row r="114">
      <c r="A114" t="inlineStr">
        <is>
          <t>LAB749237</t>
        </is>
      </c>
      <c r="B114" t="inlineStr">
        <is>
          <t>PT13311</t>
        </is>
      </c>
      <c r="C114" s="26" t="n">
        <v>45993.38402777778</v>
      </c>
      <c r="D114" t="inlineStr">
        <is>
          <t>Hemoglobin</t>
        </is>
      </c>
      <c r="E114" t="n">
        <v>14.2</v>
      </c>
      <c r="F114" t="inlineStr">
        <is>
          <t>g/dL</t>
        </is>
      </c>
      <c r="G114" t="n">
        <v>12</v>
      </c>
      <c r="H114" t="n">
        <v>17.5</v>
      </c>
      <c r="I114" t="inlineStr">
        <is>
          <t>Routine</t>
        </is>
      </c>
      <c r="J114" s="27" t="n"/>
    </row>
    <row r="115">
      <c r="A115" t="inlineStr">
        <is>
          <t>LAB749248</t>
        </is>
      </c>
      <c r="B115" t="inlineStr">
        <is>
          <t>PT13189</t>
        </is>
      </c>
      <c r="C115" s="26" t="n">
        <v>45993.39444444444</v>
      </c>
      <c r="D115" t="inlineStr">
        <is>
          <t>Creatinine</t>
        </is>
      </c>
      <c r="E115" t="n">
        <v>0.7</v>
      </c>
      <c r="F115" t="inlineStr">
        <is>
          <t>mg/dL</t>
        </is>
      </c>
      <c r="G115" t="n">
        <v>0.6</v>
      </c>
      <c r="H115" t="n">
        <v>1.3</v>
      </c>
      <c r="I115" t="inlineStr">
        <is>
          <t>Routine</t>
        </is>
      </c>
      <c r="J115" s="27" t="n"/>
    </row>
    <row r="116">
      <c r="A116" t="inlineStr">
        <is>
          <t>LAB749249</t>
        </is>
      </c>
      <c r="B116" t="inlineStr">
        <is>
          <t>PT10435</t>
        </is>
      </c>
      <c r="C116" s="26" t="n">
        <v>45993.41736111111</v>
      </c>
      <c r="D116" t="inlineStr">
        <is>
          <t>White Blood Cell Count</t>
        </is>
      </c>
      <c r="E116" t="n">
        <v>8.5</v>
      </c>
      <c r="F116" t="inlineStr">
        <is>
          <t>K/uL</t>
        </is>
      </c>
      <c r="G116" t="n">
        <v>4.5</v>
      </c>
      <c r="H116" t="n">
        <v>11</v>
      </c>
      <c r="I116" t="inlineStr">
        <is>
          <t>Routine</t>
        </is>
      </c>
      <c r="J116" s="27" t="n"/>
    </row>
    <row r="117">
      <c r="A117" t="inlineStr">
        <is>
          <t>LAB749250</t>
        </is>
      </c>
      <c r="B117" t="inlineStr">
        <is>
          <t>PT10435</t>
        </is>
      </c>
      <c r="C117" s="26" t="n">
        <v>45993.41736111111</v>
      </c>
      <c r="D117" t="inlineStr">
        <is>
          <t>Hemoglobin</t>
        </is>
      </c>
      <c r="E117" t="n">
        <v>14.5</v>
      </c>
      <c r="F117" t="inlineStr">
        <is>
          <t>g/dL</t>
        </is>
      </c>
      <c r="G117" t="n">
        <v>12</v>
      </c>
      <c r="H117" t="n">
        <v>17.5</v>
      </c>
      <c r="I117" t="inlineStr">
        <is>
          <t>Routine</t>
        </is>
      </c>
      <c r="J117" s="27" t="n"/>
    </row>
    <row r="118">
      <c r="A118" t="inlineStr">
        <is>
          <t>LAB749251</t>
        </is>
      </c>
      <c r="B118" t="inlineStr">
        <is>
          <t>PT10435</t>
        </is>
      </c>
      <c r="C118" s="26" t="n">
        <v>45993.42430555556</v>
      </c>
      <c r="D118" t="inlineStr">
        <is>
          <t>Platelet Count</t>
        </is>
      </c>
      <c r="E118" t="n">
        <v>341</v>
      </c>
      <c r="F118" t="inlineStr">
        <is>
          <t>K/uL</t>
        </is>
      </c>
      <c r="G118" t="n">
        <v>150</v>
      </c>
      <c r="H118" t="n">
        <v>400</v>
      </c>
      <c r="I118" t="inlineStr">
        <is>
          <t>Routine</t>
        </is>
      </c>
      <c r="J118" s="27" t="n"/>
    </row>
    <row r="119">
      <c r="A119" t="inlineStr">
        <is>
          <t>LAB749245</t>
        </is>
      </c>
      <c r="B119" t="inlineStr">
        <is>
          <t>PT10969</t>
        </is>
      </c>
      <c r="C119" s="26" t="n">
        <v>45993.46805555555</v>
      </c>
      <c r="D119" t="inlineStr">
        <is>
          <t>Potassium</t>
        </is>
      </c>
      <c r="E119" t="n">
        <v>5.3</v>
      </c>
      <c r="F119" t="inlineStr">
        <is>
          <t>mmol/L</t>
        </is>
      </c>
      <c r="G119" t="n">
        <v>3.5</v>
      </c>
      <c r="H119" t="n">
        <v>5.1</v>
      </c>
      <c r="I119" t="inlineStr">
        <is>
          <t>STAT</t>
        </is>
      </c>
      <c r="J119" s="27" t="n"/>
    </row>
    <row r="120">
      <c r="A120" t="inlineStr">
        <is>
          <t>LAB749242</t>
        </is>
      </c>
      <c r="B120" t="inlineStr">
        <is>
          <t>PT10969</t>
        </is>
      </c>
      <c r="C120" s="26" t="n">
        <v>45993.47430555556</v>
      </c>
      <c r="D120" t="inlineStr">
        <is>
          <t>White Blood Cell Count</t>
        </is>
      </c>
      <c r="E120" t="n">
        <v>7.8</v>
      </c>
      <c r="F120" t="inlineStr">
        <is>
          <t>K/uL</t>
        </is>
      </c>
      <c r="G120" t="n">
        <v>4.5</v>
      </c>
      <c r="H120" t="n">
        <v>11</v>
      </c>
      <c r="I120" t="inlineStr">
        <is>
          <t>STAT</t>
        </is>
      </c>
      <c r="J120" s="27" t="n"/>
    </row>
    <row r="121">
      <c r="A121" t="inlineStr">
        <is>
          <t>LAB749241</t>
        </is>
      </c>
      <c r="B121" t="inlineStr">
        <is>
          <t>PT10969</t>
        </is>
      </c>
      <c r="C121" s="26" t="n">
        <v>45993.47638888889</v>
      </c>
      <c r="D121" t="inlineStr">
        <is>
          <t>Creatinine</t>
        </is>
      </c>
      <c r="E121" t="n">
        <v>3.38</v>
      </c>
      <c r="F121" t="inlineStr">
        <is>
          <t>mg/dL</t>
        </is>
      </c>
      <c r="G121" t="n">
        <v>0.6</v>
      </c>
      <c r="H121" t="n">
        <v>1.3</v>
      </c>
      <c r="I121" t="inlineStr">
        <is>
          <t>Routine</t>
        </is>
      </c>
      <c r="J121" s="27" t="n"/>
    </row>
    <row r="122">
      <c r="A122" t="inlineStr">
        <is>
          <t>LAB749243</t>
        </is>
      </c>
      <c r="B122" t="inlineStr">
        <is>
          <t>PT10969</t>
        </is>
      </c>
      <c r="C122" s="26" t="n">
        <v>45993.48819444444</v>
      </c>
      <c r="D122" t="inlineStr">
        <is>
          <t>Hemoglobin</t>
        </is>
      </c>
      <c r="E122" t="n">
        <v>10.5</v>
      </c>
      <c r="F122" t="inlineStr">
        <is>
          <t>g/dL</t>
        </is>
      </c>
      <c r="G122" t="n">
        <v>12</v>
      </c>
      <c r="H122" t="n">
        <v>17.5</v>
      </c>
      <c r="I122" t="inlineStr">
        <is>
          <t>STAT</t>
        </is>
      </c>
      <c r="J122" s="27" t="n"/>
    </row>
    <row r="123">
      <c r="A123" t="inlineStr">
        <is>
          <t>LAB749244</t>
        </is>
      </c>
      <c r="B123" t="inlineStr">
        <is>
          <t>PT10969</t>
        </is>
      </c>
      <c r="C123" s="26" t="n">
        <v>45993.51180555556</v>
      </c>
      <c r="D123" t="inlineStr">
        <is>
          <t>Sodium</t>
        </is>
      </c>
      <c r="E123" t="n">
        <v>136</v>
      </c>
      <c r="F123" t="inlineStr">
        <is>
          <t>mmol/L</t>
        </is>
      </c>
      <c r="G123" t="n">
        <v>136</v>
      </c>
      <c r="H123" t="n">
        <v>145</v>
      </c>
      <c r="I123" t="inlineStr">
        <is>
          <t>Routine</t>
        </is>
      </c>
      <c r="J123" s="27" t="n"/>
    </row>
    <row r="124">
      <c r="A124" t="inlineStr">
        <is>
          <t>LAB749240</t>
        </is>
      </c>
      <c r="B124" t="inlineStr">
        <is>
          <t>PT10969</t>
        </is>
      </c>
      <c r="C124" s="26" t="n">
        <v>45993.51388888889</v>
      </c>
      <c r="D124" t="inlineStr">
        <is>
          <t>Glucose</t>
        </is>
      </c>
      <c r="E124" t="n">
        <v>93</v>
      </c>
      <c r="F124" t="inlineStr">
        <is>
          <t>mg/dL</t>
        </is>
      </c>
      <c r="G124" t="n">
        <v>70</v>
      </c>
      <c r="H124" t="n">
        <v>99</v>
      </c>
      <c r="I124" t="inlineStr">
        <is>
          <t>Routine</t>
        </is>
      </c>
      <c r="J124" s="27" t="n"/>
    </row>
    <row r="125">
      <c r="A125" t="inlineStr">
        <is>
          <t>LAB749270</t>
        </is>
      </c>
      <c r="B125" t="inlineStr">
        <is>
          <t>PT13440</t>
        </is>
      </c>
      <c r="C125" s="26" t="n">
        <v>45993.57013888889</v>
      </c>
      <c r="D125" t="inlineStr">
        <is>
          <t>Glucose</t>
        </is>
      </c>
      <c r="E125" t="n">
        <v>290</v>
      </c>
      <c r="F125" t="inlineStr">
        <is>
          <t>mg/dL</t>
        </is>
      </c>
      <c r="G125" t="n">
        <v>70</v>
      </c>
      <c r="H125" t="n">
        <v>99</v>
      </c>
      <c r="I125" t="inlineStr">
        <is>
          <t>Routine</t>
        </is>
      </c>
      <c r="J125" s="27" t="n"/>
    </row>
    <row r="126">
      <c r="A126" t="inlineStr">
        <is>
          <t>LAB749258</t>
        </is>
      </c>
      <c r="B126" t="inlineStr">
        <is>
          <t>PT10982</t>
        </is>
      </c>
      <c r="C126" s="26" t="n">
        <v>45993.57916666667</v>
      </c>
      <c r="D126" t="inlineStr">
        <is>
          <t>Creatinine</t>
        </is>
      </c>
      <c r="E126" t="n">
        <v>0.89</v>
      </c>
      <c r="F126" t="inlineStr">
        <is>
          <t>mg/dL</t>
        </is>
      </c>
      <c r="G126" t="n">
        <v>0.6</v>
      </c>
      <c r="H126" t="n">
        <v>1.3</v>
      </c>
      <c r="I126" t="inlineStr">
        <is>
          <t>STAT</t>
        </is>
      </c>
      <c r="J126" s="27" t="n"/>
    </row>
    <row r="127">
      <c r="A127" t="inlineStr">
        <is>
          <t>LAB749271</t>
        </is>
      </c>
      <c r="B127" t="inlineStr">
        <is>
          <t>PT13440</t>
        </is>
      </c>
      <c r="C127" s="26" t="n">
        <v>45993.57986111111</v>
      </c>
      <c r="D127" t="inlineStr">
        <is>
          <t>Creatinine</t>
        </is>
      </c>
      <c r="E127" t="n">
        <v>0.85</v>
      </c>
      <c r="F127" t="inlineStr">
        <is>
          <t>mg/dL</t>
        </is>
      </c>
      <c r="G127" t="n">
        <v>0.6</v>
      </c>
      <c r="H127" t="n">
        <v>1.3</v>
      </c>
      <c r="I127" t="inlineStr">
        <is>
          <t>Routine</t>
        </is>
      </c>
      <c r="J127" s="27" t="n"/>
    </row>
    <row r="128">
      <c r="A128" t="inlineStr">
        <is>
          <t>LAB749260</t>
        </is>
      </c>
      <c r="B128" t="inlineStr">
        <is>
          <t>PT10982</t>
        </is>
      </c>
      <c r="C128" s="26" t="n">
        <v>45993.58611111111</v>
      </c>
      <c r="D128" t="inlineStr">
        <is>
          <t>Hemoglobin</t>
        </is>
      </c>
      <c r="E128" t="n">
        <v>13.3</v>
      </c>
      <c r="F128" t="inlineStr">
        <is>
          <t>g/dL</t>
        </is>
      </c>
      <c r="G128" t="n">
        <v>12</v>
      </c>
      <c r="H128" t="n">
        <v>17.5</v>
      </c>
      <c r="I128" t="inlineStr">
        <is>
          <t>STAT</t>
        </is>
      </c>
      <c r="J128" s="27" t="n"/>
    </row>
    <row r="129">
      <c r="A129" t="inlineStr">
        <is>
          <t>LAB749269</t>
        </is>
      </c>
      <c r="B129" t="inlineStr">
        <is>
          <t>PT13440</t>
        </is>
      </c>
      <c r="C129" s="26" t="n">
        <v>45993.58611111111</v>
      </c>
      <c r="D129" t="inlineStr">
        <is>
          <t>Hemoglobin A1c</t>
        </is>
      </c>
      <c r="E129" t="n">
        <v>9.199999999999999</v>
      </c>
      <c r="F129" t="inlineStr">
        <is>
          <t>%</t>
        </is>
      </c>
      <c r="G129" t="n">
        <v>4</v>
      </c>
      <c r="H129" t="n">
        <v>5.6</v>
      </c>
      <c r="I129" t="inlineStr">
        <is>
          <t>Routine</t>
        </is>
      </c>
      <c r="J129" s="27" t="n"/>
    </row>
    <row r="130">
      <c r="A130" t="inlineStr">
        <is>
          <t>LAB749261</t>
        </is>
      </c>
      <c r="B130" t="inlineStr">
        <is>
          <t>PT10982</t>
        </is>
      </c>
      <c r="C130" s="26" t="n">
        <v>45993.59236111111</v>
      </c>
      <c r="D130" t="inlineStr">
        <is>
          <t>Prothrombin Time INR</t>
        </is>
      </c>
      <c r="E130" t="n">
        <v>1.1</v>
      </c>
      <c r="F130" t="inlineStr">
        <is>
          <t>ratio</t>
        </is>
      </c>
      <c r="G130" t="n">
        <v>0.8</v>
      </c>
      <c r="H130" t="n">
        <v>1.2</v>
      </c>
      <c r="I130" t="inlineStr">
        <is>
          <t>Routine</t>
        </is>
      </c>
      <c r="J130" s="27" t="n"/>
    </row>
    <row r="131">
      <c r="A131" t="inlineStr">
        <is>
          <t>LAB749259</t>
        </is>
      </c>
      <c r="B131" t="inlineStr">
        <is>
          <t>PT10982</t>
        </is>
      </c>
      <c r="C131" s="26" t="n">
        <v>45993.60416666666</v>
      </c>
      <c r="D131" t="inlineStr">
        <is>
          <t>White Blood Cell Count</t>
        </is>
      </c>
      <c r="E131" t="n">
        <v>7.8</v>
      </c>
      <c r="F131" t="inlineStr">
        <is>
          <t>K/uL</t>
        </is>
      </c>
      <c r="G131" t="n">
        <v>4.5</v>
      </c>
      <c r="H131" t="n">
        <v>11</v>
      </c>
      <c r="I131" t="inlineStr">
        <is>
          <t>Routine</t>
        </is>
      </c>
      <c r="J131" s="27" t="n"/>
    </row>
    <row r="132">
      <c r="A132" t="inlineStr">
        <is>
          <t>LAB749252</t>
        </is>
      </c>
      <c r="B132" t="inlineStr">
        <is>
          <t>PT12553</t>
        </is>
      </c>
      <c r="C132" s="26" t="n">
        <v>45993.60625</v>
      </c>
      <c r="D132" t="inlineStr">
        <is>
          <t>Glucose</t>
        </is>
      </c>
      <c r="E132" t="n">
        <v>115</v>
      </c>
      <c r="F132" t="inlineStr">
        <is>
          <t>mg/dL</t>
        </is>
      </c>
      <c r="G132" t="n">
        <v>70</v>
      </c>
      <c r="H132" t="n">
        <v>99</v>
      </c>
      <c r="I132" t="inlineStr">
        <is>
          <t>STAT</t>
        </is>
      </c>
      <c r="J132" s="27" t="n"/>
    </row>
    <row r="133">
      <c r="A133" t="inlineStr">
        <is>
          <t>LAB749257</t>
        </is>
      </c>
      <c r="B133" t="inlineStr">
        <is>
          <t>PT10982</t>
        </is>
      </c>
      <c r="C133" s="26" t="n">
        <v>45993.61388888889</v>
      </c>
      <c r="D133" t="inlineStr">
        <is>
          <t>Glucose</t>
        </is>
      </c>
      <c r="E133" t="n">
        <v>144</v>
      </c>
      <c r="F133" t="inlineStr">
        <is>
          <t>mg/dL</t>
        </is>
      </c>
      <c r="G133" t="n">
        <v>70</v>
      </c>
      <c r="H133" t="n">
        <v>99</v>
      </c>
      <c r="I133" t="inlineStr">
        <is>
          <t>Routine</t>
        </is>
      </c>
      <c r="J133" s="27" t="n"/>
    </row>
    <row r="134">
      <c r="A134" t="inlineStr">
        <is>
          <t>LAB749279</t>
        </is>
      </c>
      <c r="B134" t="inlineStr">
        <is>
          <t>PT13488</t>
        </is>
      </c>
      <c r="C134" s="26" t="n">
        <v>45993.61736111111</v>
      </c>
      <c r="D134" t="inlineStr">
        <is>
          <t>Hemoglobin A1c</t>
        </is>
      </c>
      <c r="E134" t="n">
        <v>7.6</v>
      </c>
      <c r="F134" t="inlineStr">
        <is>
          <t>%</t>
        </is>
      </c>
      <c r="G134" t="n">
        <v>4</v>
      </c>
      <c r="H134" t="n">
        <v>5.6</v>
      </c>
      <c r="I134" t="inlineStr">
        <is>
          <t>Routine</t>
        </is>
      </c>
      <c r="J134" s="27" t="n"/>
    </row>
    <row r="135">
      <c r="A135" t="inlineStr">
        <is>
          <t>LAB749253</t>
        </is>
      </c>
      <c r="B135" t="inlineStr">
        <is>
          <t>PT12553</t>
        </is>
      </c>
      <c r="C135" s="26" t="n">
        <v>45993.61805555555</v>
      </c>
      <c r="D135" t="inlineStr">
        <is>
          <t>Creatinine</t>
        </is>
      </c>
      <c r="E135" t="n">
        <v>2.47</v>
      </c>
      <c r="F135" t="inlineStr">
        <is>
          <t>mg/dL</t>
        </is>
      </c>
      <c r="G135" t="n">
        <v>0.6</v>
      </c>
      <c r="H135" t="n">
        <v>1.3</v>
      </c>
      <c r="I135" t="inlineStr">
        <is>
          <t>Routine</t>
        </is>
      </c>
      <c r="J135" s="27" t="n"/>
    </row>
    <row r="136">
      <c r="A136" t="inlineStr">
        <is>
          <t>LAB749254</t>
        </is>
      </c>
      <c r="B136" t="inlineStr">
        <is>
          <t>PT12553</t>
        </is>
      </c>
      <c r="C136" s="26" t="n">
        <v>45993.62361111111</v>
      </c>
      <c r="D136" t="inlineStr">
        <is>
          <t>White Blood Cell Count</t>
        </is>
      </c>
      <c r="E136" t="n">
        <v>5.6</v>
      </c>
      <c r="F136" t="inlineStr">
        <is>
          <t>K/uL</t>
        </is>
      </c>
      <c r="G136" t="n">
        <v>4.5</v>
      </c>
      <c r="H136" t="n">
        <v>11</v>
      </c>
      <c r="I136" t="inlineStr">
        <is>
          <t>STAT</t>
        </is>
      </c>
      <c r="J136" s="27" t="n"/>
    </row>
    <row r="137">
      <c r="A137" t="inlineStr">
        <is>
          <t>LAB749256</t>
        </is>
      </c>
      <c r="B137" t="inlineStr">
        <is>
          <t>PT12553</t>
        </is>
      </c>
      <c r="C137" s="26" t="n">
        <v>45993.62777777778</v>
      </c>
      <c r="D137" t="inlineStr">
        <is>
          <t>Troponin I, High Sensitivity</t>
        </is>
      </c>
      <c r="E137" t="n">
        <v>4</v>
      </c>
      <c r="F137" t="inlineStr">
        <is>
          <t>ng/L</t>
        </is>
      </c>
      <c r="G137" t="n">
        <v>0</v>
      </c>
      <c r="H137" t="n">
        <v>34</v>
      </c>
      <c r="I137" t="inlineStr">
        <is>
          <t>STAT</t>
        </is>
      </c>
      <c r="J137" s="27" t="n"/>
    </row>
    <row r="138">
      <c r="A138" t="inlineStr">
        <is>
          <t>LAB749283</t>
        </is>
      </c>
      <c r="B138" t="inlineStr">
        <is>
          <t>PT11977</t>
        </is>
      </c>
      <c r="C138" s="26" t="n">
        <v>45993.63333333333</v>
      </c>
      <c r="D138" t="inlineStr">
        <is>
          <t>Glucose</t>
        </is>
      </c>
      <c r="E138" t="n">
        <v>197</v>
      </c>
      <c r="F138" t="inlineStr">
        <is>
          <t>mg/dL</t>
        </is>
      </c>
      <c r="G138" t="n">
        <v>70</v>
      </c>
      <c r="H138" t="n">
        <v>99</v>
      </c>
      <c r="I138" t="inlineStr">
        <is>
          <t>Routine</t>
        </is>
      </c>
      <c r="J138" s="27" t="n"/>
    </row>
    <row r="139">
      <c r="A139" t="inlineStr">
        <is>
          <t>LAB749281</t>
        </is>
      </c>
      <c r="B139" t="inlineStr">
        <is>
          <t>PT11256</t>
        </is>
      </c>
      <c r="C139" s="26" t="n">
        <v>45993.6375</v>
      </c>
      <c r="D139" t="inlineStr">
        <is>
          <t>Creatinine</t>
        </is>
      </c>
      <c r="E139" t="n">
        <v>1.27</v>
      </c>
      <c r="F139" t="inlineStr">
        <is>
          <t>mg/dL</t>
        </is>
      </c>
      <c r="G139" t="n">
        <v>0.6</v>
      </c>
      <c r="H139" t="n">
        <v>1.3</v>
      </c>
      <c r="I139" t="inlineStr">
        <is>
          <t>STAT</t>
        </is>
      </c>
      <c r="J139" s="27" t="n"/>
    </row>
    <row r="140">
      <c r="A140" t="inlineStr">
        <is>
          <t>LAB749278</t>
        </is>
      </c>
      <c r="B140" t="inlineStr">
        <is>
          <t>PT13488</t>
        </is>
      </c>
      <c r="C140" s="26" t="n">
        <v>45993.63819444444</v>
      </c>
      <c r="D140" t="inlineStr">
        <is>
          <t>LDL Cholesterol</t>
        </is>
      </c>
      <c r="E140" t="n">
        <v>149</v>
      </c>
      <c r="F140" t="inlineStr">
        <is>
          <t>mg/dL</t>
        </is>
      </c>
      <c r="G140" t="n">
        <v>0</v>
      </c>
      <c r="H140" t="n">
        <v>99</v>
      </c>
      <c r="I140" t="inlineStr">
        <is>
          <t>Routine</t>
        </is>
      </c>
      <c r="J140" s="27" t="n"/>
    </row>
    <row r="141">
      <c r="A141" t="inlineStr">
        <is>
          <t>LAB749255</t>
        </is>
      </c>
      <c r="B141" t="inlineStr">
        <is>
          <t>PT12553</t>
        </is>
      </c>
      <c r="C141" s="26" t="n">
        <v>45993.64027777778</v>
      </c>
      <c r="D141" t="inlineStr">
        <is>
          <t>Hemoglobin</t>
        </is>
      </c>
      <c r="E141" t="n">
        <v>10.7</v>
      </c>
      <c r="F141" t="inlineStr">
        <is>
          <t>g/dL</t>
        </is>
      </c>
      <c r="G141" t="n">
        <v>12</v>
      </c>
      <c r="H141" t="n">
        <v>17.5</v>
      </c>
      <c r="I141" t="inlineStr">
        <is>
          <t>STAT</t>
        </is>
      </c>
      <c r="J141" s="27" t="n"/>
    </row>
    <row r="142">
      <c r="A142" t="inlineStr">
        <is>
          <t>LAB749284</t>
        </is>
      </c>
      <c r="B142" t="inlineStr">
        <is>
          <t>PT11977</t>
        </is>
      </c>
      <c r="C142" s="26" t="n">
        <v>45993.64583333334</v>
      </c>
      <c r="D142" t="inlineStr">
        <is>
          <t>Creatinine</t>
        </is>
      </c>
      <c r="E142" t="n">
        <v>0.86</v>
      </c>
      <c r="F142" t="inlineStr">
        <is>
          <t>mg/dL</t>
        </is>
      </c>
      <c r="G142" t="n">
        <v>0.6</v>
      </c>
      <c r="H142" t="n">
        <v>1.3</v>
      </c>
      <c r="I142" t="inlineStr">
        <is>
          <t>Routine</t>
        </is>
      </c>
      <c r="J142" s="27" t="n"/>
    </row>
    <row r="143">
      <c r="A143" t="inlineStr">
        <is>
          <t>LAB749282</t>
        </is>
      </c>
      <c r="B143" t="inlineStr">
        <is>
          <t>PT11977</t>
        </is>
      </c>
      <c r="C143" s="26" t="n">
        <v>45993.64652777778</v>
      </c>
      <c r="D143" t="inlineStr">
        <is>
          <t>Hemoglobin A1c</t>
        </is>
      </c>
      <c r="E143" t="n">
        <v>8.5</v>
      </c>
      <c r="F143" t="inlineStr">
        <is>
          <t>%</t>
        </is>
      </c>
      <c r="G143" t="n">
        <v>4</v>
      </c>
      <c r="H143" t="n">
        <v>5.6</v>
      </c>
      <c r="I143" t="inlineStr">
        <is>
          <t>Routine</t>
        </is>
      </c>
      <c r="J143" s="27" t="n"/>
    </row>
    <row r="144">
      <c r="A144" t="inlineStr">
        <is>
          <t>LAB749280</t>
        </is>
      </c>
      <c r="B144" t="inlineStr">
        <is>
          <t>PT11256</t>
        </is>
      </c>
      <c r="C144" s="26" t="n">
        <v>45993.65625</v>
      </c>
      <c r="D144" t="inlineStr">
        <is>
          <t>Glucose</t>
        </is>
      </c>
      <c r="E144" t="n">
        <v>98</v>
      </c>
      <c r="F144" t="inlineStr">
        <is>
          <t>mg/dL</t>
        </is>
      </c>
      <c r="G144" t="n">
        <v>70</v>
      </c>
      <c r="H144" t="n">
        <v>99</v>
      </c>
      <c r="I144" t="inlineStr">
        <is>
          <t>STAT</t>
        </is>
      </c>
      <c r="J144" s="27" t="n"/>
    </row>
    <row r="145">
      <c r="A145" t="inlineStr">
        <is>
          <t>LAB749265</t>
        </is>
      </c>
      <c r="B145" t="inlineStr">
        <is>
          <t>PT10243</t>
        </is>
      </c>
      <c r="C145" s="26" t="n">
        <v>45993.66111111111</v>
      </c>
      <c r="D145" t="inlineStr">
        <is>
          <t>Hemoglobin</t>
        </is>
      </c>
      <c r="E145" t="n">
        <v>14.3</v>
      </c>
      <c r="F145" t="inlineStr">
        <is>
          <t>g/dL</t>
        </is>
      </c>
      <c r="G145" t="n">
        <v>12</v>
      </c>
      <c r="H145" t="n">
        <v>17.5</v>
      </c>
      <c r="I145" t="inlineStr">
        <is>
          <t>STAT</t>
        </is>
      </c>
      <c r="J145" s="27" t="n"/>
    </row>
    <row r="146">
      <c r="A146" t="inlineStr">
        <is>
          <t>LAB749267</t>
        </is>
      </c>
      <c r="B146" t="inlineStr">
        <is>
          <t>PT10243</t>
        </is>
      </c>
      <c r="C146" s="26" t="n">
        <v>45993.66388888889</v>
      </c>
      <c r="D146" t="inlineStr">
        <is>
          <t>Potassium</t>
        </is>
      </c>
      <c r="E146" t="n">
        <v>3.9</v>
      </c>
      <c r="F146" t="inlineStr">
        <is>
          <t>mmol/L</t>
        </is>
      </c>
      <c r="G146" t="n">
        <v>3.5</v>
      </c>
      <c r="H146" t="n">
        <v>5.1</v>
      </c>
      <c r="I146" t="inlineStr">
        <is>
          <t>STAT</t>
        </is>
      </c>
      <c r="J146" s="27" t="n"/>
    </row>
    <row r="147">
      <c r="A147" t="inlineStr">
        <is>
          <t>LAB749262</t>
        </is>
      </c>
      <c r="B147" t="inlineStr">
        <is>
          <t>PT10243</t>
        </is>
      </c>
      <c r="C147" s="26" t="n">
        <v>45993.66944444444</v>
      </c>
      <c r="D147" t="inlineStr">
        <is>
          <t>Glucose</t>
        </is>
      </c>
      <c r="E147" t="n">
        <v>389</v>
      </c>
      <c r="F147" t="inlineStr">
        <is>
          <t>mg/dL</t>
        </is>
      </c>
      <c r="G147" t="n">
        <v>70</v>
      </c>
      <c r="H147" t="n">
        <v>99</v>
      </c>
      <c r="I147" t="inlineStr">
        <is>
          <t>Routine</t>
        </is>
      </c>
      <c r="J147" s="27" t="n"/>
    </row>
    <row r="148">
      <c r="A148" t="inlineStr">
        <is>
          <t>LAB749266</t>
        </is>
      </c>
      <c r="B148" t="inlineStr">
        <is>
          <t>PT10243</t>
        </is>
      </c>
      <c r="C148" s="26" t="n">
        <v>45993.66944444444</v>
      </c>
      <c r="D148" t="inlineStr">
        <is>
          <t>Sodium</t>
        </is>
      </c>
      <c r="E148" t="n">
        <v>138</v>
      </c>
      <c r="F148" t="inlineStr">
        <is>
          <t>mmol/L</t>
        </is>
      </c>
      <c r="G148" t="n">
        <v>136</v>
      </c>
      <c r="H148" t="n">
        <v>145</v>
      </c>
      <c r="I148" t="inlineStr">
        <is>
          <t>Routine</t>
        </is>
      </c>
      <c r="J148" s="27" t="n"/>
    </row>
    <row r="149">
      <c r="A149" t="inlineStr">
        <is>
          <t>LAB749268</t>
        </is>
      </c>
      <c r="B149" t="inlineStr">
        <is>
          <t>PT10243</t>
        </is>
      </c>
      <c r="C149" s="26" t="n">
        <v>45993.67152777778</v>
      </c>
      <c r="D149" t="inlineStr">
        <is>
          <t>Hemoglobin A1c</t>
        </is>
      </c>
      <c r="E149" t="n">
        <v>11.6</v>
      </c>
      <c r="F149" t="inlineStr">
        <is>
          <t>%</t>
        </is>
      </c>
      <c r="G149" t="n">
        <v>4</v>
      </c>
      <c r="H149" t="n">
        <v>5.6</v>
      </c>
      <c r="I149" t="inlineStr">
        <is>
          <t>Routine</t>
        </is>
      </c>
      <c r="J149" s="27" t="n"/>
    </row>
    <row r="150">
      <c r="A150" t="inlineStr">
        <is>
          <t>LAB749263</t>
        </is>
      </c>
      <c r="B150" t="inlineStr">
        <is>
          <t>PT10243</t>
        </is>
      </c>
      <c r="C150" s="26" t="n">
        <v>45993.67361111111</v>
      </c>
      <c r="D150" t="inlineStr">
        <is>
          <t>Creatinine</t>
        </is>
      </c>
      <c r="E150" t="n">
        <v>1.23</v>
      </c>
      <c r="F150" t="inlineStr">
        <is>
          <t>mg/dL</t>
        </is>
      </c>
      <c r="G150" t="n">
        <v>0.6</v>
      </c>
      <c r="H150" t="n">
        <v>1.3</v>
      </c>
      <c r="I150" t="inlineStr">
        <is>
          <t>STAT</t>
        </is>
      </c>
      <c r="J150" s="27" t="n"/>
    </row>
    <row r="151">
      <c r="A151" t="inlineStr">
        <is>
          <t>LAB749264</t>
        </is>
      </c>
      <c r="B151" t="inlineStr">
        <is>
          <t>PT10243</t>
        </is>
      </c>
      <c r="C151" s="26" t="n">
        <v>45993.675</v>
      </c>
      <c r="D151" t="inlineStr">
        <is>
          <t>White Blood Cell Count</t>
        </is>
      </c>
      <c r="E151" t="n">
        <v>6.3</v>
      </c>
      <c r="F151" t="inlineStr">
        <is>
          <t>K/uL</t>
        </is>
      </c>
      <c r="G151" t="n">
        <v>4.5</v>
      </c>
      <c r="H151" t="n">
        <v>11</v>
      </c>
      <c r="I151" t="inlineStr">
        <is>
          <t>STAT</t>
        </is>
      </c>
      <c r="J151" s="27" t="n"/>
    </row>
    <row r="152">
      <c r="A152" t="inlineStr">
        <is>
          <t>LAB749274</t>
        </is>
      </c>
      <c r="B152" t="inlineStr">
        <is>
          <t>PT12744</t>
        </is>
      </c>
      <c r="C152" s="26" t="n">
        <v>45993.69097222222</v>
      </c>
      <c r="D152" t="inlineStr">
        <is>
          <t>White Blood Cell Count</t>
        </is>
      </c>
      <c r="E152" t="n">
        <v>15.5</v>
      </c>
      <c r="F152" t="inlineStr">
        <is>
          <t>K/uL</t>
        </is>
      </c>
      <c r="G152" t="n">
        <v>4.5</v>
      </c>
      <c r="H152" t="n">
        <v>11</v>
      </c>
      <c r="I152" t="inlineStr">
        <is>
          <t>STAT</t>
        </is>
      </c>
      <c r="J152" s="27" t="n"/>
    </row>
    <row r="153">
      <c r="A153" t="inlineStr">
        <is>
          <t>LAB749294</t>
        </is>
      </c>
      <c r="B153" t="inlineStr">
        <is>
          <t>PT10460</t>
        </is>
      </c>
      <c r="C153" s="26" t="n">
        <v>45993.70069444444</v>
      </c>
      <c r="D153" t="inlineStr">
        <is>
          <t>Creatinine</t>
        </is>
      </c>
      <c r="E153" t="n">
        <v>1.36</v>
      </c>
      <c r="F153" t="inlineStr">
        <is>
          <t>mg/dL</t>
        </is>
      </c>
      <c r="G153" t="n">
        <v>0.6</v>
      </c>
      <c r="H153" t="n">
        <v>1.3</v>
      </c>
      <c r="I153" t="inlineStr">
        <is>
          <t>Routine</t>
        </is>
      </c>
      <c r="J153" s="27" t="n"/>
    </row>
    <row r="154">
      <c r="A154" t="inlineStr">
        <is>
          <t>LAB749277</t>
        </is>
      </c>
      <c r="B154" t="inlineStr">
        <is>
          <t>PT12744</t>
        </is>
      </c>
      <c r="C154" s="26" t="n">
        <v>45993.70833333334</v>
      </c>
      <c r="D154" t="inlineStr">
        <is>
          <t>Potassium</t>
        </is>
      </c>
      <c r="E154" t="n">
        <v>3.9</v>
      </c>
      <c r="F154" t="inlineStr">
        <is>
          <t>mmol/L</t>
        </is>
      </c>
      <c r="G154" t="n">
        <v>3.5</v>
      </c>
      <c r="H154" t="n">
        <v>5.1</v>
      </c>
      <c r="I154" t="inlineStr">
        <is>
          <t>STAT</t>
        </is>
      </c>
      <c r="J154" s="27" t="n"/>
    </row>
    <row r="155">
      <c r="A155" t="inlineStr">
        <is>
          <t>LAB749272</t>
        </is>
      </c>
      <c r="B155" t="inlineStr">
        <is>
          <t>PT12744</t>
        </is>
      </c>
      <c r="C155" s="26" t="n">
        <v>45993.70902777778</v>
      </c>
      <c r="D155" t="inlineStr">
        <is>
          <t>Glucose</t>
        </is>
      </c>
      <c r="E155" t="n">
        <v>118</v>
      </c>
      <c r="F155" t="inlineStr">
        <is>
          <t>mg/dL</t>
        </is>
      </c>
      <c r="G155" t="n">
        <v>70</v>
      </c>
      <c r="H155" t="n">
        <v>99</v>
      </c>
      <c r="I155" t="inlineStr">
        <is>
          <t>STAT</t>
        </is>
      </c>
      <c r="J155" s="27" t="n"/>
    </row>
    <row r="156">
      <c r="A156" t="inlineStr">
        <is>
          <t>LAB749275</t>
        </is>
      </c>
      <c r="B156" t="inlineStr">
        <is>
          <t>PT12744</t>
        </is>
      </c>
      <c r="C156" s="26" t="n">
        <v>45993.71319444444</v>
      </c>
      <c r="D156" t="inlineStr">
        <is>
          <t>Hemoglobin</t>
        </is>
      </c>
      <c r="E156" t="n">
        <v>10.3</v>
      </c>
      <c r="F156" t="inlineStr">
        <is>
          <t>g/dL</t>
        </is>
      </c>
      <c r="G156" t="n">
        <v>12</v>
      </c>
      <c r="H156" t="n">
        <v>17.5</v>
      </c>
      <c r="I156" t="inlineStr">
        <is>
          <t>Routine</t>
        </is>
      </c>
      <c r="J156" s="27" t="n"/>
    </row>
    <row r="157">
      <c r="A157" t="inlineStr">
        <is>
          <t>LAB749297</t>
        </is>
      </c>
      <c r="B157" t="inlineStr">
        <is>
          <t>PT13599</t>
        </is>
      </c>
      <c r="C157" s="26" t="n">
        <v>45993.71458333333</v>
      </c>
      <c r="D157" t="inlineStr">
        <is>
          <t>Glucose</t>
        </is>
      </c>
      <c r="E157" t="n">
        <v>123</v>
      </c>
      <c r="F157" t="inlineStr">
        <is>
          <t>mg/dL</t>
        </is>
      </c>
      <c r="G157" t="n">
        <v>70</v>
      </c>
      <c r="H157" t="n">
        <v>99</v>
      </c>
      <c r="I157" t="inlineStr">
        <is>
          <t>Routine</t>
        </is>
      </c>
      <c r="J157" s="27" t="n"/>
    </row>
    <row r="158">
      <c r="A158" t="inlineStr">
        <is>
          <t>LAB749299</t>
        </is>
      </c>
      <c r="B158" t="inlineStr">
        <is>
          <t>PT13599</t>
        </is>
      </c>
      <c r="C158" s="26" t="n">
        <v>45993.71527777778</v>
      </c>
      <c r="D158" t="inlineStr">
        <is>
          <t>White Blood Cell Count</t>
        </is>
      </c>
      <c r="E158" t="n">
        <v>4.6</v>
      </c>
      <c r="F158" t="inlineStr">
        <is>
          <t>K/uL</t>
        </is>
      </c>
      <c r="G158" t="n">
        <v>4.5</v>
      </c>
      <c r="H158" t="n">
        <v>11</v>
      </c>
      <c r="I158" t="inlineStr">
        <is>
          <t>STAT</t>
        </is>
      </c>
      <c r="J158" s="27" t="n"/>
    </row>
    <row r="159">
      <c r="A159" t="inlineStr">
        <is>
          <t>LAB749295</t>
        </is>
      </c>
      <c r="B159" t="inlineStr">
        <is>
          <t>PT10460</t>
        </is>
      </c>
      <c r="C159" s="26" t="n">
        <v>45993.72152777778</v>
      </c>
      <c r="D159" t="inlineStr">
        <is>
          <t>White Blood Cell Count</t>
        </is>
      </c>
      <c r="E159" t="n">
        <v>7.3</v>
      </c>
      <c r="F159" t="inlineStr">
        <is>
          <t>K/uL</t>
        </is>
      </c>
      <c r="G159" t="n">
        <v>4.5</v>
      </c>
      <c r="H159" t="n">
        <v>11</v>
      </c>
      <c r="I159" t="inlineStr">
        <is>
          <t>Routine</t>
        </is>
      </c>
      <c r="J159" s="27" t="n"/>
    </row>
    <row r="160">
      <c r="A160" t="inlineStr">
        <is>
          <t>LAB749296</t>
        </is>
      </c>
      <c r="B160" t="inlineStr">
        <is>
          <t>PT10460</t>
        </is>
      </c>
      <c r="C160" s="26" t="n">
        <v>45993.73055555556</v>
      </c>
      <c r="D160" t="inlineStr">
        <is>
          <t>Hemoglobin</t>
        </is>
      </c>
      <c r="E160" t="n">
        <v>12.1</v>
      </c>
      <c r="F160" t="inlineStr">
        <is>
          <t>g/dL</t>
        </is>
      </c>
      <c r="G160" t="n">
        <v>12</v>
      </c>
      <c r="H160" t="n">
        <v>17.5</v>
      </c>
      <c r="I160" t="inlineStr">
        <is>
          <t>STAT</t>
        </is>
      </c>
      <c r="J160" s="27" t="n"/>
    </row>
    <row r="161">
      <c r="A161" t="inlineStr">
        <is>
          <t>LAB749298</t>
        </is>
      </c>
      <c r="B161" t="inlineStr">
        <is>
          <t>PT13599</t>
        </is>
      </c>
      <c r="C161" s="26" t="n">
        <v>45993.73194444444</v>
      </c>
      <c r="D161" t="inlineStr">
        <is>
          <t>Creatinine</t>
        </is>
      </c>
      <c r="E161" t="n">
        <v>1.02</v>
      </c>
      <c r="F161" t="inlineStr">
        <is>
          <t>mg/dL</t>
        </is>
      </c>
      <c r="G161" t="n">
        <v>0.6</v>
      </c>
      <c r="H161" t="n">
        <v>1.3</v>
      </c>
      <c r="I161" t="inlineStr">
        <is>
          <t>STAT</t>
        </is>
      </c>
      <c r="J161" s="27" t="n"/>
    </row>
    <row r="162">
      <c r="A162" t="inlineStr">
        <is>
          <t>LAB749273</t>
        </is>
      </c>
      <c r="B162" t="inlineStr">
        <is>
          <t>PT12744</t>
        </is>
      </c>
      <c r="C162" s="26" t="n">
        <v>45993.73263888889</v>
      </c>
      <c r="D162" t="inlineStr">
        <is>
          <t>Creatinine</t>
        </is>
      </c>
      <c r="E162" t="n">
        <v>0.6899999999999999</v>
      </c>
      <c r="F162" t="inlineStr">
        <is>
          <t>mg/dL</t>
        </is>
      </c>
      <c r="G162" t="n">
        <v>0.6</v>
      </c>
      <c r="H162" t="n">
        <v>1.3</v>
      </c>
      <c r="I162" t="inlineStr">
        <is>
          <t>Routine</t>
        </is>
      </c>
      <c r="J162" s="27" t="n"/>
    </row>
    <row r="163">
      <c r="A163" t="inlineStr">
        <is>
          <t>LAB749276</t>
        </is>
      </c>
      <c r="B163" t="inlineStr">
        <is>
          <t>PT12744</t>
        </is>
      </c>
      <c r="C163" s="26" t="n">
        <v>45993.74097222222</v>
      </c>
      <c r="D163" t="inlineStr">
        <is>
          <t>Sodium</t>
        </is>
      </c>
      <c r="E163" t="n">
        <v>137</v>
      </c>
      <c r="F163" t="inlineStr">
        <is>
          <t>mmol/L</t>
        </is>
      </c>
      <c r="G163" t="n">
        <v>136</v>
      </c>
      <c r="H163" t="n">
        <v>145</v>
      </c>
      <c r="I163" t="inlineStr">
        <is>
          <t>STAT</t>
        </is>
      </c>
      <c r="J163" s="27" t="n"/>
    </row>
    <row r="164">
      <c r="A164" t="inlineStr">
        <is>
          <t>LAB749293</t>
        </is>
      </c>
      <c r="B164" t="inlineStr">
        <is>
          <t>PT10460</t>
        </is>
      </c>
      <c r="C164" s="26" t="n">
        <v>45993.74236111111</v>
      </c>
      <c r="D164" t="inlineStr">
        <is>
          <t>Glucose</t>
        </is>
      </c>
      <c r="E164" t="n">
        <v>97</v>
      </c>
      <c r="F164" t="inlineStr">
        <is>
          <t>mg/dL</t>
        </is>
      </c>
      <c r="G164" t="n">
        <v>70</v>
      </c>
      <c r="H164" t="n">
        <v>99</v>
      </c>
      <c r="I164" t="inlineStr">
        <is>
          <t>Routine</t>
        </is>
      </c>
      <c r="J164" s="27" t="n"/>
    </row>
    <row r="165">
      <c r="A165" t="inlineStr">
        <is>
          <t>LAB749301</t>
        </is>
      </c>
      <c r="B165" t="inlineStr">
        <is>
          <t>PT13677</t>
        </is>
      </c>
      <c r="C165" s="26" t="n">
        <v>45993.85625</v>
      </c>
      <c r="D165" t="inlineStr">
        <is>
          <t>Creatinine</t>
        </is>
      </c>
      <c r="E165" t="n">
        <v>1.53</v>
      </c>
      <c r="F165" t="inlineStr">
        <is>
          <t>mg/dL</t>
        </is>
      </c>
      <c r="G165" t="n">
        <v>0.6</v>
      </c>
      <c r="H165" t="n">
        <v>1.3</v>
      </c>
      <c r="I165" t="inlineStr">
        <is>
          <t>Routine</t>
        </is>
      </c>
      <c r="J165" s="27" t="n"/>
    </row>
    <row r="166">
      <c r="A166" t="inlineStr">
        <is>
          <t>LAB749290</t>
        </is>
      </c>
      <c r="B166" t="inlineStr">
        <is>
          <t>PT10141</t>
        </is>
      </c>
      <c r="C166" s="26" t="n">
        <v>45993.86180555556</v>
      </c>
      <c r="D166" t="inlineStr">
        <is>
          <t>Potassium</t>
        </is>
      </c>
      <c r="E166" t="n">
        <v>4</v>
      </c>
      <c r="F166" t="inlineStr">
        <is>
          <t>mmol/L</t>
        </is>
      </c>
      <c r="G166" t="n">
        <v>3.5</v>
      </c>
      <c r="H166" t="n">
        <v>5.1</v>
      </c>
      <c r="I166" t="inlineStr">
        <is>
          <t>STAT</t>
        </is>
      </c>
      <c r="J166" s="27" t="n"/>
    </row>
    <row r="167">
      <c r="A167" t="inlineStr">
        <is>
          <t>LAB749286</t>
        </is>
      </c>
      <c r="B167" t="inlineStr">
        <is>
          <t>PT10141</t>
        </is>
      </c>
      <c r="C167" s="26" t="n">
        <v>45993.86458333334</v>
      </c>
      <c r="D167" t="inlineStr">
        <is>
          <t>Creatinine</t>
        </is>
      </c>
      <c r="E167" t="n">
        <v>0.79</v>
      </c>
      <c r="F167" t="inlineStr">
        <is>
          <t>mg/dL</t>
        </is>
      </c>
      <c r="G167" t="n">
        <v>0.6</v>
      </c>
      <c r="H167" t="n">
        <v>1.3</v>
      </c>
      <c r="I167" t="inlineStr">
        <is>
          <t>STAT</t>
        </is>
      </c>
      <c r="J167" s="27" t="n"/>
    </row>
    <row r="168">
      <c r="A168" t="inlineStr">
        <is>
          <t>LAB749287</t>
        </is>
      </c>
      <c r="B168" t="inlineStr">
        <is>
          <t>PT10141</t>
        </is>
      </c>
      <c r="C168" s="26" t="n">
        <v>45993.86527777778</v>
      </c>
      <c r="D168" t="inlineStr">
        <is>
          <t>White Blood Cell Count</t>
        </is>
      </c>
      <c r="E168" t="n">
        <v>8.800000000000001</v>
      </c>
      <c r="F168" t="inlineStr">
        <is>
          <t>K/uL</t>
        </is>
      </c>
      <c r="G168" t="n">
        <v>4.5</v>
      </c>
      <c r="H168" t="n">
        <v>11</v>
      </c>
      <c r="I168" t="inlineStr">
        <is>
          <t>Routine</t>
        </is>
      </c>
      <c r="J168" s="27" t="n"/>
    </row>
    <row r="169">
      <c r="A169" t="inlineStr">
        <is>
          <t>LAB749288</t>
        </is>
      </c>
      <c r="B169" t="inlineStr">
        <is>
          <t>PT10141</t>
        </is>
      </c>
      <c r="C169" s="26" t="n">
        <v>45993.87222222222</v>
      </c>
      <c r="D169" t="inlineStr">
        <is>
          <t>Hemoglobin</t>
        </is>
      </c>
      <c r="E169" t="n">
        <v>11.4</v>
      </c>
      <c r="F169" t="inlineStr">
        <is>
          <t>g/dL</t>
        </is>
      </c>
      <c r="G169" t="n">
        <v>12</v>
      </c>
      <c r="H169" t="n">
        <v>17.5</v>
      </c>
      <c r="I169" t="inlineStr">
        <is>
          <t>STAT</t>
        </is>
      </c>
      <c r="J169" s="27" t="n"/>
    </row>
    <row r="170">
      <c r="A170" t="inlineStr">
        <is>
          <t>LAB749292</t>
        </is>
      </c>
      <c r="B170" t="inlineStr">
        <is>
          <t>PT10141</t>
        </is>
      </c>
      <c r="C170" s="26" t="n">
        <v>45993.88819444444</v>
      </c>
      <c r="D170" t="inlineStr">
        <is>
          <t>Platelet Count</t>
        </is>
      </c>
      <c r="E170" t="n">
        <v>243</v>
      </c>
      <c r="F170" t="inlineStr">
        <is>
          <t>K/uL</t>
        </is>
      </c>
      <c r="G170" t="n">
        <v>150</v>
      </c>
      <c r="H170" t="n">
        <v>400</v>
      </c>
      <c r="I170" t="inlineStr">
        <is>
          <t>STAT</t>
        </is>
      </c>
      <c r="J170" s="27" t="n"/>
    </row>
    <row r="171">
      <c r="A171" t="inlineStr">
        <is>
          <t>LAB749285</t>
        </is>
      </c>
      <c r="B171" t="inlineStr">
        <is>
          <t>PT10141</t>
        </is>
      </c>
      <c r="C171" s="26" t="n">
        <v>45993.89583333334</v>
      </c>
      <c r="D171" t="inlineStr">
        <is>
          <t>Glucose</t>
        </is>
      </c>
      <c r="E171" t="n">
        <v>100</v>
      </c>
      <c r="F171" t="inlineStr">
        <is>
          <t>mg/dL</t>
        </is>
      </c>
      <c r="G171" t="n">
        <v>70</v>
      </c>
      <c r="H171" t="n">
        <v>99</v>
      </c>
      <c r="I171" t="inlineStr">
        <is>
          <t>STAT</t>
        </is>
      </c>
      <c r="J171" s="27" t="n"/>
    </row>
    <row r="172">
      <c r="A172" t="inlineStr">
        <is>
          <t>LAB749300</t>
        </is>
      </c>
      <c r="B172" t="inlineStr">
        <is>
          <t>PT13677</t>
        </is>
      </c>
      <c r="C172" s="26" t="n">
        <v>45993.89583333334</v>
      </c>
      <c r="D172" t="inlineStr">
        <is>
          <t>Glucose</t>
        </is>
      </c>
      <c r="E172" t="n">
        <v>111</v>
      </c>
      <c r="F172" t="inlineStr">
        <is>
          <t>mg/dL</t>
        </is>
      </c>
      <c r="G172" t="n">
        <v>70</v>
      </c>
      <c r="H172" t="n">
        <v>99</v>
      </c>
      <c r="I172" t="inlineStr">
        <is>
          <t>Routine</t>
        </is>
      </c>
      <c r="J172" s="27" t="n"/>
    </row>
    <row r="173">
      <c r="A173" t="inlineStr">
        <is>
          <t>LAB749303</t>
        </is>
      </c>
      <c r="B173" t="inlineStr">
        <is>
          <t>PT13677</t>
        </is>
      </c>
      <c r="C173" s="26" t="n">
        <v>45993.89652777778</v>
      </c>
      <c r="D173" t="inlineStr">
        <is>
          <t>Hemoglobin</t>
        </is>
      </c>
      <c r="E173" t="n">
        <v>13.7</v>
      </c>
      <c r="F173" t="inlineStr">
        <is>
          <t>g/dL</t>
        </is>
      </c>
      <c r="G173" t="n">
        <v>12</v>
      </c>
      <c r="H173" t="n">
        <v>17.5</v>
      </c>
      <c r="I173" t="inlineStr">
        <is>
          <t>STAT</t>
        </is>
      </c>
      <c r="J173" s="27" t="n"/>
    </row>
    <row r="174">
      <c r="A174" t="inlineStr">
        <is>
          <t>LAB749289</t>
        </is>
      </c>
      <c r="B174" t="inlineStr">
        <is>
          <t>PT10141</t>
        </is>
      </c>
      <c r="C174" s="26" t="n">
        <v>45993.89861111111</v>
      </c>
      <c r="D174" t="inlineStr">
        <is>
          <t>Sodium</t>
        </is>
      </c>
      <c r="E174" t="n">
        <v>125</v>
      </c>
      <c r="F174" t="inlineStr">
        <is>
          <t>mmol/L</t>
        </is>
      </c>
      <c r="G174" t="n">
        <v>136</v>
      </c>
      <c r="H174" t="n">
        <v>145</v>
      </c>
      <c r="I174" t="inlineStr">
        <is>
          <t>STAT</t>
        </is>
      </c>
      <c r="J174" s="27" t="n"/>
    </row>
    <row r="175">
      <c r="A175" t="inlineStr">
        <is>
          <t>LAB749291</t>
        </is>
      </c>
      <c r="B175" t="inlineStr">
        <is>
          <t>PT10141</t>
        </is>
      </c>
      <c r="C175" s="26" t="n">
        <v>45993.89861111111</v>
      </c>
      <c r="D175" t="inlineStr">
        <is>
          <t>Blood Urea Nitrogen</t>
        </is>
      </c>
      <c r="E175" t="n">
        <v>19</v>
      </c>
      <c r="F175" t="inlineStr">
        <is>
          <t>mg/dL</t>
        </is>
      </c>
      <c r="G175" t="n">
        <v>7</v>
      </c>
      <c r="H175" t="n">
        <v>20</v>
      </c>
      <c r="I175" t="inlineStr">
        <is>
          <t>STAT</t>
        </is>
      </c>
      <c r="J175" s="27" t="n"/>
    </row>
    <row r="176">
      <c r="A176" t="inlineStr">
        <is>
          <t>LAB749302</t>
        </is>
      </c>
      <c r="B176" t="inlineStr">
        <is>
          <t>PT13677</t>
        </is>
      </c>
      <c r="C176" s="26" t="n">
        <v>45993.89861111111</v>
      </c>
      <c r="D176" t="inlineStr">
        <is>
          <t>White Blood Cell Count</t>
        </is>
      </c>
      <c r="E176" t="n">
        <v>12.4</v>
      </c>
      <c r="F176" t="inlineStr">
        <is>
          <t>K/uL</t>
        </is>
      </c>
      <c r="G176" t="n">
        <v>4.5</v>
      </c>
      <c r="H176" t="n">
        <v>11</v>
      </c>
      <c r="I176" t="inlineStr">
        <is>
          <t>STAT</t>
        </is>
      </c>
      <c r="J176" s="27" t="n"/>
    </row>
    <row r="177">
      <c r="A177" t="inlineStr">
        <is>
          <t>LAB749305</t>
        </is>
      </c>
      <c r="B177" t="inlineStr">
        <is>
          <t>PT10452</t>
        </is>
      </c>
      <c r="C177" s="26" t="n">
        <v>45993.96388888889</v>
      </c>
      <c r="D177" t="inlineStr">
        <is>
          <t>Creatinine</t>
        </is>
      </c>
      <c r="E177" t="n">
        <v>2.73</v>
      </c>
      <c r="F177" t="inlineStr">
        <is>
          <t>mg/dL</t>
        </is>
      </c>
      <c r="G177" t="n">
        <v>0.6</v>
      </c>
      <c r="H177" t="n">
        <v>1.3</v>
      </c>
      <c r="I177" t="inlineStr">
        <is>
          <t>Routine</t>
        </is>
      </c>
      <c r="J177" s="27" t="n"/>
    </row>
    <row r="178">
      <c r="A178" t="inlineStr">
        <is>
          <t>LAB749310</t>
        </is>
      </c>
      <c r="B178" t="inlineStr">
        <is>
          <t>PT10452</t>
        </is>
      </c>
      <c r="C178" s="26" t="n">
        <v>45993.96458333333</v>
      </c>
      <c r="D178" t="inlineStr">
        <is>
          <t>Blood Urea Nitrogen</t>
        </is>
      </c>
      <c r="E178" t="n">
        <v>20</v>
      </c>
      <c r="F178" t="inlineStr">
        <is>
          <t>mg/dL</t>
        </is>
      </c>
      <c r="G178" t="n">
        <v>7</v>
      </c>
      <c r="H178" t="n">
        <v>20</v>
      </c>
      <c r="I178" t="inlineStr">
        <is>
          <t>STAT</t>
        </is>
      </c>
      <c r="J178" s="27" t="n"/>
    </row>
    <row r="179">
      <c r="A179" t="inlineStr">
        <is>
          <t>LAB749309</t>
        </is>
      </c>
      <c r="B179" t="inlineStr">
        <is>
          <t>PT10452</t>
        </is>
      </c>
      <c r="C179" s="26" t="n">
        <v>45993.96805555555</v>
      </c>
      <c r="D179" t="inlineStr">
        <is>
          <t>Potassium</t>
        </is>
      </c>
      <c r="E179" t="n">
        <v>3.9</v>
      </c>
      <c r="F179" t="inlineStr">
        <is>
          <t>mmol/L</t>
        </is>
      </c>
      <c r="G179" t="n">
        <v>3.5</v>
      </c>
      <c r="H179" t="n">
        <v>5.1</v>
      </c>
      <c r="I179" t="inlineStr">
        <is>
          <t>STAT</t>
        </is>
      </c>
      <c r="J179" s="27" t="n"/>
    </row>
    <row r="180">
      <c r="A180" t="inlineStr">
        <is>
          <t>LAB749308</t>
        </is>
      </c>
      <c r="B180" t="inlineStr">
        <is>
          <t>PT10452</t>
        </is>
      </c>
      <c r="C180" s="26" t="n">
        <v>45993.99027777778</v>
      </c>
      <c r="D180" t="inlineStr">
        <is>
          <t>Sodium</t>
        </is>
      </c>
      <c r="E180" t="n">
        <v>140</v>
      </c>
      <c r="F180" t="inlineStr">
        <is>
          <t>mmol/L</t>
        </is>
      </c>
      <c r="G180" t="n">
        <v>136</v>
      </c>
      <c r="H180" t="n">
        <v>145</v>
      </c>
      <c r="I180" t="inlineStr">
        <is>
          <t>Routine</t>
        </is>
      </c>
      <c r="J180" s="27" t="n"/>
    </row>
    <row r="181">
      <c r="A181" t="inlineStr">
        <is>
          <t>LAB749304</t>
        </is>
      </c>
      <c r="B181" t="inlineStr">
        <is>
          <t>PT10452</t>
        </is>
      </c>
      <c r="C181" s="26" t="n">
        <v>45993.99583333333</v>
      </c>
      <c r="D181" t="inlineStr">
        <is>
          <t>Glucose</t>
        </is>
      </c>
      <c r="E181" t="n">
        <v>215</v>
      </c>
      <c r="F181" t="inlineStr">
        <is>
          <t>mg/dL</t>
        </is>
      </c>
      <c r="G181" t="n">
        <v>70</v>
      </c>
      <c r="H181" t="n">
        <v>99</v>
      </c>
      <c r="I181" t="inlineStr">
        <is>
          <t>STAT</t>
        </is>
      </c>
      <c r="J181" s="27" t="n"/>
    </row>
    <row r="182">
      <c r="A182" t="inlineStr">
        <is>
          <t>LAB749311</t>
        </is>
      </c>
      <c r="B182" t="inlineStr">
        <is>
          <t>PT10452</t>
        </is>
      </c>
      <c r="C182" s="26" t="n">
        <v>45993.99861111111</v>
      </c>
      <c r="D182" t="inlineStr">
        <is>
          <t>Platelet Count</t>
        </is>
      </c>
      <c r="E182" t="n">
        <v>261</v>
      </c>
      <c r="F182" t="inlineStr">
        <is>
          <t>K/uL</t>
        </is>
      </c>
      <c r="G182" t="n">
        <v>150</v>
      </c>
      <c r="H182" t="n">
        <v>400</v>
      </c>
      <c r="I182" t="inlineStr">
        <is>
          <t>STAT</t>
        </is>
      </c>
      <c r="J182" s="27" t="n"/>
    </row>
    <row r="183">
      <c r="A183" t="inlineStr">
        <is>
          <t>LAB749306</t>
        </is>
      </c>
      <c r="B183" t="inlineStr">
        <is>
          <t>PT10452</t>
        </is>
      </c>
      <c r="C183" s="26" t="n">
        <v>45994.00347222222</v>
      </c>
      <c r="D183" t="inlineStr">
        <is>
          <t>White Blood Cell Count</t>
        </is>
      </c>
      <c r="E183" t="n">
        <v>5.8</v>
      </c>
      <c r="F183" t="inlineStr">
        <is>
          <t>K/uL</t>
        </is>
      </c>
      <c r="G183" t="n">
        <v>4.5</v>
      </c>
      <c r="H183" t="n">
        <v>11</v>
      </c>
      <c r="I183" t="inlineStr">
        <is>
          <t>STAT</t>
        </is>
      </c>
      <c r="J183" s="27" t="n"/>
    </row>
    <row r="184">
      <c r="A184" t="inlineStr">
        <is>
          <t>LAB749307</t>
        </is>
      </c>
      <c r="B184" t="inlineStr">
        <is>
          <t>PT10452</t>
        </is>
      </c>
      <c r="C184" s="26" t="n">
        <v>45994.00555555556</v>
      </c>
      <c r="D184" t="inlineStr">
        <is>
          <t>Hemoglobin</t>
        </is>
      </c>
      <c r="E184" t="n">
        <v>10.2</v>
      </c>
      <c r="F184" t="inlineStr">
        <is>
          <t>g/dL</t>
        </is>
      </c>
      <c r="G184" t="n">
        <v>12</v>
      </c>
      <c r="H184" t="n">
        <v>17.5</v>
      </c>
      <c r="I184" t="inlineStr">
        <is>
          <t>Routine</t>
        </is>
      </c>
      <c r="J184" s="27" t="n"/>
    </row>
    <row r="185">
      <c r="A185" t="inlineStr">
        <is>
          <t>LAB749320</t>
        </is>
      </c>
      <c r="B185" t="inlineStr">
        <is>
          <t>PT10523</t>
        </is>
      </c>
      <c r="C185" s="26" t="n">
        <v>45994.03194444445</v>
      </c>
      <c r="D185" t="inlineStr">
        <is>
          <t>Creatinine</t>
        </is>
      </c>
      <c r="E185" t="n">
        <v>1.38</v>
      </c>
      <c r="F185" t="inlineStr">
        <is>
          <t>mg/dL</t>
        </is>
      </c>
      <c r="G185" t="n">
        <v>0.6</v>
      </c>
      <c r="H185" t="n">
        <v>1.3</v>
      </c>
      <c r="I185" t="inlineStr">
        <is>
          <t>Routine</t>
        </is>
      </c>
      <c r="J185" s="27" t="n"/>
    </row>
    <row r="186">
      <c r="A186" t="inlineStr">
        <is>
          <t>LAB749318</t>
        </is>
      </c>
      <c r="B186" t="inlineStr">
        <is>
          <t>PT10419</t>
        </is>
      </c>
      <c r="C186" s="26" t="n">
        <v>45994.04513888889</v>
      </c>
      <c r="D186" t="inlineStr">
        <is>
          <t>Lactate</t>
        </is>
      </c>
      <c r="E186" t="n">
        <v>2.7</v>
      </c>
      <c r="F186" t="inlineStr">
        <is>
          <t>mmol/L</t>
        </is>
      </c>
      <c r="G186" t="n">
        <v>0.5</v>
      </c>
      <c r="H186" t="n">
        <v>2</v>
      </c>
      <c r="I186" t="inlineStr">
        <is>
          <t>STAT</t>
        </is>
      </c>
      <c r="J186" s="27" t="n"/>
    </row>
    <row r="187">
      <c r="A187" t="inlineStr">
        <is>
          <t>LAB749314</t>
        </is>
      </c>
      <c r="B187" t="inlineStr">
        <is>
          <t>PT10419</t>
        </is>
      </c>
      <c r="C187" s="26" t="n">
        <v>45994.05555555555</v>
      </c>
      <c r="D187" t="inlineStr">
        <is>
          <t>White Blood Cell Count</t>
        </is>
      </c>
      <c r="E187" t="n">
        <v>9.800000000000001</v>
      </c>
      <c r="F187" t="inlineStr">
        <is>
          <t>K/uL</t>
        </is>
      </c>
      <c r="G187" t="n">
        <v>4.5</v>
      </c>
      <c r="H187" t="n">
        <v>11</v>
      </c>
      <c r="I187" t="inlineStr">
        <is>
          <t>Routine</t>
        </is>
      </c>
      <c r="J187" s="27" t="n"/>
    </row>
    <row r="188">
      <c r="A188" t="inlineStr">
        <is>
          <t>LAB749317</t>
        </is>
      </c>
      <c r="B188" t="inlineStr">
        <is>
          <t>PT10419</t>
        </is>
      </c>
      <c r="C188" s="26" t="n">
        <v>45994.05833333333</v>
      </c>
      <c r="D188" t="inlineStr">
        <is>
          <t>Potassium</t>
        </is>
      </c>
      <c r="E188" t="n">
        <v>4.1</v>
      </c>
      <c r="F188" t="inlineStr">
        <is>
          <t>mmol/L</t>
        </is>
      </c>
      <c r="G188" t="n">
        <v>3.5</v>
      </c>
      <c r="H188" t="n">
        <v>5.1</v>
      </c>
      <c r="I188" t="inlineStr">
        <is>
          <t>STAT</t>
        </is>
      </c>
      <c r="J188" s="27" t="n"/>
    </row>
    <row r="189">
      <c r="A189" t="inlineStr">
        <is>
          <t>LAB749312</t>
        </is>
      </c>
      <c r="B189" t="inlineStr">
        <is>
          <t>PT10419</t>
        </is>
      </c>
      <c r="C189" s="26" t="n">
        <v>45994.05902777778</v>
      </c>
      <c r="D189" t="inlineStr">
        <is>
          <t>Glucose</t>
        </is>
      </c>
      <c r="E189" t="n">
        <v>171</v>
      </c>
      <c r="F189" t="inlineStr">
        <is>
          <t>mg/dL</t>
        </is>
      </c>
      <c r="G189" t="n">
        <v>70</v>
      </c>
      <c r="H189" t="n">
        <v>99</v>
      </c>
      <c r="I189" t="inlineStr">
        <is>
          <t>Routine</t>
        </is>
      </c>
      <c r="J189" s="27" t="n"/>
    </row>
    <row r="190">
      <c r="A190" t="inlineStr">
        <is>
          <t>LAB749313</t>
        </is>
      </c>
      <c r="B190" t="inlineStr">
        <is>
          <t>PT10419</t>
        </is>
      </c>
      <c r="C190" s="26" t="n">
        <v>45994.06319444445</v>
      </c>
      <c r="D190" t="inlineStr">
        <is>
          <t>Creatinine</t>
        </is>
      </c>
      <c r="E190" t="n">
        <v>0.83</v>
      </c>
      <c r="F190" t="inlineStr">
        <is>
          <t>mg/dL</t>
        </is>
      </c>
      <c r="G190" t="n">
        <v>0.6</v>
      </c>
      <c r="H190" t="n">
        <v>1.3</v>
      </c>
      <c r="I190" t="inlineStr">
        <is>
          <t>Routine</t>
        </is>
      </c>
      <c r="J190" s="27" t="n"/>
    </row>
    <row r="191">
      <c r="A191" t="inlineStr">
        <is>
          <t>LAB749319</t>
        </is>
      </c>
      <c r="B191" t="inlineStr">
        <is>
          <t>PT10523</t>
        </is>
      </c>
      <c r="C191" s="26" t="n">
        <v>45994.06736111111</v>
      </c>
      <c r="D191" t="inlineStr">
        <is>
          <t>Glucose</t>
        </is>
      </c>
      <c r="E191" t="n">
        <v>72</v>
      </c>
      <c r="F191" t="inlineStr">
        <is>
          <t>mg/dL</t>
        </is>
      </c>
      <c r="G191" t="n">
        <v>70</v>
      </c>
      <c r="H191" t="n">
        <v>99</v>
      </c>
      <c r="I191" t="inlineStr">
        <is>
          <t>STAT</t>
        </is>
      </c>
      <c r="J191" s="27" t="n"/>
    </row>
    <row r="192">
      <c r="A192" t="inlineStr">
        <is>
          <t>LAB749316</t>
        </is>
      </c>
      <c r="B192" t="inlineStr">
        <is>
          <t>PT10419</t>
        </is>
      </c>
      <c r="C192" s="26" t="n">
        <v>45994.07291666666</v>
      </c>
      <c r="D192" t="inlineStr">
        <is>
          <t>Sodium</t>
        </is>
      </c>
      <c r="E192" t="n">
        <v>140</v>
      </c>
      <c r="F192" t="inlineStr">
        <is>
          <t>mmol/L</t>
        </is>
      </c>
      <c r="G192" t="n">
        <v>136</v>
      </c>
      <c r="H192" t="n">
        <v>145</v>
      </c>
      <c r="I192" t="inlineStr">
        <is>
          <t>Routine</t>
        </is>
      </c>
      <c r="J192" s="27" t="n"/>
    </row>
    <row r="193">
      <c r="A193" t="inlineStr">
        <is>
          <t>LAB749315</t>
        </is>
      </c>
      <c r="B193" t="inlineStr">
        <is>
          <t>PT10419</t>
        </is>
      </c>
      <c r="C193" s="26" t="n">
        <v>45994.075</v>
      </c>
      <c r="D193" t="inlineStr">
        <is>
          <t>Hemoglobin</t>
        </is>
      </c>
      <c r="E193" t="n">
        <v>12.7</v>
      </c>
      <c r="F193" t="inlineStr">
        <is>
          <t>g/dL</t>
        </is>
      </c>
      <c r="G193" t="n">
        <v>12</v>
      </c>
      <c r="H193" t="n">
        <v>17.5</v>
      </c>
      <c r="I193" t="inlineStr">
        <is>
          <t>STAT</t>
        </is>
      </c>
      <c r="J193" s="27" t="n"/>
    </row>
    <row r="194">
      <c r="A194" t="inlineStr">
        <is>
          <t>LAB749321</t>
        </is>
      </c>
      <c r="B194" t="inlineStr">
        <is>
          <t>PT12665</t>
        </is>
      </c>
      <c r="C194" s="26" t="n">
        <v>45994.075</v>
      </c>
      <c r="D194" t="inlineStr">
        <is>
          <t>Glucose</t>
        </is>
      </c>
      <c r="E194" t="n">
        <v>136</v>
      </c>
      <c r="F194" t="inlineStr">
        <is>
          <t>mg/dL</t>
        </is>
      </c>
      <c r="G194" t="n">
        <v>70</v>
      </c>
      <c r="H194" t="n">
        <v>99</v>
      </c>
      <c r="I194" t="inlineStr">
        <is>
          <t>Routine</t>
        </is>
      </c>
      <c r="J194" s="27" t="n"/>
    </row>
    <row r="195">
      <c r="A195" t="inlineStr">
        <is>
          <t>LAB749324</t>
        </is>
      </c>
      <c r="B195" t="inlineStr">
        <is>
          <t>PT12665</t>
        </is>
      </c>
      <c r="C195" s="26" t="n">
        <v>45994.08194444444</v>
      </c>
      <c r="D195" t="inlineStr">
        <is>
          <t>Hemoglobin</t>
        </is>
      </c>
      <c r="E195" t="n">
        <v>12.4</v>
      </c>
      <c r="F195" t="inlineStr">
        <is>
          <t>g/dL</t>
        </is>
      </c>
      <c r="G195" t="n">
        <v>12</v>
      </c>
      <c r="H195" t="n">
        <v>17.5</v>
      </c>
      <c r="I195" t="inlineStr">
        <is>
          <t>STAT</t>
        </is>
      </c>
      <c r="J195" s="27" t="n"/>
    </row>
    <row r="196">
      <c r="A196" t="inlineStr">
        <is>
          <t>LAB749323</t>
        </is>
      </c>
      <c r="B196" t="inlineStr">
        <is>
          <t>PT12665</t>
        </is>
      </c>
      <c r="C196" s="26" t="n">
        <v>45994.09583333333</v>
      </c>
      <c r="D196" t="inlineStr">
        <is>
          <t>White Blood Cell Count</t>
        </is>
      </c>
      <c r="E196" t="n">
        <v>7.3</v>
      </c>
      <c r="F196" t="inlineStr">
        <is>
          <t>K/uL</t>
        </is>
      </c>
      <c r="G196" t="n">
        <v>4.5</v>
      </c>
      <c r="H196" t="n">
        <v>11</v>
      </c>
      <c r="I196" t="inlineStr">
        <is>
          <t>STAT</t>
        </is>
      </c>
      <c r="J196" s="27" t="n"/>
    </row>
    <row r="197">
      <c r="A197" t="inlineStr">
        <is>
          <t>LAB749325</t>
        </is>
      </c>
      <c r="B197" t="inlineStr">
        <is>
          <t>PT12665</t>
        </is>
      </c>
      <c r="C197" s="26" t="n">
        <v>45994.10486111111</v>
      </c>
      <c r="D197" t="inlineStr">
        <is>
          <t>Sodium</t>
        </is>
      </c>
      <c r="E197" t="n">
        <v>137</v>
      </c>
      <c r="F197" t="inlineStr">
        <is>
          <t>mmol/L</t>
        </is>
      </c>
      <c r="G197" t="n">
        <v>136</v>
      </c>
      <c r="H197" t="n">
        <v>145</v>
      </c>
      <c r="I197" t="inlineStr">
        <is>
          <t>Routine</t>
        </is>
      </c>
      <c r="J197" s="27" t="n"/>
    </row>
    <row r="198">
      <c r="A198" t="inlineStr">
        <is>
          <t>LAB749326</t>
        </is>
      </c>
      <c r="B198" t="inlineStr">
        <is>
          <t>PT12665</t>
        </is>
      </c>
      <c r="C198" s="26" t="n">
        <v>45994.11388888889</v>
      </c>
      <c r="D198" t="inlineStr">
        <is>
          <t>Potassium</t>
        </is>
      </c>
      <c r="E198" t="n">
        <v>4</v>
      </c>
      <c r="F198" t="inlineStr">
        <is>
          <t>mmol/L</t>
        </is>
      </c>
      <c r="G198" t="n">
        <v>3.5</v>
      </c>
      <c r="H198" t="n">
        <v>5.1</v>
      </c>
      <c r="I198" t="inlineStr">
        <is>
          <t>STAT</t>
        </is>
      </c>
      <c r="J198" s="27" t="n"/>
    </row>
    <row r="199">
      <c r="A199" t="inlineStr">
        <is>
          <t>LAB749322</t>
        </is>
      </c>
      <c r="B199" t="inlineStr">
        <is>
          <t>PT12665</t>
        </is>
      </c>
      <c r="C199" s="26" t="n">
        <v>45994.11597222222</v>
      </c>
      <c r="D199" t="inlineStr">
        <is>
          <t>Creatinine</t>
        </is>
      </c>
      <c r="E199" t="n">
        <v>0.87</v>
      </c>
      <c r="F199" t="inlineStr">
        <is>
          <t>mg/dL</t>
        </is>
      </c>
      <c r="G199" t="n">
        <v>0.6</v>
      </c>
      <c r="H199" t="n">
        <v>1.3</v>
      </c>
      <c r="I199" t="inlineStr">
        <is>
          <t>STAT</t>
        </is>
      </c>
      <c r="J199" s="27" t="n"/>
    </row>
    <row r="200">
      <c r="A200" t="inlineStr">
        <is>
          <t>LAB749328</t>
        </is>
      </c>
      <c r="B200" t="inlineStr">
        <is>
          <t>PT10788</t>
        </is>
      </c>
      <c r="C200" s="26" t="n">
        <v>45994.28402777778</v>
      </c>
      <c r="D200" t="inlineStr">
        <is>
          <t>Creatinine</t>
        </is>
      </c>
      <c r="E200" t="n">
        <v>1.07</v>
      </c>
      <c r="F200" t="inlineStr">
        <is>
          <t>mg/dL</t>
        </is>
      </c>
      <c r="G200" t="n">
        <v>0.6</v>
      </c>
      <c r="H200" t="n">
        <v>1.3</v>
      </c>
      <c r="I200" t="inlineStr">
        <is>
          <t>Routine</t>
        </is>
      </c>
      <c r="J200" s="27" t="n"/>
    </row>
    <row r="201">
      <c r="A201" t="inlineStr">
        <is>
          <t>LAB749330</t>
        </is>
      </c>
      <c r="B201" t="inlineStr">
        <is>
          <t>PT10788</t>
        </is>
      </c>
      <c r="C201" s="26" t="n">
        <v>45994.28888888889</v>
      </c>
      <c r="D201" t="inlineStr">
        <is>
          <t>Hemoglobin</t>
        </is>
      </c>
      <c r="E201" t="n">
        <v>17.5</v>
      </c>
      <c r="F201" t="inlineStr">
        <is>
          <t>g/dL</t>
        </is>
      </c>
      <c r="G201" t="n">
        <v>12</v>
      </c>
      <c r="H201" t="n">
        <v>17.5</v>
      </c>
      <c r="I201" t="inlineStr">
        <is>
          <t>STAT</t>
        </is>
      </c>
      <c r="J201" s="27" t="n"/>
    </row>
    <row r="202">
      <c r="A202" t="inlineStr">
        <is>
          <t>LAB749327</t>
        </is>
      </c>
      <c r="B202" t="inlineStr">
        <is>
          <t>PT10788</t>
        </is>
      </c>
      <c r="C202" s="26" t="n">
        <v>45994.30208333334</v>
      </c>
      <c r="D202" t="inlineStr">
        <is>
          <t>Glucose</t>
        </is>
      </c>
      <c r="E202" t="n">
        <v>124</v>
      </c>
      <c r="F202" t="inlineStr">
        <is>
          <t>mg/dL</t>
        </is>
      </c>
      <c r="G202" t="n">
        <v>70</v>
      </c>
      <c r="H202" t="n">
        <v>99</v>
      </c>
      <c r="I202" t="inlineStr">
        <is>
          <t>STAT</t>
        </is>
      </c>
      <c r="J202" s="27" t="n"/>
    </row>
    <row r="203">
      <c r="A203" t="inlineStr">
        <is>
          <t>LAB749338</t>
        </is>
      </c>
      <c r="B203" t="inlineStr">
        <is>
          <t>PT12785</t>
        </is>
      </c>
      <c r="C203" s="26" t="n">
        <v>45994.31805555556</v>
      </c>
      <c r="D203" t="inlineStr">
        <is>
          <t>Hemoglobin</t>
        </is>
      </c>
      <c r="E203" t="n">
        <v>15.7</v>
      </c>
      <c r="F203" t="inlineStr">
        <is>
          <t>g/dL</t>
        </is>
      </c>
      <c r="G203" t="n">
        <v>12</v>
      </c>
      <c r="H203" t="n">
        <v>17.5</v>
      </c>
      <c r="I203" t="inlineStr">
        <is>
          <t>STAT</t>
        </is>
      </c>
      <c r="J203" s="27" t="n"/>
    </row>
    <row r="204">
      <c r="A204" t="inlineStr">
        <is>
          <t>LAB749329</t>
        </is>
      </c>
      <c r="B204" t="inlineStr">
        <is>
          <t>PT10788</t>
        </is>
      </c>
      <c r="C204" s="26" t="n">
        <v>45994.32361111111</v>
      </c>
      <c r="D204" t="inlineStr">
        <is>
          <t>White Blood Cell Count</t>
        </is>
      </c>
      <c r="E204" t="n">
        <v>11.1</v>
      </c>
      <c r="F204" t="inlineStr">
        <is>
          <t>K/uL</t>
        </is>
      </c>
      <c r="G204" t="n">
        <v>4.5</v>
      </c>
      <c r="H204" t="n">
        <v>11</v>
      </c>
      <c r="I204" t="inlineStr">
        <is>
          <t>Routine</t>
        </is>
      </c>
      <c r="J204" s="27" t="n"/>
    </row>
    <row r="205">
      <c r="A205" t="inlineStr">
        <is>
          <t>LAB749335</t>
        </is>
      </c>
      <c r="B205" t="inlineStr">
        <is>
          <t>PT12785</t>
        </is>
      </c>
      <c r="C205" s="26" t="n">
        <v>45994.32638888889</v>
      </c>
      <c r="D205" t="inlineStr">
        <is>
          <t>Glucose</t>
        </is>
      </c>
      <c r="E205" t="n">
        <v>135</v>
      </c>
      <c r="F205" t="inlineStr">
        <is>
          <t>mg/dL</t>
        </is>
      </c>
      <c r="G205" t="n">
        <v>70</v>
      </c>
      <c r="H205" t="n">
        <v>99</v>
      </c>
      <c r="I205" t="inlineStr">
        <is>
          <t>Routine</t>
        </is>
      </c>
      <c r="J205" s="27" t="n"/>
    </row>
    <row r="206">
      <c r="A206" t="inlineStr">
        <is>
          <t>LAB749332</t>
        </is>
      </c>
      <c r="B206" t="inlineStr">
        <is>
          <t>PT10268</t>
        </is>
      </c>
      <c r="C206" s="26" t="n">
        <v>45994.33333333334</v>
      </c>
      <c r="D206" t="inlineStr">
        <is>
          <t>Creatinine</t>
        </is>
      </c>
      <c r="E206" t="n">
        <v>0.98</v>
      </c>
      <c r="F206" t="inlineStr">
        <is>
          <t>mg/dL</t>
        </is>
      </c>
      <c r="G206" t="n">
        <v>0.6</v>
      </c>
      <c r="H206" t="n">
        <v>1.3</v>
      </c>
      <c r="I206" t="inlineStr">
        <is>
          <t>Routine</t>
        </is>
      </c>
      <c r="J206" s="27" t="n"/>
    </row>
    <row r="207">
      <c r="A207" t="inlineStr">
        <is>
          <t>LAB749336</t>
        </is>
      </c>
      <c r="B207" t="inlineStr">
        <is>
          <t>PT12785</t>
        </is>
      </c>
      <c r="C207" s="26" t="n">
        <v>45994.33472222222</v>
      </c>
      <c r="D207" t="inlineStr">
        <is>
          <t>Creatinine</t>
        </is>
      </c>
      <c r="E207" t="n">
        <v>1.25</v>
      </c>
      <c r="F207" t="inlineStr">
        <is>
          <t>mg/dL</t>
        </is>
      </c>
      <c r="G207" t="n">
        <v>0.6</v>
      </c>
      <c r="H207" t="n">
        <v>1.3</v>
      </c>
      <c r="I207" t="inlineStr">
        <is>
          <t>Routine</t>
        </is>
      </c>
      <c r="J207" s="27" t="n"/>
    </row>
    <row r="208">
      <c r="A208" t="inlineStr">
        <is>
          <t>LAB749333</t>
        </is>
      </c>
      <c r="B208" t="inlineStr">
        <is>
          <t>PT10268</t>
        </is>
      </c>
      <c r="C208" s="26" t="n">
        <v>45994.33819444444</v>
      </c>
      <c r="D208" t="inlineStr">
        <is>
          <t>White Blood Cell Count</t>
        </is>
      </c>
      <c r="E208" t="n">
        <v>15.7</v>
      </c>
      <c r="F208" t="inlineStr">
        <is>
          <t>K/uL</t>
        </is>
      </c>
      <c r="G208" t="n">
        <v>4.5</v>
      </c>
      <c r="H208" t="n">
        <v>11</v>
      </c>
      <c r="I208" t="inlineStr">
        <is>
          <t>STAT</t>
        </is>
      </c>
      <c r="J208" s="27" t="n"/>
    </row>
    <row r="209">
      <c r="A209" t="inlineStr">
        <is>
          <t>LAB749334</t>
        </is>
      </c>
      <c r="B209" t="inlineStr">
        <is>
          <t>PT10268</t>
        </is>
      </c>
      <c r="C209" s="26" t="n">
        <v>45994.33888888889</v>
      </c>
      <c r="D209" t="inlineStr">
        <is>
          <t>Hemoglobin</t>
        </is>
      </c>
      <c r="E209" t="n">
        <v>14.5</v>
      </c>
      <c r="F209" t="inlineStr">
        <is>
          <t>g/dL</t>
        </is>
      </c>
      <c r="G209" t="n">
        <v>12</v>
      </c>
      <c r="H209" t="n">
        <v>17.5</v>
      </c>
      <c r="I209" t="inlineStr">
        <is>
          <t>Routine</t>
        </is>
      </c>
      <c r="J209" s="27" t="n"/>
    </row>
    <row r="210">
      <c r="A210" t="inlineStr">
        <is>
          <t>LAB749331</t>
        </is>
      </c>
      <c r="B210" t="inlineStr">
        <is>
          <t>PT10268</t>
        </is>
      </c>
      <c r="C210" s="26" t="n">
        <v>45994.34097222222</v>
      </c>
      <c r="D210" t="inlineStr">
        <is>
          <t>Glucose</t>
        </is>
      </c>
      <c r="E210" t="n">
        <v>80</v>
      </c>
      <c r="F210" t="inlineStr">
        <is>
          <t>mg/dL</t>
        </is>
      </c>
      <c r="G210" t="n">
        <v>70</v>
      </c>
      <c r="H210" t="n">
        <v>99</v>
      </c>
      <c r="I210" t="inlineStr">
        <is>
          <t>STAT</t>
        </is>
      </c>
      <c r="J210" s="27" t="n"/>
    </row>
    <row r="211">
      <c r="A211" t="inlineStr">
        <is>
          <t>LAB749341</t>
        </is>
      </c>
      <c r="B211" t="inlineStr">
        <is>
          <t>PT10884</t>
        </is>
      </c>
      <c r="C211" s="26" t="n">
        <v>45994.34583333333</v>
      </c>
      <c r="D211" t="inlineStr">
        <is>
          <t>White Blood Cell Count</t>
        </is>
      </c>
      <c r="E211" t="n">
        <v>7.4</v>
      </c>
      <c r="F211" t="inlineStr">
        <is>
          <t>K/uL</t>
        </is>
      </c>
      <c r="G211" t="n">
        <v>4.5</v>
      </c>
      <c r="H211" t="n">
        <v>11</v>
      </c>
      <c r="I211" t="inlineStr">
        <is>
          <t>Routine</t>
        </is>
      </c>
      <c r="J211" s="27" t="n"/>
    </row>
    <row r="212">
      <c r="A212" t="inlineStr">
        <is>
          <t>LAB749337</t>
        </is>
      </c>
      <c r="B212" t="inlineStr">
        <is>
          <t>PT12785</t>
        </is>
      </c>
      <c r="C212" s="26" t="n">
        <v>45994.34861111111</v>
      </c>
      <c r="D212" t="inlineStr">
        <is>
          <t>White Blood Cell Count</t>
        </is>
      </c>
      <c r="E212" t="n">
        <v>8.199999999999999</v>
      </c>
      <c r="F212" t="inlineStr">
        <is>
          <t>K/uL</t>
        </is>
      </c>
      <c r="G212" t="n">
        <v>4.5</v>
      </c>
      <c r="H212" t="n">
        <v>11</v>
      </c>
      <c r="I212" t="inlineStr">
        <is>
          <t>STAT</t>
        </is>
      </c>
      <c r="J212" s="27" t="n"/>
    </row>
    <row r="213">
      <c r="A213" t="inlineStr">
        <is>
          <t>LAB749342</t>
        </is>
      </c>
      <c r="B213" t="inlineStr">
        <is>
          <t>PT10884</t>
        </is>
      </c>
      <c r="C213" s="26" t="n">
        <v>45994.35</v>
      </c>
      <c r="D213" t="inlineStr">
        <is>
          <t>Hemoglobin</t>
        </is>
      </c>
      <c r="E213" t="n">
        <v>13.2</v>
      </c>
      <c r="F213" t="inlineStr">
        <is>
          <t>g/dL</t>
        </is>
      </c>
      <c r="G213" t="n">
        <v>12</v>
      </c>
      <c r="H213" t="n">
        <v>17.5</v>
      </c>
      <c r="I213" t="inlineStr">
        <is>
          <t>STAT</t>
        </is>
      </c>
      <c r="J213" s="27" t="n"/>
    </row>
    <row r="214">
      <c r="A214" t="inlineStr">
        <is>
          <t>LAB749343</t>
        </is>
      </c>
      <c r="B214" t="inlineStr">
        <is>
          <t>PT10918</t>
        </is>
      </c>
      <c r="C214" s="26" t="n">
        <v>45994.35486111111</v>
      </c>
      <c r="D214" t="inlineStr">
        <is>
          <t>LDL Cholesterol</t>
        </is>
      </c>
      <c r="E214" t="n">
        <v>58</v>
      </c>
      <c r="F214" t="inlineStr">
        <is>
          <t>mg/dL</t>
        </is>
      </c>
      <c r="G214" t="n">
        <v>0</v>
      </c>
      <c r="H214" t="n">
        <v>99</v>
      </c>
      <c r="I214" t="inlineStr">
        <is>
          <t>Routine</t>
        </is>
      </c>
      <c r="J214" s="27" t="n"/>
    </row>
    <row r="215">
      <c r="A215" t="inlineStr">
        <is>
          <t>LAB749339</t>
        </is>
      </c>
      <c r="B215" t="inlineStr">
        <is>
          <t>PT10884</t>
        </is>
      </c>
      <c r="C215" s="26" t="n">
        <v>45994.36458333334</v>
      </c>
      <c r="D215" t="inlineStr">
        <is>
          <t>Glucose</t>
        </is>
      </c>
      <c r="E215" t="n">
        <v>97</v>
      </c>
      <c r="F215" t="inlineStr">
        <is>
          <t>mg/dL</t>
        </is>
      </c>
      <c r="G215" t="n">
        <v>70</v>
      </c>
      <c r="H215" t="n">
        <v>99</v>
      </c>
      <c r="I215" t="inlineStr">
        <is>
          <t>Routine</t>
        </is>
      </c>
      <c r="J215" s="27" t="n"/>
    </row>
    <row r="216">
      <c r="A216" t="inlineStr">
        <is>
          <t>LAB749344</t>
        </is>
      </c>
      <c r="B216" t="inlineStr">
        <is>
          <t>PT10918</t>
        </is>
      </c>
      <c r="C216" s="26" t="n">
        <v>45994.37152777778</v>
      </c>
      <c r="D216" t="inlineStr">
        <is>
          <t>Hemoglobin A1c</t>
        </is>
      </c>
      <c r="E216" t="n">
        <v>5.3</v>
      </c>
      <c r="F216" t="inlineStr">
        <is>
          <t>%</t>
        </is>
      </c>
      <c r="G216" t="n">
        <v>4</v>
      </c>
      <c r="H216" t="n">
        <v>5.6</v>
      </c>
      <c r="I216" t="inlineStr">
        <is>
          <t>Routine</t>
        </is>
      </c>
      <c r="J216" s="27" t="n"/>
    </row>
    <row r="217">
      <c r="A217" t="inlineStr">
        <is>
          <t>LAB749340</t>
        </is>
      </c>
      <c r="B217" t="inlineStr">
        <is>
          <t>PT10884</t>
        </is>
      </c>
      <c r="C217" s="26" t="n">
        <v>45994.375</v>
      </c>
      <c r="D217" t="inlineStr">
        <is>
          <t>Creatinine</t>
        </is>
      </c>
      <c r="E217" t="n">
        <v>0.84</v>
      </c>
      <c r="F217" t="inlineStr">
        <is>
          <t>mg/dL</t>
        </is>
      </c>
      <c r="G217" t="n">
        <v>0.6</v>
      </c>
      <c r="H217" t="n">
        <v>1.3</v>
      </c>
      <c r="I217" t="inlineStr">
        <is>
          <t>STAT</t>
        </is>
      </c>
      <c r="J217" s="27" t="n"/>
    </row>
    <row r="218">
      <c r="A218" t="inlineStr">
        <is>
          <t>LAB749352</t>
        </is>
      </c>
      <c r="B218" t="inlineStr">
        <is>
          <t>PT10404</t>
        </is>
      </c>
      <c r="C218" s="26" t="n">
        <v>45994.44166666667</v>
      </c>
      <c r="D218" t="inlineStr">
        <is>
          <t>Creatinine</t>
        </is>
      </c>
      <c r="E218" t="n">
        <v>1.23</v>
      </c>
      <c r="F218" t="inlineStr">
        <is>
          <t>mg/dL</t>
        </is>
      </c>
      <c r="G218" t="n">
        <v>0.6</v>
      </c>
      <c r="H218" t="n">
        <v>1.3</v>
      </c>
      <c r="I218" t="inlineStr">
        <is>
          <t>Routine</t>
        </is>
      </c>
      <c r="J218" s="27" t="n"/>
    </row>
    <row r="219">
      <c r="A219" t="inlineStr">
        <is>
          <t>LAB749354</t>
        </is>
      </c>
      <c r="B219" t="inlineStr">
        <is>
          <t>PT10404</t>
        </is>
      </c>
      <c r="C219" s="26" t="n">
        <v>45994.44444444445</v>
      </c>
      <c r="D219" t="inlineStr">
        <is>
          <t>Hemoglobin</t>
        </is>
      </c>
      <c r="E219" t="n">
        <v>14.9</v>
      </c>
      <c r="F219" t="inlineStr">
        <is>
          <t>g/dL</t>
        </is>
      </c>
      <c r="G219" t="n">
        <v>12</v>
      </c>
      <c r="H219" t="n">
        <v>17.5</v>
      </c>
      <c r="I219" t="inlineStr">
        <is>
          <t>Routine</t>
        </is>
      </c>
      <c r="J219" s="27" t="n"/>
    </row>
    <row r="220">
      <c r="A220" t="inlineStr">
        <is>
          <t>LAB749351</t>
        </is>
      </c>
      <c r="B220" t="inlineStr">
        <is>
          <t>PT10404</t>
        </is>
      </c>
      <c r="C220" s="26" t="n">
        <v>45994.44722222222</v>
      </c>
      <c r="D220" t="inlineStr">
        <is>
          <t>Glucose</t>
        </is>
      </c>
      <c r="E220" t="n">
        <v>155</v>
      </c>
      <c r="F220" t="inlineStr">
        <is>
          <t>mg/dL</t>
        </is>
      </c>
      <c r="G220" t="n">
        <v>70</v>
      </c>
      <c r="H220" t="n">
        <v>99</v>
      </c>
      <c r="I220" t="inlineStr">
        <is>
          <t>Routine</t>
        </is>
      </c>
      <c r="J220" s="27" t="n"/>
    </row>
    <row r="221">
      <c r="A221" t="inlineStr">
        <is>
          <t>LAB749367</t>
        </is>
      </c>
      <c r="B221" t="inlineStr">
        <is>
          <t>PT10385</t>
        </is>
      </c>
      <c r="C221" s="26" t="n">
        <v>45994.44861111111</v>
      </c>
      <c r="D221" t="inlineStr">
        <is>
          <t>Glucose</t>
        </is>
      </c>
      <c r="E221" t="n">
        <v>120</v>
      </c>
      <c r="F221" t="inlineStr">
        <is>
          <t>mg/dL</t>
        </is>
      </c>
      <c r="G221" t="n">
        <v>70</v>
      </c>
      <c r="H221" t="n">
        <v>99</v>
      </c>
      <c r="I221" t="inlineStr">
        <is>
          <t>Routine</t>
        </is>
      </c>
      <c r="J221" s="27" t="n"/>
    </row>
    <row r="222">
      <c r="A222" t="inlineStr">
        <is>
          <t>LAB749357</t>
        </is>
      </c>
      <c r="B222" t="inlineStr">
        <is>
          <t>PT10404</t>
        </is>
      </c>
      <c r="C222" s="26" t="n">
        <v>45994.45069444444</v>
      </c>
      <c r="D222" t="inlineStr">
        <is>
          <t>Troponin I, High Sensitivity</t>
        </is>
      </c>
      <c r="E222" t="n">
        <v>173</v>
      </c>
      <c r="F222" t="inlineStr">
        <is>
          <t>ng/L</t>
        </is>
      </c>
      <c r="G222" t="n">
        <v>0</v>
      </c>
      <c r="H222" t="n">
        <v>34</v>
      </c>
      <c r="I222" t="inlineStr">
        <is>
          <t>STAT</t>
        </is>
      </c>
      <c r="J222" s="27" t="n"/>
    </row>
    <row r="223">
      <c r="A223" t="inlineStr">
        <is>
          <t>LAB749353</t>
        </is>
      </c>
      <c r="B223" t="inlineStr">
        <is>
          <t>PT10404</t>
        </is>
      </c>
      <c r="C223" s="26" t="n">
        <v>45994.46319444444</v>
      </c>
      <c r="D223" t="inlineStr">
        <is>
          <t>White Blood Cell Count</t>
        </is>
      </c>
      <c r="E223" t="n">
        <v>7.1</v>
      </c>
      <c r="F223" t="inlineStr">
        <is>
          <t>K/uL</t>
        </is>
      </c>
      <c r="G223" t="n">
        <v>4.5</v>
      </c>
      <c r="H223" t="n">
        <v>11</v>
      </c>
      <c r="I223" t="inlineStr">
        <is>
          <t>STAT</t>
        </is>
      </c>
      <c r="J223" s="27" t="n"/>
    </row>
    <row r="224">
      <c r="A224" t="inlineStr">
        <is>
          <t>LAB749368</t>
        </is>
      </c>
      <c r="B224" t="inlineStr">
        <is>
          <t>PT10385</t>
        </is>
      </c>
      <c r="C224" s="26" t="n">
        <v>45994.46388888889</v>
      </c>
      <c r="D224" t="inlineStr">
        <is>
          <t>Creatinine</t>
        </is>
      </c>
      <c r="E224" t="n">
        <v>0.96</v>
      </c>
      <c r="F224" t="inlineStr">
        <is>
          <t>mg/dL</t>
        </is>
      </c>
      <c r="G224" t="n">
        <v>0.6</v>
      </c>
      <c r="H224" t="n">
        <v>1.3</v>
      </c>
      <c r="I224" t="inlineStr">
        <is>
          <t>Routine</t>
        </is>
      </c>
      <c r="J224" s="27" t="n"/>
    </row>
    <row r="225">
      <c r="A225" t="inlineStr">
        <is>
          <t>LAB749355</t>
        </is>
      </c>
      <c r="B225" t="inlineStr">
        <is>
          <t>PT10404</t>
        </is>
      </c>
      <c r="C225" s="26" t="n">
        <v>45994.46597222222</v>
      </c>
      <c r="D225" t="inlineStr">
        <is>
          <t>Sodium</t>
        </is>
      </c>
      <c r="E225" t="n">
        <v>143</v>
      </c>
      <c r="F225" t="inlineStr">
        <is>
          <t>mmol/L</t>
        </is>
      </c>
      <c r="G225" t="n">
        <v>136</v>
      </c>
      <c r="H225" t="n">
        <v>145</v>
      </c>
      <c r="I225" t="inlineStr">
        <is>
          <t>Routine</t>
        </is>
      </c>
      <c r="J225" s="27" t="n"/>
    </row>
    <row r="226">
      <c r="A226" t="inlineStr">
        <is>
          <t>LAB749366</t>
        </is>
      </c>
      <c r="B226" t="inlineStr">
        <is>
          <t>PT10385</t>
        </is>
      </c>
      <c r="C226" s="26" t="n">
        <v>45994.47222222222</v>
      </c>
      <c r="D226" t="inlineStr">
        <is>
          <t>Hemoglobin A1c</t>
        </is>
      </c>
      <c r="E226" t="n">
        <v>5.4</v>
      </c>
      <c r="F226" t="inlineStr">
        <is>
          <t>%</t>
        </is>
      </c>
      <c r="G226" t="n">
        <v>4</v>
      </c>
      <c r="H226" t="n">
        <v>5.6</v>
      </c>
      <c r="I226" t="inlineStr">
        <is>
          <t>Routine</t>
        </is>
      </c>
      <c r="J226" s="27" t="n"/>
    </row>
    <row r="227">
      <c r="A227" t="inlineStr">
        <is>
          <t>LAB749356</t>
        </is>
      </c>
      <c r="B227" t="inlineStr">
        <is>
          <t>PT10404</t>
        </is>
      </c>
      <c r="C227" s="26" t="n">
        <v>45994.47361111111</v>
      </c>
      <c r="D227" t="inlineStr">
        <is>
          <t>Potassium</t>
        </is>
      </c>
      <c r="E227" t="n">
        <v>4.4</v>
      </c>
      <c r="F227" t="inlineStr">
        <is>
          <t>mmol/L</t>
        </is>
      </c>
      <c r="G227" t="n">
        <v>3.5</v>
      </c>
      <c r="H227" t="n">
        <v>5.1</v>
      </c>
      <c r="I227" t="inlineStr">
        <is>
          <t>STAT</t>
        </is>
      </c>
      <c r="J227" s="27" t="n"/>
    </row>
    <row r="228">
      <c r="A228" t="inlineStr">
        <is>
          <t>LAB749386</t>
        </is>
      </c>
      <c r="B228" t="inlineStr">
        <is>
          <t>PT13763</t>
        </is>
      </c>
      <c r="C228" s="26" t="n">
        <v>45994.49652777778</v>
      </c>
      <c r="D228" t="inlineStr">
        <is>
          <t>Hemoglobin</t>
        </is>
      </c>
      <c r="E228" t="n">
        <v>13.1</v>
      </c>
      <c r="F228" t="inlineStr">
        <is>
          <t>g/dL</t>
        </is>
      </c>
      <c r="G228" t="n">
        <v>12</v>
      </c>
      <c r="H228" t="n">
        <v>17.5</v>
      </c>
      <c r="I228" t="inlineStr">
        <is>
          <t>STAT</t>
        </is>
      </c>
      <c r="J228" s="27" t="n"/>
    </row>
    <row r="229">
      <c r="A229" t="inlineStr">
        <is>
          <t>LAB749384</t>
        </is>
      </c>
      <c r="B229" t="inlineStr">
        <is>
          <t>PT13763</t>
        </is>
      </c>
      <c r="C229" s="26" t="n">
        <v>45994.50694444445</v>
      </c>
      <c r="D229" t="inlineStr">
        <is>
          <t>Creatinine</t>
        </is>
      </c>
      <c r="E229" t="n">
        <v>0.84</v>
      </c>
      <c r="F229" t="inlineStr">
        <is>
          <t>mg/dL</t>
        </is>
      </c>
      <c r="G229" t="n">
        <v>0.6</v>
      </c>
      <c r="H229" t="n">
        <v>1.3</v>
      </c>
      <c r="I229" t="inlineStr">
        <is>
          <t>STAT</t>
        </is>
      </c>
      <c r="J229" s="27" t="n"/>
    </row>
    <row r="230">
      <c r="A230" t="inlineStr">
        <is>
          <t>LAB749375</t>
        </is>
      </c>
      <c r="B230" t="inlineStr">
        <is>
          <t>PT10961</t>
        </is>
      </c>
      <c r="C230" s="26" t="n">
        <v>45994.50833333333</v>
      </c>
      <c r="D230" t="inlineStr">
        <is>
          <t>White Blood Cell Count</t>
        </is>
      </c>
      <c r="E230" t="n">
        <v>7</v>
      </c>
      <c r="F230" t="inlineStr">
        <is>
          <t>K/uL</t>
        </is>
      </c>
      <c r="G230" t="n">
        <v>4.5</v>
      </c>
      <c r="H230" t="n">
        <v>11</v>
      </c>
      <c r="I230" t="inlineStr">
        <is>
          <t>STAT</t>
        </is>
      </c>
      <c r="J230" s="27" t="n"/>
    </row>
    <row r="231">
      <c r="A231" t="inlineStr">
        <is>
          <t>LAB749387</t>
        </is>
      </c>
      <c r="B231" t="inlineStr">
        <is>
          <t>PT11548</t>
        </is>
      </c>
      <c r="C231" s="26" t="n">
        <v>45994.50833333333</v>
      </c>
      <c r="D231" t="inlineStr">
        <is>
          <t>Hemoglobin A1c</t>
        </is>
      </c>
      <c r="E231" t="n">
        <v>5</v>
      </c>
      <c r="F231" t="inlineStr">
        <is>
          <t>%</t>
        </is>
      </c>
      <c r="G231" t="n">
        <v>4</v>
      </c>
      <c r="H231" t="n">
        <v>5.6</v>
      </c>
      <c r="I231" t="inlineStr">
        <is>
          <t>Routine</t>
        </is>
      </c>
      <c r="J231" s="27" t="n"/>
    </row>
    <row r="232">
      <c r="A232" t="inlineStr">
        <is>
          <t>LAB749374</t>
        </is>
      </c>
      <c r="B232" t="inlineStr">
        <is>
          <t>PT10961</t>
        </is>
      </c>
      <c r="C232" s="26" t="n">
        <v>45994.51041666666</v>
      </c>
      <c r="D232" t="inlineStr">
        <is>
          <t>Creatinine</t>
        </is>
      </c>
      <c r="E232" t="n">
        <v>0.51</v>
      </c>
      <c r="F232" t="inlineStr">
        <is>
          <t>mg/dL</t>
        </is>
      </c>
      <c r="G232" t="n">
        <v>0.6</v>
      </c>
      <c r="H232" t="n">
        <v>1.3</v>
      </c>
      <c r="I232" t="inlineStr">
        <is>
          <t>STAT</t>
        </is>
      </c>
      <c r="J232" s="27" t="n"/>
    </row>
    <row r="233">
      <c r="A233" t="inlineStr">
        <is>
          <t>LAB749373</t>
        </is>
      </c>
      <c r="B233" t="inlineStr">
        <is>
          <t>PT10961</t>
        </is>
      </c>
      <c r="C233" s="26" t="n">
        <v>45994.51458333333</v>
      </c>
      <c r="D233" t="inlineStr">
        <is>
          <t>Glucose</t>
        </is>
      </c>
      <c r="E233" t="n">
        <v>70</v>
      </c>
      <c r="F233" t="inlineStr">
        <is>
          <t>mg/dL</t>
        </is>
      </c>
      <c r="G233" t="n">
        <v>70</v>
      </c>
      <c r="H233" t="n">
        <v>99</v>
      </c>
      <c r="I233" t="inlineStr">
        <is>
          <t>STAT</t>
        </is>
      </c>
      <c r="J233" s="27" t="n"/>
    </row>
    <row r="234">
      <c r="A234" t="inlineStr">
        <is>
          <t>LAB749383</t>
        </is>
      </c>
      <c r="B234" t="inlineStr">
        <is>
          <t>PT13763</t>
        </is>
      </c>
      <c r="C234" s="26" t="n">
        <v>45994.52291666667</v>
      </c>
      <c r="D234" t="inlineStr">
        <is>
          <t>Glucose</t>
        </is>
      </c>
      <c r="E234" t="n">
        <v>113</v>
      </c>
      <c r="F234" t="inlineStr">
        <is>
          <t>mg/dL</t>
        </is>
      </c>
      <c r="G234" t="n">
        <v>70</v>
      </c>
      <c r="H234" t="n">
        <v>99</v>
      </c>
      <c r="I234" t="inlineStr">
        <is>
          <t>Routine</t>
        </is>
      </c>
      <c r="J234" s="27" t="n"/>
    </row>
    <row r="235">
      <c r="A235" t="inlineStr">
        <is>
          <t>LAB749389</t>
        </is>
      </c>
      <c r="B235" t="inlineStr">
        <is>
          <t>PT12113</t>
        </is>
      </c>
      <c r="C235" s="26" t="n">
        <v>45994.52847222222</v>
      </c>
      <c r="D235" t="inlineStr">
        <is>
          <t>Hemoglobin A1c</t>
        </is>
      </c>
      <c r="E235" t="n">
        <v>8.5</v>
      </c>
      <c r="F235" t="inlineStr">
        <is>
          <t>%</t>
        </is>
      </c>
      <c r="G235" t="n">
        <v>4</v>
      </c>
      <c r="H235" t="n">
        <v>5.6</v>
      </c>
      <c r="I235" t="inlineStr">
        <is>
          <t>Routine</t>
        </is>
      </c>
      <c r="J235" s="27" t="n"/>
    </row>
    <row r="236">
      <c r="A236" t="inlineStr">
        <is>
          <t>LAB749388</t>
        </is>
      </c>
      <c r="B236" t="inlineStr">
        <is>
          <t>PT12113</t>
        </is>
      </c>
      <c r="C236" s="26" t="n">
        <v>45994.54583333333</v>
      </c>
      <c r="D236" t="inlineStr">
        <is>
          <t>LDL Cholesterol</t>
        </is>
      </c>
      <c r="E236" t="n">
        <v>124</v>
      </c>
      <c r="F236" t="inlineStr">
        <is>
          <t>mg/dL</t>
        </is>
      </c>
      <c r="G236" t="n">
        <v>0</v>
      </c>
      <c r="H236" t="n">
        <v>99</v>
      </c>
      <c r="I236" t="inlineStr">
        <is>
          <t>Routine</t>
        </is>
      </c>
      <c r="J236" s="27" t="n"/>
    </row>
    <row r="237">
      <c r="A237" t="inlineStr">
        <is>
          <t>LAB749385</t>
        </is>
      </c>
      <c r="B237" t="inlineStr">
        <is>
          <t>PT13763</t>
        </is>
      </c>
      <c r="C237" s="26" t="n">
        <v>45994.54930555556</v>
      </c>
      <c r="D237" t="inlineStr">
        <is>
          <t>White Blood Cell Count</t>
        </is>
      </c>
      <c r="E237" t="n">
        <v>6.8</v>
      </c>
      <c r="F237" t="inlineStr">
        <is>
          <t>K/uL</t>
        </is>
      </c>
      <c r="G237" t="n">
        <v>4.5</v>
      </c>
      <c r="H237" t="n">
        <v>11</v>
      </c>
      <c r="I237" t="inlineStr">
        <is>
          <t>STAT</t>
        </is>
      </c>
      <c r="J237" s="27" t="n"/>
    </row>
    <row r="238">
      <c r="A238" t="inlineStr">
        <is>
          <t>LAB749358</t>
        </is>
      </c>
      <c r="B238" t="inlineStr">
        <is>
          <t>PT13465</t>
        </is>
      </c>
      <c r="C238" s="26" t="n">
        <v>45994.60972222222</v>
      </c>
      <c r="D238" t="inlineStr">
        <is>
          <t>Glucose</t>
        </is>
      </c>
      <c r="E238" t="n">
        <v>106</v>
      </c>
      <c r="F238" t="inlineStr">
        <is>
          <t>mg/dL</t>
        </is>
      </c>
      <c r="G238" t="n">
        <v>70</v>
      </c>
      <c r="H238" t="n">
        <v>99</v>
      </c>
      <c r="I238" t="inlineStr">
        <is>
          <t>STAT</t>
        </is>
      </c>
      <c r="J238" s="27" t="n"/>
    </row>
    <row r="239">
      <c r="A239" t="inlineStr">
        <is>
          <t>LAB749359</t>
        </is>
      </c>
      <c r="B239" t="inlineStr">
        <is>
          <t>PT13465</t>
        </is>
      </c>
      <c r="C239" s="26" t="n">
        <v>45994.6125</v>
      </c>
      <c r="D239" t="inlineStr">
        <is>
          <t>Creatinine</t>
        </is>
      </c>
      <c r="E239" t="n">
        <v>2.42</v>
      </c>
      <c r="F239" t="inlineStr">
        <is>
          <t>mg/dL</t>
        </is>
      </c>
      <c r="G239" t="n">
        <v>0.6</v>
      </c>
      <c r="H239" t="n">
        <v>1.3</v>
      </c>
      <c r="I239" t="inlineStr">
        <is>
          <t>Routine</t>
        </is>
      </c>
      <c r="J239" s="27" t="n"/>
    </row>
    <row r="240">
      <c r="A240" t="inlineStr">
        <is>
          <t>LAB749365</t>
        </is>
      </c>
      <c r="B240" t="inlineStr">
        <is>
          <t>PT13465</t>
        </is>
      </c>
      <c r="C240" s="26" t="n">
        <v>45994.62430555555</v>
      </c>
      <c r="D240" t="inlineStr">
        <is>
          <t>Platelet Count</t>
        </is>
      </c>
      <c r="E240" t="n">
        <v>330</v>
      </c>
      <c r="F240" t="inlineStr">
        <is>
          <t>K/uL</t>
        </is>
      </c>
      <c r="G240" t="n">
        <v>150</v>
      </c>
      <c r="H240" t="n">
        <v>400</v>
      </c>
      <c r="I240" t="inlineStr">
        <is>
          <t>STAT</t>
        </is>
      </c>
      <c r="J240" s="27" t="n"/>
    </row>
    <row r="241">
      <c r="A241" t="inlineStr">
        <is>
          <t>LAB749379</t>
        </is>
      </c>
      <c r="B241" t="inlineStr">
        <is>
          <t>PT12333</t>
        </is>
      </c>
      <c r="C241" s="26" t="n">
        <v>45994.625</v>
      </c>
      <c r="D241" t="inlineStr">
        <is>
          <t>Hemoglobin</t>
        </is>
      </c>
      <c r="E241" t="n">
        <v>10</v>
      </c>
      <c r="F241" t="inlineStr">
        <is>
          <t>g/dL</t>
        </is>
      </c>
      <c r="G241" t="n">
        <v>12</v>
      </c>
      <c r="H241" t="n">
        <v>17.5</v>
      </c>
      <c r="I241" t="inlineStr">
        <is>
          <t>STAT</t>
        </is>
      </c>
      <c r="J241" s="27" t="n"/>
    </row>
    <row r="242">
      <c r="A242" t="inlineStr">
        <is>
          <t>LAB749362</t>
        </is>
      </c>
      <c r="B242" t="inlineStr">
        <is>
          <t>PT13465</t>
        </is>
      </c>
      <c r="C242" s="26" t="n">
        <v>45994.63055555556</v>
      </c>
      <c r="D242" t="inlineStr">
        <is>
          <t>Sodium</t>
        </is>
      </c>
      <c r="E242" t="n">
        <v>124</v>
      </c>
      <c r="F242" t="inlineStr">
        <is>
          <t>mmol/L</t>
        </is>
      </c>
      <c r="G242" t="n">
        <v>136</v>
      </c>
      <c r="H242" t="n">
        <v>145</v>
      </c>
      <c r="I242" t="inlineStr">
        <is>
          <t>STAT</t>
        </is>
      </c>
      <c r="J242" s="27" t="n"/>
    </row>
    <row r="243">
      <c r="A243" t="inlineStr">
        <is>
          <t>LAB749363</t>
        </is>
      </c>
      <c r="B243" t="inlineStr">
        <is>
          <t>PT13465</t>
        </is>
      </c>
      <c r="C243" s="26" t="n">
        <v>45994.63263888889</v>
      </c>
      <c r="D243" t="inlineStr">
        <is>
          <t>Potassium</t>
        </is>
      </c>
      <c r="E243" t="n">
        <v>4.2</v>
      </c>
      <c r="F243" t="inlineStr">
        <is>
          <t>mmol/L</t>
        </is>
      </c>
      <c r="G243" t="n">
        <v>3.5</v>
      </c>
      <c r="H243" t="n">
        <v>5.1</v>
      </c>
      <c r="I243" t="inlineStr">
        <is>
          <t>STAT</t>
        </is>
      </c>
      <c r="J243" s="27" t="n"/>
    </row>
    <row r="244">
      <c r="A244" t="inlineStr">
        <is>
          <t>LAB749380</t>
        </is>
      </c>
      <c r="B244" t="inlineStr">
        <is>
          <t>PT12333</t>
        </is>
      </c>
      <c r="C244" s="26" t="n">
        <v>45994.63333333333</v>
      </c>
      <c r="D244" t="inlineStr">
        <is>
          <t>Sodium</t>
        </is>
      </c>
      <c r="E244" t="n">
        <v>137</v>
      </c>
      <c r="F244" t="inlineStr">
        <is>
          <t>mmol/L</t>
        </is>
      </c>
      <c r="G244" t="n">
        <v>136</v>
      </c>
      <c r="H244" t="n">
        <v>145</v>
      </c>
      <c r="I244" t="inlineStr">
        <is>
          <t>Routine</t>
        </is>
      </c>
      <c r="J244" s="27" t="n"/>
    </row>
    <row r="245">
      <c r="A245" t="inlineStr">
        <is>
          <t>LAB749347</t>
        </is>
      </c>
      <c r="B245" t="inlineStr">
        <is>
          <t>PT13632</t>
        </is>
      </c>
      <c r="C245" s="26" t="n">
        <v>45994.63472222222</v>
      </c>
      <c r="D245" t="inlineStr">
        <is>
          <t>White Blood Cell Count</t>
        </is>
      </c>
      <c r="E245" t="n">
        <v>15.6</v>
      </c>
      <c r="F245" t="inlineStr">
        <is>
          <t>K/uL</t>
        </is>
      </c>
      <c r="G245" t="n">
        <v>4.5</v>
      </c>
      <c r="H245" t="n">
        <v>11</v>
      </c>
      <c r="I245" t="inlineStr">
        <is>
          <t>Routine</t>
        </is>
      </c>
      <c r="J245" s="27" t="n"/>
    </row>
    <row r="246">
      <c r="A246" t="inlineStr">
        <is>
          <t>LAB749361</t>
        </is>
      </c>
      <c r="B246" t="inlineStr">
        <is>
          <t>PT13465</t>
        </is>
      </c>
      <c r="C246" s="26" t="n">
        <v>45994.63611111111</v>
      </c>
      <c r="D246" t="inlineStr">
        <is>
          <t>Hemoglobin</t>
        </is>
      </c>
      <c r="E246" t="n">
        <v>8.1</v>
      </c>
      <c r="F246" t="inlineStr">
        <is>
          <t>g/dL</t>
        </is>
      </c>
      <c r="G246" t="n">
        <v>12</v>
      </c>
      <c r="H246" t="n">
        <v>17.5</v>
      </c>
      <c r="I246" t="inlineStr">
        <is>
          <t>STAT</t>
        </is>
      </c>
      <c r="J246" s="27" t="n"/>
    </row>
    <row r="247">
      <c r="A247" t="inlineStr">
        <is>
          <t>LAB749377</t>
        </is>
      </c>
      <c r="B247" t="inlineStr">
        <is>
          <t>PT12333</t>
        </is>
      </c>
      <c r="C247" s="26" t="n">
        <v>45994.63680555556</v>
      </c>
      <c r="D247" t="inlineStr">
        <is>
          <t>Creatinine</t>
        </is>
      </c>
      <c r="E247" t="n">
        <v>1.68</v>
      </c>
      <c r="F247" t="inlineStr">
        <is>
          <t>mg/dL</t>
        </is>
      </c>
      <c r="G247" t="n">
        <v>0.6</v>
      </c>
      <c r="H247" t="n">
        <v>1.3</v>
      </c>
      <c r="I247" t="inlineStr">
        <is>
          <t>STAT</t>
        </is>
      </c>
      <c r="J247" s="27" t="n"/>
    </row>
    <row r="248">
      <c r="A248" t="inlineStr">
        <is>
          <t>LAB749404</t>
        </is>
      </c>
      <c r="B248" t="inlineStr">
        <is>
          <t>PT12203</t>
        </is>
      </c>
      <c r="C248" s="26" t="n">
        <v>45994.63819444444</v>
      </c>
      <c r="D248" t="inlineStr">
        <is>
          <t>Thyroid Stimulating Hormone</t>
        </is>
      </c>
      <c r="E248" t="n">
        <v>2.45</v>
      </c>
      <c r="F248" t="inlineStr">
        <is>
          <t>mIU/L</t>
        </is>
      </c>
      <c r="G248" t="n">
        <v>0.4</v>
      </c>
      <c r="H248" t="n">
        <v>4</v>
      </c>
      <c r="I248" t="inlineStr">
        <is>
          <t>Routine</t>
        </is>
      </c>
      <c r="J248" s="27" t="n"/>
    </row>
    <row r="249">
      <c r="A249" t="inlineStr">
        <is>
          <t>LAB749348</t>
        </is>
      </c>
      <c r="B249" t="inlineStr">
        <is>
          <t>PT13632</t>
        </is>
      </c>
      <c r="C249" s="26" t="n">
        <v>45994.64166666667</v>
      </c>
      <c r="D249" t="inlineStr">
        <is>
          <t>Hemoglobin</t>
        </is>
      </c>
      <c r="E249" t="n">
        <v>10.8</v>
      </c>
      <c r="F249" t="inlineStr">
        <is>
          <t>g/dL</t>
        </is>
      </c>
      <c r="G249" t="n">
        <v>12</v>
      </c>
      <c r="H249" t="n">
        <v>17.5</v>
      </c>
      <c r="I249" t="inlineStr">
        <is>
          <t>Routine</t>
        </is>
      </c>
      <c r="J249" s="27" t="n"/>
    </row>
    <row r="250">
      <c r="A250" t="inlineStr">
        <is>
          <t>LAB749350</t>
        </is>
      </c>
      <c r="B250" t="inlineStr">
        <is>
          <t>PT13632</t>
        </is>
      </c>
      <c r="C250" s="26" t="n">
        <v>45994.64236111111</v>
      </c>
      <c r="D250" t="inlineStr">
        <is>
          <t>Potassium</t>
        </is>
      </c>
      <c r="E250" t="n">
        <v>4.2</v>
      </c>
      <c r="F250" t="inlineStr">
        <is>
          <t>mmol/L</t>
        </is>
      </c>
      <c r="G250" t="n">
        <v>3.5</v>
      </c>
      <c r="H250" t="n">
        <v>5.1</v>
      </c>
      <c r="I250" t="inlineStr">
        <is>
          <t>STAT</t>
        </is>
      </c>
      <c r="J250" s="27" t="n"/>
    </row>
    <row r="251">
      <c r="A251" t="inlineStr">
        <is>
          <t>LAB749403</t>
        </is>
      </c>
      <c r="B251" t="inlineStr">
        <is>
          <t>PT12203</t>
        </is>
      </c>
      <c r="C251" s="26" t="n">
        <v>45994.64305555556</v>
      </c>
      <c r="D251" t="inlineStr">
        <is>
          <t>LDL Cholesterol</t>
        </is>
      </c>
      <c r="E251" t="n">
        <v>127</v>
      </c>
      <c r="F251" t="inlineStr">
        <is>
          <t>mg/dL</t>
        </is>
      </c>
      <c r="G251" t="n">
        <v>0</v>
      </c>
      <c r="H251" t="n">
        <v>99</v>
      </c>
      <c r="I251" t="inlineStr">
        <is>
          <t>Routine</t>
        </is>
      </c>
      <c r="J251" s="27" t="n"/>
    </row>
    <row r="252">
      <c r="A252" t="inlineStr">
        <is>
          <t>LAB749376</t>
        </is>
      </c>
      <c r="B252" t="inlineStr">
        <is>
          <t>PT12333</t>
        </is>
      </c>
      <c r="C252" s="26" t="n">
        <v>45994.64375</v>
      </c>
      <c r="D252" t="inlineStr">
        <is>
          <t>Glucose</t>
        </is>
      </c>
      <c r="E252" t="n">
        <v>141</v>
      </c>
      <c r="F252" t="inlineStr">
        <is>
          <t>mg/dL</t>
        </is>
      </c>
      <c r="G252" t="n">
        <v>70</v>
      </c>
      <c r="H252" t="n">
        <v>99</v>
      </c>
      <c r="I252" t="inlineStr">
        <is>
          <t>Routine</t>
        </is>
      </c>
      <c r="J252" s="27" t="n"/>
    </row>
    <row r="253">
      <c r="A253" t="inlineStr">
        <is>
          <t>LAB749360</t>
        </is>
      </c>
      <c r="B253" t="inlineStr">
        <is>
          <t>PT13465</t>
        </is>
      </c>
      <c r="C253" s="26" t="n">
        <v>45994.64722222222</v>
      </c>
      <c r="D253" t="inlineStr">
        <is>
          <t>White Blood Cell Count</t>
        </is>
      </c>
      <c r="E253" t="n">
        <v>5.6</v>
      </c>
      <c r="F253" t="inlineStr">
        <is>
          <t>K/uL</t>
        </is>
      </c>
      <c r="G253" t="n">
        <v>4.5</v>
      </c>
      <c r="H253" t="n">
        <v>11</v>
      </c>
      <c r="I253" t="inlineStr">
        <is>
          <t>Routine</t>
        </is>
      </c>
      <c r="J253" s="27" t="n"/>
    </row>
    <row r="254">
      <c r="A254" t="inlineStr">
        <is>
          <t>LAB749345</t>
        </is>
      </c>
      <c r="B254" t="inlineStr">
        <is>
          <t>PT13632</t>
        </is>
      </c>
      <c r="C254" s="26" t="n">
        <v>45994.64791666667</v>
      </c>
      <c r="D254" t="inlineStr">
        <is>
          <t>Glucose</t>
        </is>
      </c>
      <c r="E254" t="n">
        <v>114</v>
      </c>
      <c r="F254" t="inlineStr">
        <is>
          <t>mg/dL</t>
        </is>
      </c>
      <c r="G254" t="n">
        <v>70</v>
      </c>
      <c r="H254" t="n">
        <v>99</v>
      </c>
      <c r="I254" t="inlineStr">
        <is>
          <t>Routine</t>
        </is>
      </c>
      <c r="J254" s="27" t="n"/>
    </row>
    <row r="255">
      <c r="A255" t="inlineStr">
        <is>
          <t>LAB749364</t>
        </is>
      </c>
      <c r="B255" t="inlineStr">
        <is>
          <t>PT13465</t>
        </is>
      </c>
      <c r="C255" s="26" t="n">
        <v>45994.64930555555</v>
      </c>
      <c r="D255" t="inlineStr">
        <is>
          <t>Blood Urea Nitrogen</t>
        </is>
      </c>
      <c r="E255" t="n">
        <v>16</v>
      </c>
      <c r="F255" t="inlineStr">
        <is>
          <t>mg/dL</t>
        </is>
      </c>
      <c r="G255" t="n">
        <v>7</v>
      </c>
      <c r="H255" t="n">
        <v>20</v>
      </c>
      <c r="I255" t="inlineStr">
        <is>
          <t>STAT</t>
        </is>
      </c>
      <c r="J255" s="27" t="n"/>
    </row>
    <row r="256">
      <c r="A256" t="inlineStr">
        <is>
          <t>LAB749371</t>
        </is>
      </c>
      <c r="B256" t="inlineStr">
        <is>
          <t>PT13672</t>
        </is>
      </c>
      <c r="C256" s="26" t="n">
        <v>45994.65138888889</v>
      </c>
      <c r="D256" t="inlineStr">
        <is>
          <t>White Blood Cell Count</t>
        </is>
      </c>
      <c r="E256" t="n">
        <v>6</v>
      </c>
      <c r="F256" t="inlineStr">
        <is>
          <t>K/uL</t>
        </is>
      </c>
      <c r="G256" t="n">
        <v>4.5</v>
      </c>
      <c r="H256" t="n">
        <v>11</v>
      </c>
      <c r="I256" t="inlineStr">
        <is>
          <t>STAT</t>
        </is>
      </c>
      <c r="J256" s="27" t="n"/>
    </row>
    <row r="257">
      <c r="A257" t="inlineStr">
        <is>
          <t>LAB749378</t>
        </is>
      </c>
      <c r="B257" t="inlineStr">
        <is>
          <t>PT12333</t>
        </is>
      </c>
      <c r="C257" s="26" t="n">
        <v>45994.65208333333</v>
      </c>
      <c r="D257" t="inlineStr">
        <is>
          <t>White Blood Cell Count</t>
        </is>
      </c>
      <c r="E257" t="n">
        <v>6.7</v>
      </c>
      <c r="F257" t="inlineStr">
        <is>
          <t>K/uL</t>
        </is>
      </c>
      <c r="G257" t="n">
        <v>4.5</v>
      </c>
      <c r="H257" t="n">
        <v>11</v>
      </c>
      <c r="I257" t="inlineStr">
        <is>
          <t>STAT</t>
        </is>
      </c>
      <c r="J257" s="27" t="n"/>
    </row>
    <row r="258">
      <c r="A258" t="inlineStr">
        <is>
          <t>LAB749346</t>
        </is>
      </c>
      <c r="B258" t="inlineStr">
        <is>
          <t>PT13632</t>
        </is>
      </c>
      <c r="C258" s="26" t="n">
        <v>45994.65347222222</v>
      </c>
      <c r="D258" t="inlineStr">
        <is>
          <t>Creatinine</t>
        </is>
      </c>
      <c r="E258" t="n">
        <v>1.05</v>
      </c>
      <c r="F258" t="inlineStr">
        <is>
          <t>mg/dL</t>
        </is>
      </c>
      <c r="G258" t="n">
        <v>0.6</v>
      </c>
      <c r="H258" t="n">
        <v>1.3</v>
      </c>
      <c r="I258" t="inlineStr">
        <is>
          <t>STAT</t>
        </is>
      </c>
      <c r="J258" s="27" t="n"/>
    </row>
    <row r="259">
      <c r="A259" t="inlineStr">
        <is>
          <t>LAB749382</t>
        </is>
      </c>
      <c r="B259" t="inlineStr">
        <is>
          <t>PT12333</t>
        </is>
      </c>
      <c r="C259" s="26" t="n">
        <v>45994.65555555555</v>
      </c>
      <c r="D259" t="inlineStr">
        <is>
          <t>Troponin I, High Sensitivity</t>
        </is>
      </c>
      <c r="E259" t="n">
        <v>263</v>
      </c>
      <c r="F259" t="inlineStr">
        <is>
          <t>ng/L</t>
        </is>
      </c>
      <c r="G259" t="n">
        <v>0</v>
      </c>
      <c r="H259" t="n">
        <v>34</v>
      </c>
      <c r="I259" t="inlineStr">
        <is>
          <t>STAT</t>
        </is>
      </c>
      <c r="J259" s="27" t="n"/>
    </row>
    <row r="260">
      <c r="A260" t="inlineStr">
        <is>
          <t>LAB749381</t>
        </is>
      </c>
      <c r="B260" t="inlineStr">
        <is>
          <t>PT12333</t>
        </is>
      </c>
      <c r="C260" s="26" t="n">
        <v>45994.65833333333</v>
      </c>
      <c r="D260" t="inlineStr">
        <is>
          <t>Potassium</t>
        </is>
      </c>
      <c r="E260" t="n">
        <v>4.5</v>
      </c>
      <c r="F260" t="inlineStr">
        <is>
          <t>mmol/L</t>
        </is>
      </c>
      <c r="G260" t="n">
        <v>3.5</v>
      </c>
      <c r="H260" t="n">
        <v>5.1</v>
      </c>
      <c r="I260" t="inlineStr">
        <is>
          <t>STAT</t>
        </is>
      </c>
      <c r="J260" s="27" t="n"/>
    </row>
    <row r="261">
      <c r="A261" t="inlineStr">
        <is>
          <t>LAB749369</t>
        </is>
      </c>
      <c r="B261" t="inlineStr">
        <is>
          <t>PT13672</t>
        </is>
      </c>
      <c r="C261" s="26" t="n">
        <v>45994.6625</v>
      </c>
      <c r="D261" t="inlineStr">
        <is>
          <t>Glucose</t>
        </is>
      </c>
      <c r="E261" t="n">
        <v>119</v>
      </c>
      <c r="F261" t="inlineStr">
        <is>
          <t>mg/dL</t>
        </is>
      </c>
      <c r="G261" t="n">
        <v>70</v>
      </c>
      <c r="H261" t="n">
        <v>99</v>
      </c>
      <c r="I261" t="inlineStr">
        <is>
          <t>STAT</t>
        </is>
      </c>
      <c r="J261" s="27" t="n"/>
    </row>
    <row r="262">
      <c r="A262" t="inlineStr">
        <is>
          <t>LAB749370</t>
        </is>
      </c>
      <c r="B262" t="inlineStr">
        <is>
          <t>PT13672</t>
        </is>
      </c>
      <c r="C262" s="26" t="n">
        <v>45994.6625</v>
      </c>
      <c r="D262" t="inlineStr">
        <is>
          <t>Creatinine</t>
        </is>
      </c>
      <c r="E262" t="n">
        <v>1.3</v>
      </c>
      <c r="F262" t="inlineStr">
        <is>
          <t>mg/dL</t>
        </is>
      </c>
      <c r="G262" t="n">
        <v>0.6</v>
      </c>
      <c r="H262" t="n">
        <v>1.3</v>
      </c>
      <c r="I262" t="inlineStr">
        <is>
          <t>STAT</t>
        </is>
      </c>
      <c r="J262" s="27" t="n"/>
    </row>
    <row r="263">
      <c r="A263" t="inlineStr">
        <is>
          <t>LAB749372</t>
        </is>
      </c>
      <c r="B263" t="inlineStr">
        <is>
          <t>PT13672</t>
        </is>
      </c>
      <c r="C263" s="26" t="n">
        <v>45994.66805555556</v>
      </c>
      <c r="D263" t="inlineStr">
        <is>
          <t>Hemoglobin</t>
        </is>
      </c>
      <c r="E263" t="n">
        <v>12.4</v>
      </c>
      <c r="F263" t="inlineStr">
        <is>
          <t>g/dL</t>
        </is>
      </c>
      <c r="G263" t="n">
        <v>12</v>
      </c>
      <c r="H263" t="n">
        <v>17.5</v>
      </c>
      <c r="I263" t="inlineStr">
        <is>
          <t>STAT</t>
        </is>
      </c>
      <c r="J263" s="27" t="n"/>
    </row>
    <row r="264">
      <c r="A264" t="inlineStr">
        <is>
          <t>LAB749349</t>
        </is>
      </c>
      <c r="B264" t="inlineStr">
        <is>
          <t>PT13632</t>
        </is>
      </c>
      <c r="C264" s="26" t="n">
        <v>45994.67013888889</v>
      </c>
      <c r="D264" t="inlineStr">
        <is>
          <t>Sodium</t>
        </is>
      </c>
      <c r="E264" t="n">
        <v>137</v>
      </c>
      <c r="F264" t="inlineStr">
        <is>
          <t>mmol/L</t>
        </is>
      </c>
      <c r="G264" t="n">
        <v>136</v>
      </c>
      <c r="H264" t="n">
        <v>145</v>
      </c>
      <c r="I264" t="inlineStr">
        <is>
          <t>STAT</t>
        </is>
      </c>
      <c r="J264" s="27" t="n"/>
    </row>
    <row r="265">
      <c r="A265" t="inlineStr">
        <is>
          <t>LAB749408</t>
        </is>
      </c>
      <c r="B265" t="inlineStr">
        <is>
          <t>PT12628</t>
        </is>
      </c>
      <c r="C265" s="26" t="n">
        <v>45994.70555555556</v>
      </c>
      <c r="D265" t="inlineStr">
        <is>
          <t>Hemoglobin</t>
        </is>
      </c>
      <c r="E265" t="n">
        <v>13.7</v>
      </c>
      <c r="F265" t="inlineStr">
        <is>
          <t>g/dL</t>
        </is>
      </c>
      <c r="G265" t="n">
        <v>12</v>
      </c>
      <c r="H265" t="n">
        <v>17.5</v>
      </c>
      <c r="I265" t="inlineStr">
        <is>
          <t>Routine</t>
        </is>
      </c>
      <c r="J265" s="27" t="n"/>
    </row>
    <row r="266">
      <c r="A266" t="inlineStr">
        <is>
          <t>LAB749406</t>
        </is>
      </c>
      <c r="B266" t="inlineStr">
        <is>
          <t>PT12628</t>
        </is>
      </c>
      <c r="C266" s="26" t="n">
        <v>45994.70625</v>
      </c>
      <c r="D266" t="inlineStr">
        <is>
          <t>Creatinine</t>
        </is>
      </c>
      <c r="E266" t="n">
        <v>1.07</v>
      </c>
      <c r="F266" t="inlineStr">
        <is>
          <t>mg/dL</t>
        </is>
      </c>
      <c r="G266" t="n">
        <v>0.6</v>
      </c>
      <c r="H266" t="n">
        <v>1.3</v>
      </c>
      <c r="I266" t="inlineStr">
        <is>
          <t>STAT</t>
        </is>
      </c>
      <c r="J266" s="27" t="n"/>
    </row>
    <row r="267">
      <c r="A267" t="inlineStr">
        <is>
          <t>LAB749395</t>
        </is>
      </c>
      <c r="B267" t="inlineStr">
        <is>
          <t>PT11156</t>
        </is>
      </c>
      <c r="C267" s="26" t="n">
        <v>45994.71944444445</v>
      </c>
      <c r="D267" t="inlineStr">
        <is>
          <t>Potassium</t>
        </is>
      </c>
      <c r="E267" t="n">
        <v>4.6</v>
      </c>
      <c r="F267" t="inlineStr">
        <is>
          <t>mmol/L</t>
        </is>
      </c>
      <c r="G267" t="n">
        <v>3.5</v>
      </c>
      <c r="H267" t="n">
        <v>5.1</v>
      </c>
      <c r="I267" t="inlineStr">
        <is>
          <t>STAT</t>
        </is>
      </c>
      <c r="J267" s="27" t="n"/>
    </row>
    <row r="268">
      <c r="A268" t="inlineStr">
        <is>
          <t>LAB749405</t>
        </is>
      </c>
      <c r="B268" t="inlineStr">
        <is>
          <t>PT12628</t>
        </is>
      </c>
      <c r="C268" s="26" t="n">
        <v>45994.72083333333</v>
      </c>
      <c r="D268" t="inlineStr">
        <is>
          <t>Glucose</t>
        </is>
      </c>
      <c r="E268" t="n">
        <v>120</v>
      </c>
      <c r="F268" t="inlineStr">
        <is>
          <t>mg/dL</t>
        </is>
      </c>
      <c r="G268" t="n">
        <v>70</v>
      </c>
      <c r="H268" t="n">
        <v>99</v>
      </c>
      <c r="I268" t="inlineStr">
        <is>
          <t>STAT</t>
        </is>
      </c>
      <c r="J268" s="27" t="n"/>
    </row>
    <row r="269">
      <c r="A269" t="inlineStr">
        <is>
          <t>LAB749396</t>
        </is>
      </c>
      <c r="B269" t="inlineStr">
        <is>
          <t>PT11156</t>
        </is>
      </c>
      <c r="C269" s="26" t="n">
        <v>45994.72569444445</v>
      </c>
      <c r="D269" t="inlineStr">
        <is>
          <t>Blood Urea Nitrogen</t>
        </is>
      </c>
      <c r="E269" t="n">
        <v>17</v>
      </c>
      <c r="F269" t="inlineStr">
        <is>
          <t>mg/dL</t>
        </is>
      </c>
      <c r="G269" t="n">
        <v>7</v>
      </c>
      <c r="H269" t="n">
        <v>20</v>
      </c>
      <c r="I269" t="inlineStr">
        <is>
          <t>STAT</t>
        </is>
      </c>
      <c r="J269" s="27" t="n"/>
    </row>
    <row r="270">
      <c r="A270" t="inlineStr">
        <is>
          <t>LAB749397</t>
        </is>
      </c>
      <c r="B270" t="inlineStr">
        <is>
          <t>PT11156</t>
        </is>
      </c>
      <c r="C270" s="26" t="n">
        <v>45994.72708333333</v>
      </c>
      <c r="D270" t="inlineStr">
        <is>
          <t>Platelet Count</t>
        </is>
      </c>
      <c r="E270" t="n">
        <v>244</v>
      </c>
      <c r="F270" t="inlineStr">
        <is>
          <t>K/uL</t>
        </is>
      </c>
      <c r="G270" t="n">
        <v>150</v>
      </c>
      <c r="H270" t="n">
        <v>400</v>
      </c>
      <c r="I270" t="inlineStr">
        <is>
          <t>Routine</t>
        </is>
      </c>
      <c r="J270" s="27" t="n"/>
    </row>
    <row r="271">
      <c r="A271" t="inlineStr">
        <is>
          <t>LAB749407</t>
        </is>
      </c>
      <c r="B271" t="inlineStr">
        <is>
          <t>PT12628</t>
        </is>
      </c>
      <c r="C271" s="26" t="n">
        <v>45994.73263888889</v>
      </c>
      <c r="D271" t="inlineStr">
        <is>
          <t>White Blood Cell Count</t>
        </is>
      </c>
      <c r="E271" t="n">
        <v>6.5</v>
      </c>
      <c r="F271" t="inlineStr">
        <is>
          <t>K/uL</t>
        </is>
      </c>
      <c r="G271" t="n">
        <v>4.5</v>
      </c>
      <c r="H271" t="n">
        <v>11</v>
      </c>
      <c r="I271" t="inlineStr">
        <is>
          <t>STAT</t>
        </is>
      </c>
      <c r="J271" s="27" t="n"/>
    </row>
    <row r="272">
      <c r="A272" t="inlineStr">
        <is>
          <t>LAB749401</t>
        </is>
      </c>
      <c r="B272" t="inlineStr">
        <is>
          <t>PT10668</t>
        </is>
      </c>
      <c r="C272" s="26" t="n">
        <v>45994.73819444444</v>
      </c>
      <c r="D272" t="inlineStr">
        <is>
          <t>Hemoglobin</t>
        </is>
      </c>
      <c r="E272" t="n">
        <v>9.800000000000001</v>
      </c>
      <c r="F272" t="inlineStr">
        <is>
          <t>g/dL</t>
        </is>
      </c>
      <c r="G272" t="n">
        <v>12</v>
      </c>
      <c r="H272" t="n">
        <v>17.5</v>
      </c>
      <c r="I272" t="inlineStr">
        <is>
          <t>STAT</t>
        </is>
      </c>
      <c r="J272" s="27" t="n"/>
    </row>
    <row r="273">
      <c r="A273" t="inlineStr">
        <is>
          <t>LAB749391</t>
        </is>
      </c>
      <c r="B273" t="inlineStr">
        <is>
          <t>PT11156</t>
        </is>
      </c>
      <c r="C273" s="26" t="n">
        <v>45994.74305555555</v>
      </c>
      <c r="D273" t="inlineStr">
        <is>
          <t>Creatinine</t>
        </is>
      </c>
      <c r="E273" t="n">
        <v>1</v>
      </c>
      <c r="F273" t="inlineStr">
        <is>
          <t>mg/dL</t>
        </is>
      </c>
      <c r="G273" t="n">
        <v>0.6</v>
      </c>
      <c r="H273" t="n">
        <v>1.3</v>
      </c>
      <c r="I273" t="inlineStr">
        <is>
          <t>STAT</t>
        </is>
      </c>
      <c r="J273" s="27" t="n"/>
    </row>
    <row r="274">
      <c r="A274" t="inlineStr">
        <is>
          <t>LAB749410</t>
        </is>
      </c>
      <c r="B274" t="inlineStr">
        <is>
          <t>PT10213</t>
        </is>
      </c>
      <c r="C274" s="26" t="n">
        <v>45994.74444444444</v>
      </c>
      <c r="D274" t="inlineStr">
        <is>
          <t>Creatinine</t>
        </is>
      </c>
      <c r="E274" t="n">
        <v>0.72</v>
      </c>
      <c r="F274" t="inlineStr">
        <is>
          <t>mg/dL</t>
        </is>
      </c>
      <c r="G274" t="n">
        <v>0.6</v>
      </c>
      <c r="H274" t="n">
        <v>1.3</v>
      </c>
      <c r="I274" t="inlineStr">
        <is>
          <t>Routine</t>
        </is>
      </c>
      <c r="J274" s="27" t="n"/>
    </row>
    <row r="275">
      <c r="A275" t="inlineStr">
        <is>
          <t>LAB749390</t>
        </is>
      </c>
      <c r="B275" t="inlineStr">
        <is>
          <t>PT11156</t>
        </is>
      </c>
      <c r="C275" s="26" t="n">
        <v>45994.74791666667</v>
      </c>
      <c r="D275" t="inlineStr">
        <is>
          <t>Glucose</t>
        </is>
      </c>
      <c r="E275" t="n">
        <v>100</v>
      </c>
      <c r="F275" t="inlineStr">
        <is>
          <t>mg/dL</t>
        </is>
      </c>
      <c r="G275" t="n">
        <v>70</v>
      </c>
      <c r="H275" t="n">
        <v>99</v>
      </c>
      <c r="I275" t="inlineStr">
        <is>
          <t>STAT</t>
        </is>
      </c>
      <c r="J275" s="27" t="n"/>
    </row>
    <row r="276">
      <c r="A276" t="inlineStr">
        <is>
          <t>LAB749409</t>
        </is>
      </c>
      <c r="B276" t="inlineStr">
        <is>
          <t>PT10213</t>
        </is>
      </c>
      <c r="C276" s="26" t="n">
        <v>45994.74791666667</v>
      </c>
      <c r="D276" t="inlineStr">
        <is>
          <t>Glucose</t>
        </is>
      </c>
      <c r="E276" t="n">
        <v>125</v>
      </c>
      <c r="F276" t="inlineStr">
        <is>
          <t>mg/dL</t>
        </is>
      </c>
      <c r="G276" t="n">
        <v>70</v>
      </c>
      <c r="H276" t="n">
        <v>99</v>
      </c>
      <c r="I276" t="inlineStr">
        <is>
          <t>STAT</t>
        </is>
      </c>
      <c r="J276" s="27" t="n"/>
    </row>
    <row r="277">
      <c r="A277" t="inlineStr">
        <is>
          <t>LAB749392</t>
        </is>
      </c>
      <c r="B277" t="inlineStr">
        <is>
          <t>PT11156</t>
        </is>
      </c>
      <c r="C277" s="26" t="n">
        <v>45994.75138888889</v>
      </c>
      <c r="D277" t="inlineStr">
        <is>
          <t>White Blood Cell Count</t>
        </is>
      </c>
      <c r="E277" t="n">
        <v>14.6</v>
      </c>
      <c r="F277" t="inlineStr">
        <is>
          <t>K/uL</t>
        </is>
      </c>
      <c r="G277" t="n">
        <v>4.5</v>
      </c>
      <c r="H277" t="n">
        <v>11</v>
      </c>
      <c r="I277" t="inlineStr">
        <is>
          <t>Routine</t>
        </is>
      </c>
      <c r="J277" s="27" t="n"/>
    </row>
    <row r="278">
      <c r="A278" t="inlineStr">
        <is>
          <t>LAB749393</t>
        </is>
      </c>
      <c r="B278" t="inlineStr">
        <is>
          <t>PT11156</t>
        </is>
      </c>
      <c r="C278" s="26" t="n">
        <v>45994.75138888889</v>
      </c>
      <c r="D278" t="inlineStr">
        <is>
          <t>Hemoglobin</t>
        </is>
      </c>
      <c r="E278" t="n">
        <v>16.3</v>
      </c>
      <c r="F278" t="inlineStr">
        <is>
          <t>g/dL</t>
        </is>
      </c>
      <c r="G278" t="n">
        <v>12</v>
      </c>
      <c r="H278" t="n">
        <v>17.5</v>
      </c>
      <c r="I278" t="inlineStr">
        <is>
          <t>Routine</t>
        </is>
      </c>
      <c r="J278" s="27" t="n"/>
    </row>
    <row r="279">
      <c r="A279" t="inlineStr">
        <is>
          <t>LAB749394</t>
        </is>
      </c>
      <c r="B279" t="inlineStr">
        <is>
          <t>PT11156</t>
        </is>
      </c>
      <c r="C279" s="26" t="n">
        <v>45994.75694444445</v>
      </c>
      <c r="D279" t="inlineStr">
        <is>
          <t>Sodium</t>
        </is>
      </c>
      <c r="E279" t="n">
        <v>140</v>
      </c>
      <c r="F279" t="inlineStr">
        <is>
          <t>mmol/L</t>
        </is>
      </c>
      <c r="G279" t="n">
        <v>136</v>
      </c>
      <c r="H279" t="n">
        <v>145</v>
      </c>
      <c r="I279" t="inlineStr">
        <is>
          <t>Routine</t>
        </is>
      </c>
      <c r="J279" s="27" t="n"/>
    </row>
    <row r="280">
      <c r="A280" t="inlineStr">
        <is>
          <t>LAB749398</t>
        </is>
      </c>
      <c r="B280" t="inlineStr">
        <is>
          <t>PT10668</t>
        </is>
      </c>
      <c r="C280" s="26" t="n">
        <v>45994.76458333333</v>
      </c>
      <c r="D280" t="inlineStr">
        <is>
          <t>Glucose</t>
        </is>
      </c>
      <c r="E280" t="n">
        <v>115</v>
      </c>
      <c r="F280" t="inlineStr">
        <is>
          <t>mg/dL</t>
        </is>
      </c>
      <c r="G280" t="n">
        <v>70</v>
      </c>
      <c r="H280" t="n">
        <v>99</v>
      </c>
      <c r="I280" t="inlineStr">
        <is>
          <t>Routine</t>
        </is>
      </c>
      <c r="J280" s="27" t="n"/>
    </row>
    <row r="281">
      <c r="A281" t="inlineStr">
        <is>
          <t>LAB749412</t>
        </is>
      </c>
      <c r="B281" t="inlineStr">
        <is>
          <t>PT10213</t>
        </is>
      </c>
      <c r="C281" s="26" t="n">
        <v>45994.77291666667</v>
      </c>
      <c r="D281" t="inlineStr">
        <is>
          <t>Hemoglobin</t>
        </is>
      </c>
      <c r="E281" t="n">
        <v>17.4</v>
      </c>
      <c r="F281" t="inlineStr">
        <is>
          <t>g/dL</t>
        </is>
      </c>
      <c r="G281" t="n">
        <v>12</v>
      </c>
      <c r="H281" t="n">
        <v>17.5</v>
      </c>
      <c r="I281" t="inlineStr">
        <is>
          <t>STAT</t>
        </is>
      </c>
      <c r="J281" s="27" t="n"/>
    </row>
    <row r="282">
      <c r="A282" t="inlineStr">
        <is>
          <t>LAB749399</t>
        </is>
      </c>
      <c r="B282" t="inlineStr">
        <is>
          <t>PT10668</t>
        </is>
      </c>
      <c r="C282" s="26" t="n">
        <v>45994.77708333333</v>
      </c>
      <c r="D282" t="inlineStr">
        <is>
          <t>Creatinine</t>
        </is>
      </c>
      <c r="E282" t="n">
        <v>2.43</v>
      </c>
      <c r="F282" t="inlineStr">
        <is>
          <t>mg/dL</t>
        </is>
      </c>
      <c r="G282" t="n">
        <v>0.6</v>
      </c>
      <c r="H282" t="n">
        <v>1.3</v>
      </c>
      <c r="I282" t="inlineStr">
        <is>
          <t>Routine</t>
        </is>
      </c>
      <c r="J282" s="27" t="n"/>
    </row>
    <row r="283">
      <c r="A283" t="inlineStr">
        <is>
          <t>LAB749402</t>
        </is>
      </c>
      <c r="B283" t="inlineStr">
        <is>
          <t>PT10668</t>
        </is>
      </c>
      <c r="C283" s="26" t="n">
        <v>45994.78263888889</v>
      </c>
      <c r="D283" t="inlineStr">
        <is>
          <t>Lactate</t>
        </is>
      </c>
      <c r="E283" t="n">
        <v>2.6</v>
      </c>
      <c r="F283" t="inlineStr">
        <is>
          <t>mmol/L</t>
        </is>
      </c>
      <c r="G283" t="n">
        <v>0.5</v>
      </c>
      <c r="H283" t="n">
        <v>2</v>
      </c>
      <c r="I283" t="inlineStr">
        <is>
          <t>STAT</t>
        </is>
      </c>
      <c r="J283" s="27" t="n"/>
    </row>
    <row r="284">
      <c r="A284" t="inlineStr">
        <is>
          <t>LAB749400</t>
        </is>
      </c>
      <c r="B284" t="inlineStr">
        <is>
          <t>PT10668</t>
        </is>
      </c>
      <c r="C284" s="26" t="n">
        <v>45994.78402777778</v>
      </c>
      <c r="D284" t="inlineStr">
        <is>
          <t>White Blood Cell Count</t>
        </is>
      </c>
      <c r="E284" t="n">
        <v>23.4</v>
      </c>
      <c r="F284" t="inlineStr">
        <is>
          <t>K/uL</t>
        </is>
      </c>
      <c r="G284" t="n">
        <v>4.5</v>
      </c>
      <c r="H284" t="n">
        <v>11</v>
      </c>
      <c r="I284" t="inlineStr">
        <is>
          <t>STAT</t>
        </is>
      </c>
      <c r="J284" s="27" t="n"/>
    </row>
    <row r="285">
      <c r="A285" t="inlineStr">
        <is>
          <t>LAB749411</t>
        </is>
      </c>
      <c r="B285" t="inlineStr">
        <is>
          <t>PT10213</t>
        </is>
      </c>
      <c r="C285" s="26" t="n">
        <v>45994.79652777778</v>
      </c>
      <c r="D285" t="inlineStr">
        <is>
          <t>White Blood Cell Count</t>
        </is>
      </c>
      <c r="E285" t="n">
        <v>3.9</v>
      </c>
      <c r="F285" t="inlineStr">
        <is>
          <t>K/uL</t>
        </is>
      </c>
      <c r="G285" t="n">
        <v>4.5</v>
      </c>
      <c r="H285" t="n">
        <v>11</v>
      </c>
      <c r="I285" t="inlineStr">
        <is>
          <t>Routine</t>
        </is>
      </c>
      <c r="J285" s="27" t="n"/>
    </row>
    <row r="286">
      <c r="A286" t="inlineStr">
        <is>
          <t>LAB749418</t>
        </is>
      </c>
      <c r="B286" t="inlineStr">
        <is>
          <t>PT13655</t>
        </is>
      </c>
      <c r="C286" s="26" t="n">
        <v>45994.95277777778</v>
      </c>
      <c r="D286" t="inlineStr">
        <is>
          <t>Potassium</t>
        </is>
      </c>
      <c r="E286" t="n">
        <v>4.1</v>
      </c>
      <c r="F286" t="inlineStr">
        <is>
          <t>mmol/L</t>
        </is>
      </c>
      <c r="G286" t="n">
        <v>3.5</v>
      </c>
      <c r="H286" t="n">
        <v>5.1</v>
      </c>
      <c r="I286" t="inlineStr">
        <is>
          <t>STAT</t>
        </is>
      </c>
      <c r="J286" s="27" t="n"/>
    </row>
    <row r="287">
      <c r="A287" t="inlineStr">
        <is>
          <t>LAB749419</t>
        </is>
      </c>
      <c r="B287" t="inlineStr">
        <is>
          <t>PT13655</t>
        </is>
      </c>
      <c r="C287" s="26" t="n">
        <v>45994.96527777778</v>
      </c>
      <c r="D287" t="inlineStr">
        <is>
          <t>Hemoglobin A1c</t>
        </is>
      </c>
      <c r="E287" t="n">
        <v>10.6</v>
      </c>
      <c r="F287" t="inlineStr">
        <is>
          <t>%</t>
        </is>
      </c>
      <c r="G287" t="n">
        <v>4</v>
      </c>
      <c r="H287" t="n">
        <v>5.6</v>
      </c>
      <c r="I287" t="inlineStr">
        <is>
          <t>STAT</t>
        </is>
      </c>
      <c r="J287" s="27" t="n"/>
    </row>
    <row r="288">
      <c r="A288" t="inlineStr">
        <is>
          <t>LAB749416</t>
        </is>
      </c>
      <c r="B288" t="inlineStr">
        <is>
          <t>PT13655</t>
        </is>
      </c>
      <c r="C288" s="26" t="n">
        <v>45994.97708333333</v>
      </c>
      <c r="D288" t="inlineStr">
        <is>
          <t>Hemoglobin</t>
        </is>
      </c>
      <c r="E288" t="n">
        <v>14.7</v>
      </c>
      <c r="F288" t="inlineStr">
        <is>
          <t>g/dL</t>
        </is>
      </c>
      <c r="G288" t="n">
        <v>12</v>
      </c>
      <c r="H288" t="n">
        <v>17.5</v>
      </c>
      <c r="I288" t="inlineStr">
        <is>
          <t>STAT</t>
        </is>
      </c>
      <c r="J288" s="27" t="n"/>
    </row>
    <row r="289">
      <c r="A289" t="inlineStr">
        <is>
          <t>LAB749414</t>
        </is>
      </c>
      <c r="B289" t="inlineStr">
        <is>
          <t>PT13655</t>
        </is>
      </c>
      <c r="C289" s="26" t="n">
        <v>45994.97777777778</v>
      </c>
      <c r="D289" t="inlineStr">
        <is>
          <t>Creatinine</t>
        </is>
      </c>
      <c r="E289" t="n">
        <v>0.85</v>
      </c>
      <c r="F289" t="inlineStr">
        <is>
          <t>mg/dL</t>
        </is>
      </c>
      <c r="G289" t="n">
        <v>0.6</v>
      </c>
      <c r="H289" t="n">
        <v>1.3</v>
      </c>
      <c r="I289" t="inlineStr">
        <is>
          <t>STAT</t>
        </is>
      </c>
      <c r="J289" s="27" t="n"/>
    </row>
    <row r="290">
      <c r="A290" t="inlineStr">
        <is>
          <t>LAB749413</t>
        </is>
      </c>
      <c r="B290" t="inlineStr">
        <is>
          <t>PT13655</t>
        </is>
      </c>
      <c r="C290" s="26" t="n">
        <v>45994.98472222222</v>
      </c>
      <c r="D290" t="inlineStr">
        <is>
          <t>Glucose</t>
        </is>
      </c>
      <c r="E290" t="n">
        <v>91</v>
      </c>
      <c r="F290" t="inlineStr">
        <is>
          <t>mg/dL</t>
        </is>
      </c>
      <c r="G290" t="n">
        <v>70</v>
      </c>
      <c r="H290" t="n">
        <v>99</v>
      </c>
      <c r="I290" t="inlineStr">
        <is>
          <t>STAT</t>
        </is>
      </c>
      <c r="J290" s="27" t="n"/>
    </row>
    <row r="291">
      <c r="A291" t="inlineStr">
        <is>
          <t>LAB749417</t>
        </is>
      </c>
      <c r="B291" t="inlineStr">
        <is>
          <t>PT13655</t>
        </is>
      </c>
      <c r="C291" s="26" t="n">
        <v>45994.99097222222</v>
      </c>
      <c r="D291" t="inlineStr">
        <is>
          <t>Sodium</t>
        </is>
      </c>
      <c r="E291" t="n">
        <v>143</v>
      </c>
      <c r="F291" t="inlineStr">
        <is>
          <t>mmol/L</t>
        </is>
      </c>
      <c r="G291" t="n">
        <v>136</v>
      </c>
      <c r="H291" t="n">
        <v>145</v>
      </c>
      <c r="I291" t="inlineStr">
        <is>
          <t>STAT</t>
        </is>
      </c>
      <c r="J291" s="27" t="n"/>
    </row>
    <row r="292">
      <c r="A292" t="inlineStr">
        <is>
          <t>LAB749415</t>
        </is>
      </c>
      <c r="B292" t="inlineStr">
        <is>
          <t>PT13655</t>
        </is>
      </c>
      <c r="C292" s="26" t="n">
        <v>45994.99236111111</v>
      </c>
      <c r="D292" t="inlineStr">
        <is>
          <t>White Blood Cell Count</t>
        </is>
      </c>
      <c r="E292" t="n">
        <v>8.5</v>
      </c>
      <c r="F292" t="inlineStr">
        <is>
          <t>K/uL</t>
        </is>
      </c>
      <c r="G292" t="n">
        <v>4.5</v>
      </c>
      <c r="H292" t="n">
        <v>11</v>
      </c>
      <c r="I292" t="inlineStr">
        <is>
          <t>Routine</t>
        </is>
      </c>
      <c r="J292" s="27" t="n"/>
    </row>
    <row r="293">
      <c r="A293" t="inlineStr">
        <is>
          <t>LAB749420</t>
        </is>
      </c>
      <c r="B293" t="inlineStr">
        <is>
          <t>PT13117</t>
        </is>
      </c>
      <c r="C293" s="26" t="n">
        <v>45995.10347222222</v>
      </c>
      <c r="D293" t="inlineStr">
        <is>
          <t>Troponin I, High Sensitivity</t>
        </is>
      </c>
      <c r="E293" t="n">
        <v>5</v>
      </c>
      <c r="F293" t="inlineStr">
        <is>
          <t>ng/L</t>
        </is>
      </c>
      <c r="G293" t="n">
        <v>0</v>
      </c>
      <c r="H293" t="n">
        <v>34</v>
      </c>
      <c r="I293" t="inlineStr">
        <is>
          <t>STAT</t>
        </is>
      </c>
      <c r="J293" s="27" t="n"/>
    </row>
    <row r="294">
      <c r="A294" t="inlineStr">
        <is>
          <t>LAB749421</t>
        </is>
      </c>
      <c r="B294" t="inlineStr">
        <is>
          <t>PT13877</t>
        </is>
      </c>
      <c r="C294" s="26" t="n">
        <v>45995.15138888889</v>
      </c>
      <c r="D294" t="inlineStr">
        <is>
          <t>Glucose</t>
        </is>
      </c>
      <c r="E294" t="n">
        <v>163</v>
      </c>
      <c r="F294" t="inlineStr">
        <is>
          <t>mg/dL</t>
        </is>
      </c>
      <c r="G294" t="n">
        <v>70</v>
      </c>
      <c r="H294" t="n">
        <v>99</v>
      </c>
      <c r="I294" t="inlineStr">
        <is>
          <t>Routine</t>
        </is>
      </c>
      <c r="J294" s="27" t="n"/>
    </row>
    <row r="295">
      <c r="A295" t="inlineStr">
        <is>
          <t>LAB749428</t>
        </is>
      </c>
      <c r="B295" t="inlineStr">
        <is>
          <t>PT10306</t>
        </is>
      </c>
      <c r="C295" s="26" t="n">
        <v>45995.16041666667</v>
      </c>
      <c r="D295" t="inlineStr">
        <is>
          <t>Hemoglobin</t>
        </is>
      </c>
      <c r="E295" t="n">
        <v>14.4</v>
      </c>
      <c r="F295" t="inlineStr">
        <is>
          <t>g/dL</t>
        </is>
      </c>
      <c r="G295" t="n">
        <v>12</v>
      </c>
      <c r="H295" t="n">
        <v>17.5</v>
      </c>
      <c r="I295" t="inlineStr">
        <is>
          <t>STAT</t>
        </is>
      </c>
      <c r="J295" s="27" t="n"/>
    </row>
    <row r="296">
      <c r="A296" t="inlineStr">
        <is>
          <t>LAB749427</t>
        </is>
      </c>
      <c r="B296" t="inlineStr">
        <is>
          <t>PT10306</t>
        </is>
      </c>
      <c r="C296" s="26" t="n">
        <v>45995.17777777778</v>
      </c>
      <c r="D296" t="inlineStr">
        <is>
          <t>White Blood Cell Count</t>
        </is>
      </c>
      <c r="E296" t="n">
        <v>5.5</v>
      </c>
      <c r="F296" t="inlineStr">
        <is>
          <t>K/uL</t>
        </is>
      </c>
      <c r="G296" t="n">
        <v>4.5</v>
      </c>
      <c r="H296" t="n">
        <v>11</v>
      </c>
      <c r="I296" t="inlineStr">
        <is>
          <t>Routine</t>
        </is>
      </c>
      <c r="J296" s="27" t="n"/>
    </row>
    <row r="297">
      <c r="A297" t="inlineStr">
        <is>
          <t>LAB749422</t>
        </is>
      </c>
      <c r="B297" t="inlineStr">
        <is>
          <t>PT13877</t>
        </is>
      </c>
      <c r="C297" s="26" t="n">
        <v>45995.18263888889</v>
      </c>
      <c r="D297" t="inlineStr">
        <is>
          <t>Creatinine</t>
        </is>
      </c>
      <c r="E297" t="n">
        <v>0.97</v>
      </c>
      <c r="F297" t="inlineStr">
        <is>
          <t>mg/dL</t>
        </is>
      </c>
      <c r="G297" t="n">
        <v>0.6</v>
      </c>
      <c r="H297" t="n">
        <v>1.3</v>
      </c>
      <c r="I297" t="inlineStr">
        <is>
          <t>Routine</t>
        </is>
      </c>
      <c r="J297" s="27" t="n"/>
    </row>
    <row r="298">
      <c r="A298" t="inlineStr">
        <is>
          <t>LAB749424</t>
        </is>
      </c>
      <c r="B298" t="inlineStr">
        <is>
          <t>PT13877</t>
        </is>
      </c>
      <c r="C298" s="26" t="n">
        <v>45995.19027777778</v>
      </c>
      <c r="D298" t="inlineStr">
        <is>
          <t>Hemoglobin</t>
        </is>
      </c>
      <c r="E298" t="n">
        <v>15.2</v>
      </c>
      <c r="F298" t="inlineStr">
        <is>
          <t>g/dL</t>
        </is>
      </c>
      <c r="G298" t="n">
        <v>12</v>
      </c>
      <c r="H298" t="n">
        <v>17.5</v>
      </c>
      <c r="I298" t="inlineStr">
        <is>
          <t>STAT</t>
        </is>
      </c>
      <c r="J298" s="27" t="n"/>
    </row>
    <row r="299">
      <c r="A299" t="inlineStr">
        <is>
          <t>LAB749426</t>
        </is>
      </c>
      <c r="B299" t="inlineStr">
        <is>
          <t>PT10306</t>
        </is>
      </c>
      <c r="C299" s="26" t="n">
        <v>45995.19166666667</v>
      </c>
      <c r="D299" t="inlineStr">
        <is>
          <t>Creatinine</t>
        </is>
      </c>
      <c r="E299" t="n">
        <v>0.71</v>
      </c>
      <c r="F299" t="inlineStr">
        <is>
          <t>mg/dL</t>
        </is>
      </c>
      <c r="G299" t="n">
        <v>0.6</v>
      </c>
      <c r="H299" t="n">
        <v>1.3</v>
      </c>
      <c r="I299" t="inlineStr">
        <is>
          <t>STAT</t>
        </is>
      </c>
      <c r="J299" s="27" t="n"/>
    </row>
    <row r="300">
      <c r="A300" t="inlineStr">
        <is>
          <t>LAB749423</t>
        </is>
      </c>
      <c r="B300" t="inlineStr">
        <is>
          <t>PT13877</t>
        </is>
      </c>
      <c r="C300" s="26" t="n">
        <v>45995.19583333333</v>
      </c>
      <c r="D300" t="inlineStr">
        <is>
          <t>White Blood Cell Count</t>
        </is>
      </c>
      <c r="E300" t="n">
        <v>17.3</v>
      </c>
      <c r="F300" t="inlineStr">
        <is>
          <t>K/uL</t>
        </is>
      </c>
      <c r="G300" t="n">
        <v>4.5</v>
      </c>
      <c r="H300" t="n">
        <v>11</v>
      </c>
      <c r="I300" t="inlineStr">
        <is>
          <t>Routine</t>
        </is>
      </c>
      <c r="J300" s="27" t="n"/>
    </row>
    <row r="301">
      <c r="A301" t="inlineStr">
        <is>
          <t>LAB749425</t>
        </is>
      </c>
      <c r="B301" t="inlineStr">
        <is>
          <t>PT10306</t>
        </is>
      </c>
      <c r="C301" s="26" t="n">
        <v>45995.19583333333</v>
      </c>
      <c r="D301" t="inlineStr">
        <is>
          <t>Glucose</t>
        </is>
      </c>
      <c r="E301" t="n">
        <v>105</v>
      </c>
      <c r="F301" t="inlineStr">
        <is>
          <t>mg/dL</t>
        </is>
      </c>
      <c r="G301" t="n">
        <v>70</v>
      </c>
      <c r="H301" t="n">
        <v>99</v>
      </c>
      <c r="I301" t="inlineStr">
        <is>
          <t>Routine</t>
        </is>
      </c>
      <c r="J301" s="27" t="n"/>
    </row>
    <row r="302">
      <c r="A302" t="inlineStr">
        <is>
          <t>LAB749430</t>
        </is>
      </c>
      <c r="B302" t="inlineStr">
        <is>
          <t>PT12677</t>
        </is>
      </c>
      <c r="C302" s="26" t="n">
        <v>45995.35486111111</v>
      </c>
      <c r="D302" t="inlineStr">
        <is>
          <t>Creatinine</t>
        </is>
      </c>
      <c r="E302" t="n">
        <v>1.13</v>
      </c>
      <c r="F302" t="inlineStr">
        <is>
          <t>mg/dL</t>
        </is>
      </c>
      <c r="G302" t="n">
        <v>0.6</v>
      </c>
      <c r="H302" t="n">
        <v>1.3</v>
      </c>
      <c r="I302" t="inlineStr">
        <is>
          <t>STAT</t>
        </is>
      </c>
      <c r="J302" s="27" t="n"/>
    </row>
    <row r="303">
      <c r="A303" t="inlineStr">
        <is>
          <t>LAB749431</t>
        </is>
      </c>
      <c r="B303" t="inlineStr">
        <is>
          <t>PT12677</t>
        </is>
      </c>
      <c r="C303" s="26" t="n">
        <v>45995.37013888889</v>
      </c>
      <c r="D303" t="inlineStr">
        <is>
          <t>White Blood Cell Count</t>
        </is>
      </c>
      <c r="E303" t="n">
        <v>8.699999999999999</v>
      </c>
      <c r="F303" t="inlineStr">
        <is>
          <t>K/uL</t>
        </is>
      </c>
      <c r="G303" t="n">
        <v>4.5</v>
      </c>
      <c r="H303" t="n">
        <v>11</v>
      </c>
      <c r="I303" t="inlineStr">
        <is>
          <t>STAT</t>
        </is>
      </c>
      <c r="J303" s="27" t="n"/>
    </row>
    <row r="304">
      <c r="A304" t="inlineStr">
        <is>
          <t>LAB749429</t>
        </is>
      </c>
      <c r="B304" t="inlineStr">
        <is>
          <t>PT12677</t>
        </is>
      </c>
      <c r="C304" s="26" t="n">
        <v>45995.37152777778</v>
      </c>
      <c r="D304" t="inlineStr">
        <is>
          <t>Glucose</t>
        </is>
      </c>
      <c r="E304" t="n">
        <v>112</v>
      </c>
      <c r="F304" t="inlineStr">
        <is>
          <t>mg/dL</t>
        </is>
      </c>
      <c r="G304" t="n">
        <v>70</v>
      </c>
      <c r="H304" t="n">
        <v>99</v>
      </c>
      <c r="I304" t="inlineStr">
        <is>
          <t>STAT</t>
        </is>
      </c>
      <c r="J304" s="27" t="n"/>
    </row>
    <row r="305">
      <c r="A305" t="inlineStr">
        <is>
          <t>LAB749432</t>
        </is>
      </c>
      <c r="B305" t="inlineStr">
        <is>
          <t>PT12677</t>
        </is>
      </c>
      <c r="C305" s="26" t="n">
        <v>45995.38888888889</v>
      </c>
      <c r="D305" t="inlineStr">
        <is>
          <t>Hemoglobin</t>
        </is>
      </c>
      <c r="E305" t="n">
        <v>12</v>
      </c>
      <c r="F305" t="inlineStr">
        <is>
          <t>g/dL</t>
        </is>
      </c>
      <c r="G305" t="n">
        <v>12</v>
      </c>
      <c r="H305" t="n">
        <v>17.5</v>
      </c>
      <c r="I305" t="inlineStr">
        <is>
          <t>STAT</t>
        </is>
      </c>
      <c r="J305" s="27" t="n"/>
    </row>
    <row r="306">
      <c r="A306" t="inlineStr">
        <is>
          <t>LAB749437</t>
        </is>
      </c>
      <c r="B306" t="inlineStr">
        <is>
          <t>PT10897</t>
        </is>
      </c>
      <c r="C306" s="26" t="n">
        <v>45995.40694444445</v>
      </c>
      <c r="D306" t="inlineStr">
        <is>
          <t>Glucose</t>
        </is>
      </c>
      <c r="E306" t="n">
        <v>107</v>
      </c>
      <c r="F306" t="inlineStr">
        <is>
          <t>mg/dL</t>
        </is>
      </c>
      <c r="G306" t="n">
        <v>70</v>
      </c>
      <c r="H306" t="n">
        <v>99</v>
      </c>
      <c r="I306" t="inlineStr">
        <is>
          <t>STAT</t>
        </is>
      </c>
      <c r="J306" s="27" t="n"/>
    </row>
    <row r="307">
      <c r="A307" t="inlineStr">
        <is>
          <t>LAB749438</t>
        </is>
      </c>
      <c r="B307" t="inlineStr">
        <is>
          <t>PT10897</t>
        </is>
      </c>
      <c r="C307" s="26" t="n">
        <v>45995.40902777778</v>
      </c>
      <c r="D307" t="inlineStr">
        <is>
          <t>Creatinine</t>
        </is>
      </c>
      <c r="E307" t="n">
        <v>0.92</v>
      </c>
      <c r="F307" t="inlineStr">
        <is>
          <t>mg/dL</t>
        </is>
      </c>
      <c r="G307" t="n">
        <v>0.6</v>
      </c>
      <c r="H307" t="n">
        <v>1.3</v>
      </c>
      <c r="I307" t="inlineStr">
        <is>
          <t>STAT</t>
        </is>
      </c>
      <c r="J307" s="27" t="n"/>
    </row>
    <row r="308">
      <c r="A308" t="inlineStr">
        <is>
          <t>LAB749433</t>
        </is>
      </c>
      <c r="B308" t="inlineStr">
        <is>
          <t>PT13491</t>
        </is>
      </c>
      <c r="C308" s="26" t="n">
        <v>45995.40972222222</v>
      </c>
      <c r="D308" t="inlineStr">
        <is>
          <t>Glucose</t>
        </is>
      </c>
      <c r="E308" t="n">
        <v>123</v>
      </c>
      <c r="F308" t="inlineStr">
        <is>
          <t>mg/dL</t>
        </is>
      </c>
      <c r="G308" t="n">
        <v>70</v>
      </c>
      <c r="H308" t="n">
        <v>99</v>
      </c>
      <c r="I308" t="inlineStr">
        <is>
          <t>STAT</t>
        </is>
      </c>
      <c r="J308" s="27" t="n"/>
    </row>
    <row r="309">
      <c r="A309" t="inlineStr">
        <is>
          <t>LAB749434</t>
        </is>
      </c>
      <c r="B309" t="inlineStr">
        <is>
          <t>PT13491</t>
        </is>
      </c>
      <c r="C309" s="26" t="n">
        <v>45995.42361111111</v>
      </c>
      <c r="D309" t="inlineStr">
        <is>
          <t>Creatinine</t>
        </is>
      </c>
      <c r="E309" t="n">
        <v>0.92</v>
      </c>
      <c r="F309" t="inlineStr">
        <is>
          <t>mg/dL</t>
        </is>
      </c>
      <c r="G309" t="n">
        <v>0.6</v>
      </c>
      <c r="H309" t="n">
        <v>1.3</v>
      </c>
      <c r="I309" t="inlineStr">
        <is>
          <t>Routine</t>
        </is>
      </c>
      <c r="J309" s="27" t="n"/>
    </row>
    <row r="310">
      <c r="A310" t="inlineStr">
        <is>
          <t>LAB749436</t>
        </is>
      </c>
      <c r="B310" t="inlineStr">
        <is>
          <t>PT13491</t>
        </is>
      </c>
      <c r="C310" s="26" t="n">
        <v>45995.4375</v>
      </c>
      <c r="D310" t="inlineStr">
        <is>
          <t>Hemoglobin</t>
        </is>
      </c>
      <c r="E310" t="n">
        <v>13.7</v>
      </c>
      <c r="F310" t="inlineStr">
        <is>
          <t>g/dL</t>
        </is>
      </c>
      <c r="G310" t="n">
        <v>12</v>
      </c>
      <c r="H310" t="n">
        <v>17.5</v>
      </c>
      <c r="I310" t="inlineStr">
        <is>
          <t>Routine</t>
        </is>
      </c>
      <c r="J310" s="27" t="n"/>
    </row>
    <row r="311">
      <c r="A311" t="inlineStr">
        <is>
          <t>LAB749435</t>
        </is>
      </c>
      <c r="B311" t="inlineStr">
        <is>
          <t>PT13491</t>
        </is>
      </c>
      <c r="C311" s="26" t="n">
        <v>45995.45069444444</v>
      </c>
      <c r="D311" t="inlineStr">
        <is>
          <t>White Blood Cell Count</t>
        </is>
      </c>
      <c r="E311" t="n">
        <v>9.699999999999999</v>
      </c>
      <c r="F311" t="inlineStr">
        <is>
          <t>K/uL</t>
        </is>
      </c>
      <c r="G311" t="n">
        <v>4.5</v>
      </c>
      <c r="H311" t="n">
        <v>11</v>
      </c>
      <c r="I311" t="inlineStr">
        <is>
          <t>Routine</t>
        </is>
      </c>
      <c r="J311" s="27" t="n"/>
    </row>
    <row r="312">
      <c r="A312" t="inlineStr">
        <is>
          <t>LAB749439</t>
        </is>
      </c>
      <c r="B312" t="inlineStr">
        <is>
          <t>PT11385</t>
        </is>
      </c>
      <c r="C312" s="26" t="n">
        <v>45995.46111111111</v>
      </c>
      <c r="D312" t="inlineStr">
        <is>
          <t>Glucose</t>
        </is>
      </c>
      <c r="E312" t="n">
        <v>113</v>
      </c>
      <c r="F312" t="inlineStr">
        <is>
          <t>mg/dL</t>
        </is>
      </c>
      <c r="G312" t="n">
        <v>70</v>
      </c>
      <c r="H312" t="n">
        <v>99</v>
      </c>
      <c r="I312" t="inlineStr">
        <is>
          <t>STAT</t>
        </is>
      </c>
      <c r="J312" s="27" t="n"/>
    </row>
    <row r="313">
      <c r="A313" t="inlineStr">
        <is>
          <t>LAB749440</t>
        </is>
      </c>
      <c r="B313" t="inlineStr">
        <is>
          <t>PT11385</t>
        </is>
      </c>
      <c r="C313" s="26" t="n">
        <v>45995.46180555555</v>
      </c>
      <c r="D313" t="inlineStr">
        <is>
          <t>Creatinine</t>
        </is>
      </c>
      <c r="E313" t="n">
        <v>0.9399999999999999</v>
      </c>
      <c r="F313" t="inlineStr">
        <is>
          <t>mg/dL</t>
        </is>
      </c>
      <c r="G313" t="n">
        <v>0.6</v>
      </c>
      <c r="H313" t="n">
        <v>1.3</v>
      </c>
      <c r="I313" t="inlineStr">
        <is>
          <t>Routine</t>
        </is>
      </c>
      <c r="J313" s="27" t="n"/>
    </row>
    <row r="314">
      <c r="A314" t="inlineStr">
        <is>
          <t>LAB749441</t>
        </is>
      </c>
      <c r="B314" t="inlineStr">
        <is>
          <t>PT11385</t>
        </is>
      </c>
      <c r="C314" s="26" t="n">
        <v>45995.47013888889</v>
      </c>
      <c r="D314" t="inlineStr">
        <is>
          <t>White Blood Cell Count</t>
        </is>
      </c>
      <c r="E314" t="n">
        <v>6.7</v>
      </c>
      <c r="F314" t="inlineStr">
        <is>
          <t>K/uL</t>
        </is>
      </c>
      <c r="G314" t="n">
        <v>4.5</v>
      </c>
      <c r="H314" t="n">
        <v>11</v>
      </c>
      <c r="I314" t="inlineStr">
        <is>
          <t>STAT</t>
        </is>
      </c>
      <c r="J314" s="27" t="n"/>
    </row>
    <row r="315">
      <c r="A315" t="inlineStr">
        <is>
          <t>LAB749442</t>
        </is>
      </c>
      <c r="B315" t="inlineStr">
        <is>
          <t>PT10499</t>
        </is>
      </c>
      <c r="C315" s="26" t="n">
        <v>45995.49236111111</v>
      </c>
      <c r="D315" t="inlineStr">
        <is>
          <t>Glucose</t>
        </is>
      </c>
      <c r="E315" t="n">
        <v>87</v>
      </c>
      <c r="F315" t="inlineStr">
        <is>
          <t>mg/dL</t>
        </is>
      </c>
      <c r="G315" t="n">
        <v>70</v>
      </c>
      <c r="H315" t="n">
        <v>99</v>
      </c>
      <c r="I315" t="inlineStr">
        <is>
          <t>STAT</t>
        </is>
      </c>
      <c r="J315" s="27" t="n"/>
    </row>
    <row r="316">
      <c r="A316" t="inlineStr">
        <is>
          <t>LAB749446</t>
        </is>
      </c>
      <c r="B316" t="inlineStr">
        <is>
          <t>PT10499</t>
        </is>
      </c>
      <c r="C316" s="26" t="n">
        <v>45995.50694444445</v>
      </c>
      <c r="D316" t="inlineStr">
        <is>
          <t>Sodium</t>
        </is>
      </c>
      <c r="E316" t="n">
        <v>140</v>
      </c>
      <c r="F316" t="inlineStr">
        <is>
          <t>mmol/L</t>
        </is>
      </c>
      <c r="G316" t="n">
        <v>136</v>
      </c>
      <c r="H316" t="n">
        <v>145</v>
      </c>
      <c r="I316" t="inlineStr">
        <is>
          <t>STAT</t>
        </is>
      </c>
      <c r="J316" s="27" t="n"/>
    </row>
    <row r="317">
      <c r="A317" t="inlineStr">
        <is>
          <t>LAB749445</t>
        </is>
      </c>
      <c r="B317" t="inlineStr">
        <is>
          <t>PT10499</t>
        </is>
      </c>
      <c r="C317" s="26" t="n">
        <v>45995.52222222222</v>
      </c>
      <c r="D317" t="inlineStr">
        <is>
          <t>Hemoglobin</t>
        </is>
      </c>
      <c r="E317" t="n">
        <v>11.5</v>
      </c>
      <c r="F317" t="inlineStr">
        <is>
          <t>g/dL</t>
        </is>
      </c>
      <c r="G317" t="n">
        <v>12</v>
      </c>
      <c r="H317" t="n">
        <v>17.5</v>
      </c>
      <c r="I317" t="inlineStr">
        <is>
          <t>Routine</t>
        </is>
      </c>
      <c r="J317" s="27" t="n"/>
    </row>
    <row r="318">
      <c r="A318" t="inlineStr">
        <is>
          <t>LAB749447</t>
        </is>
      </c>
      <c r="B318" t="inlineStr">
        <is>
          <t>PT10499</t>
        </is>
      </c>
      <c r="C318" s="26" t="n">
        <v>45995.52708333333</v>
      </c>
      <c r="D318" t="inlineStr">
        <is>
          <t>Potassium</t>
        </is>
      </c>
      <c r="E318" t="n">
        <v>4.4</v>
      </c>
      <c r="F318" t="inlineStr">
        <is>
          <t>mmol/L</t>
        </is>
      </c>
      <c r="G318" t="n">
        <v>3.5</v>
      </c>
      <c r="H318" t="n">
        <v>5.1</v>
      </c>
      <c r="I318" t="inlineStr">
        <is>
          <t>STAT</t>
        </is>
      </c>
      <c r="J318" s="27" t="n"/>
    </row>
    <row r="319">
      <c r="A319" t="inlineStr">
        <is>
          <t>LAB749443</t>
        </is>
      </c>
      <c r="B319" t="inlineStr">
        <is>
          <t>PT10499</t>
        </is>
      </c>
      <c r="C319" s="26" t="n">
        <v>45995.53611111111</v>
      </c>
      <c r="D319" t="inlineStr">
        <is>
          <t>Creatinine</t>
        </is>
      </c>
      <c r="E319" t="n">
        <v>1.03</v>
      </c>
      <c r="F319" t="inlineStr">
        <is>
          <t>mg/dL</t>
        </is>
      </c>
      <c r="G319" t="n">
        <v>0.6</v>
      </c>
      <c r="H319" t="n">
        <v>1.3</v>
      </c>
      <c r="I319" t="inlineStr">
        <is>
          <t>STAT</t>
        </is>
      </c>
      <c r="J319" s="27" t="n"/>
    </row>
    <row r="320">
      <c r="A320" t="inlineStr">
        <is>
          <t>LAB749444</t>
        </is>
      </c>
      <c r="B320" t="inlineStr">
        <is>
          <t>PT10499</t>
        </is>
      </c>
      <c r="C320" s="26" t="n">
        <v>45995.54027777778</v>
      </c>
      <c r="D320" t="inlineStr">
        <is>
          <t>White Blood Cell Count</t>
        </is>
      </c>
      <c r="E320" t="n">
        <v>5.7</v>
      </c>
      <c r="F320" t="inlineStr">
        <is>
          <t>K/uL</t>
        </is>
      </c>
      <c r="G320" t="n">
        <v>4.5</v>
      </c>
      <c r="H320" t="n">
        <v>11</v>
      </c>
      <c r="I320" t="inlineStr">
        <is>
          <t>STAT</t>
        </is>
      </c>
      <c r="J320" s="27" t="n"/>
    </row>
    <row r="321">
      <c r="A321" t="inlineStr">
        <is>
          <t>LAB749463</t>
        </is>
      </c>
      <c r="B321" t="inlineStr">
        <is>
          <t>PT13499</t>
        </is>
      </c>
      <c r="C321" s="26" t="n">
        <v>45995.54236111111</v>
      </c>
      <c r="D321" t="inlineStr">
        <is>
          <t>White Blood Cell Count</t>
        </is>
      </c>
      <c r="E321" t="n">
        <v>6.2</v>
      </c>
      <c r="F321" t="inlineStr">
        <is>
          <t>K/uL</t>
        </is>
      </c>
      <c r="G321" t="n">
        <v>4.5</v>
      </c>
      <c r="H321" t="n">
        <v>11</v>
      </c>
      <c r="I321" t="inlineStr">
        <is>
          <t>Routine</t>
        </is>
      </c>
      <c r="J321" s="27" t="n"/>
    </row>
    <row r="322">
      <c r="A322" t="inlineStr">
        <is>
          <t>LAB749465</t>
        </is>
      </c>
      <c r="B322" t="inlineStr">
        <is>
          <t>PT13499</t>
        </is>
      </c>
      <c r="C322" s="26" t="n">
        <v>45995.54375</v>
      </c>
      <c r="D322" t="inlineStr">
        <is>
          <t>B-Type Natriuretic Peptide</t>
        </is>
      </c>
      <c r="E322" t="n">
        <v>360</v>
      </c>
      <c r="F322" t="inlineStr">
        <is>
          <t>pg/mL</t>
        </is>
      </c>
      <c r="G322" t="n">
        <v>0</v>
      </c>
      <c r="H322" t="n">
        <v>100</v>
      </c>
      <c r="I322" t="inlineStr">
        <is>
          <t>STAT</t>
        </is>
      </c>
      <c r="J322" s="27" t="n"/>
    </row>
    <row r="323">
      <c r="A323" t="inlineStr">
        <is>
          <t>LAB749448</t>
        </is>
      </c>
      <c r="B323" t="inlineStr">
        <is>
          <t>PT10499</t>
        </is>
      </c>
      <c r="C323" s="26" t="n">
        <v>45995.54930555556</v>
      </c>
      <c r="D323" t="inlineStr">
        <is>
          <t>Troponin I, High Sensitivity</t>
        </is>
      </c>
      <c r="E323" t="n">
        <v>1897</v>
      </c>
      <c r="F323" t="inlineStr">
        <is>
          <t>ng/L</t>
        </is>
      </c>
      <c r="G323" t="n">
        <v>0</v>
      </c>
      <c r="H323" t="n">
        <v>34</v>
      </c>
      <c r="I323" t="inlineStr">
        <is>
          <t>STAT</t>
        </is>
      </c>
      <c r="J323" s="27" t="n"/>
    </row>
    <row r="324">
      <c r="A324" t="inlineStr">
        <is>
          <t>LAB749461</t>
        </is>
      </c>
      <c r="B324" t="inlineStr">
        <is>
          <t>PT13499</t>
        </is>
      </c>
      <c r="C324" s="26" t="n">
        <v>45995.56388888889</v>
      </c>
      <c r="D324" t="inlineStr">
        <is>
          <t>Glucose</t>
        </is>
      </c>
      <c r="E324" t="n">
        <v>116</v>
      </c>
      <c r="F324" t="inlineStr">
        <is>
          <t>mg/dL</t>
        </is>
      </c>
      <c r="G324" t="n">
        <v>70</v>
      </c>
      <c r="H324" t="n">
        <v>99</v>
      </c>
      <c r="I324" t="inlineStr">
        <is>
          <t>Routine</t>
        </is>
      </c>
      <c r="J324" s="27" t="n"/>
    </row>
    <row r="325">
      <c r="A325" t="inlineStr">
        <is>
          <t>LAB749464</t>
        </is>
      </c>
      <c r="B325" t="inlineStr">
        <is>
          <t>PT13499</t>
        </is>
      </c>
      <c r="C325" s="26" t="n">
        <v>45995.57222222222</v>
      </c>
      <c r="D325" t="inlineStr">
        <is>
          <t>Troponin I, High Sensitivity</t>
        </is>
      </c>
      <c r="E325" t="n">
        <v>55</v>
      </c>
      <c r="F325" t="inlineStr">
        <is>
          <t>ng/L</t>
        </is>
      </c>
      <c r="G325" t="n">
        <v>0</v>
      </c>
      <c r="H325" t="n">
        <v>34</v>
      </c>
      <c r="I325" t="inlineStr">
        <is>
          <t>STAT</t>
        </is>
      </c>
      <c r="J325" s="27" t="n"/>
    </row>
    <row r="326">
      <c r="A326" t="inlineStr">
        <is>
          <t>LAB749462</t>
        </is>
      </c>
      <c r="B326" t="inlineStr">
        <is>
          <t>PT13499</t>
        </is>
      </c>
      <c r="C326" s="26" t="n">
        <v>45995.58055555556</v>
      </c>
      <c r="D326" t="inlineStr">
        <is>
          <t>Creatinine</t>
        </is>
      </c>
      <c r="E326" t="n">
        <v>0.88</v>
      </c>
      <c r="F326" t="inlineStr">
        <is>
          <t>mg/dL</t>
        </is>
      </c>
      <c r="G326" t="n">
        <v>0.6</v>
      </c>
      <c r="H326" t="n">
        <v>1.3</v>
      </c>
      <c r="I326" t="inlineStr">
        <is>
          <t>STAT</t>
        </is>
      </c>
      <c r="J326" s="27" t="n"/>
    </row>
    <row r="327">
      <c r="A327" t="inlineStr">
        <is>
          <t>LAB749475</t>
        </is>
      </c>
      <c r="B327" t="inlineStr">
        <is>
          <t>PT10673</t>
        </is>
      </c>
      <c r="C327" s="26" t="n">
        <v>45995.5875</v>
      </c>
      <c r="D327" t="inlineStr">
        <is>
          <t>LDL Cholesterol</t>
        </is>
      </c>
      <c r="E327" t="n">
        <v>170</v>
      </c>
      <c r="F327" t="inlineStr">
        <is>
          <t>mg/dL</t>
        </is>
      </c>
      <c r="G327" t="n">
        <v>0</v>
      </c>
      <c r="H327" t="n">
        <v>99</v>
      </c>
      <c r="I327" t="inlineStr">
        <is>
          <t>Routine</t>
        </is>
      </c>
      <c r="J327" s="27" t="n"/>
    </row>
    <row r="328">
      <c r="A328" t="inlineStr">
        <is>
          <t>LAB749476</t>
        </is>
      </c>
      <c r="B328" t="inlineStr">
        <is>
          <t>PT10673</t>
        </is>
      </c>
      <c r="C328" s="26" t="n">
        <v>45995.59236111111</v>
      </c>
      <c r="D328" t="inlineStr">
        <is>
          <t>Hemoglobin A1c</t>
        </is>
      </c>
      <c r="E328" t="n">
        <v>7.8</v>
      </c>
      <c r="F328" t="inlineStr">
        <is>
          <t>%</t>
        </is>
      </c>
      <c r="G328" t="n">
        <v>4</v>
      </c>
      <c r="H328" t="n">
        <v>5.6</v>
      </c>
      <c r="I328" t="inlineStr">
        <is>
          <t>Routine</t>
        </is>
      </c>
      <c r="J328" s="27" t="n"/>
    </row>
    <row r="329">
      <c r="A329" t="inlineStr">
        <is>
          <t>LAB749477</t>
        </is>
      </c>
      <c r="B329" t="inlineStr">
        <is>
          <t>PT12561</t>
        </is>
      </c>
      <c r="C329" s="26" t="n">
        <v>45995.59513888889</v>
      </c>
      <c r="D329" t="inlineStr">
        <is>
          <t>LDL Cholesterol</t>
        </is>
      </c>
      <c r="E329" t="n">
        <v>108</v>
      </c>
      <c r="F329" t="inlineStr">
        <is>
          <t>mg/dL</t>
        </is>
      </c>
      <c r="G329" t="n">
        <v>0</v>
      </c>
      <c r="H329" t="n">
        <v>99</v>
      </c>
      <c r="I329" t="inlineStr">
        <is>
          <t>Routine</t>
        </is>
      </c>
      <c r="J329" s="27" t="n"/>
    </row>
    <row r="330">
      <c r="A330" t="inlineStr">
        <is>
          <t>LAB749478</t>
        </is>
      </c>
      <c r="B330" t="inlineStr">
        <is>
          <t>PT12561</t>
        </is>
      </c>
      <c r="C330" s="26" t="n">
        <v>45995.60972222222</v>
      </c>
      <c r="D330" t="inlineStr">
        <is>
          <t>Hemoglobin A1c</t>
        </is>
      </c>
      <c r="E330" t="n">
        <v>6.4</v>
      </c>
      <c r="F330" t="inlineStr">
        <is>
          <t>%</t>
        </is>
      </c>
      <c r="G330" t="n">
        <v>4</v>
      </c>
      <c r="H330" t="n">
        <v>5.6</v>
      </c>
      <c r="I330" t="inlineStr">
        <is>
          <t>Routine</t>
        </is>
      </c>
      <c r="J330" s="27" t="n"/>
    </row>
    <row r="331">
      <c r="A331" t="inlineStr">
        <is>
          <t>LAB749485</t>
        </is>
      </c>
      <c r="B331" t="inlineStr">
        <is>
          <t>PT13853</t>
        </is>
      </c>
      <c r="C331" s="26" t="n">
        <v>45995.64652777778</v>
      </c>
      <c r="D331" t="inlineStr">
        <is>
          <t>White Blood Cell Count</t>
        </is>
      </c>
      <c r="E331" t="n">
        <v>8.699999999999999</v>
      </c>
      <c r="F331" t="inlineStr">
        <is>
          <t>K/uL</t>
        </is>
      </c>
      <c r="G331" t="n">
        <v>4.5</v>
      </c>
      <c r="H331" t="n">
        <v>11</v>
      </c>
      <c r="I331" t="inlineStr">
        <is>
          <t>Routine</t>
        </is>
      </c>
      <c r="J331" s="27" t="n"/>
    </row>
    <row r="332">
      <c r="A332" t="inlineStr">
        <is>
          <t>LAB749453</t>
        </is>
      </c>
      <c r="B332" t="inlineStr">
        <is>
          <t>PT11261</t>
        </is>
      </c>
      <c r="C332" s="26" t="n">
        <v>45995.64722222222</v>
      </c>
      <c r="D332" t="inlineStr">
        <is>
          <t>Sodium</t>
        </is>
      </c>
      <c r="E332" t="n">
        <v>137</v>
      </c>
      <c r="F332" t="inlineStr">
        <is>
          <t>mmol/L</t>
        </is>
      </c>
      <c r="G332" t="n">
        <v>136</v>
      </c>
      <c r="H332" t="n">
        <v>145</v>
      </c>
      <c r="I332" t="inlineStr">
        <is>
          <t>STAT</t>
        </is>
      </c>
      <c r="J332" s="27" t="n"/>
    </row>
    <row r="333">
      <c r="A333" t="inlineStr">
        <is>
          <t>LAB749452</t>
        </is>
      </c>
      <c r="B333" t="inlineStr">
        <is>
          <t>PT11261</t>
        </is>
      </c>
      <c r="C333" s="26" t="n">
        <v>45995.65069444444</v>
      </c>
      <c r="D333" t="inlineStr">
        <is>
          <t>Hemoglobin</t>
        </is>
      </c>
      <c r="E333" t="n">
        <v>15.5</v>
      </c>
      <c r="F333" t="inlineStr">
        <is>
          <t>g/dL</t>
        </is>
      </c>
      <c r="G333" t="n">
        <v>12</v>
      </c>
      <c r="H333" t="n">
        <v>17.5</v>
      </c>
      <c r="I333" t="inlineStr">
        <is>
          <t>STAT</t>
        </is>
      </c>
      <c r="J333" s="27" t="n"/>
    </row>
    <row r="334">
      <c r="A334" t="inlineStr">
        <is>
          <t>LAB749483</t>
        </is>
      </c>
      <c r="B334" t="inlineStr">
        <is>
          <t>PT13853</t>
        </is>
      </c>
      <c r="C334" s="26" t="n">
        <v>45995.65555555555</v>
      </c>
      <c r="D334" t="inlineStr">
        <is>
          <t>Glucose</t>
        </is>
      </c>
      <c r="E334" t="n">
        <v>172</v>
      </c>
      <c r="F334" t="inlineStr">
        <is>
          <t>mg/dL</t>
        </is>
      </c>
      <c r="G334" t="n">
        <v>70</v>
      </c>
      <c r="H334" t="n">
        <v>99</v>
      </c>
      <c r="I334" t="inlineStr">
        <is>
          <t>Routine</t>
        </is>
      </c>
      <c r="J334" s="27" t="n"/>
    </row>
    <row r="335">
      <c r="A335" t="inlineStr">
        <is>
          <t>LAB749484</t>
        </is>
      </c>
      <c r="B335" t="inlineStr">
        <is>
          <t>PT13853</t>
        </is>
      </c>
      <c r="C335" s="26" t="n">
        <v>45995.65763888889</v>
      </c>
      <c r="D335" t="inlineStr">
        <is>
          <t>Creatinine</t>
        </is>
      </c>
      <c r="E335" t="n">
        <v>0.77</v>
      </c>
      <c r="F335" t="inlineStr">
        <is>
          <t>mg/dL</t>
        </is>
      </c>
      <c r="G335" t="n">
        <v>0.6</v>
      </c>
      <c r="H335" t="n">
        <v>1.3</v>
      </c>
      <c r="I335" t="inlineStr">
        <is>
          <t>Routine</t>
        </is>
      </c>
      <c r="J335" s="27" t="n"/>
    </row>
    <row r="336">
      <c r="A336" t="inlineStr">
        <is>
          <t>LAB749455</t>
        </is>
      </c>
      <c r="B336" t="inlineStr">
        <is>
          <t>PT11261</t>
        </is>
      </c>
      <c r="C336" s="26" t="n">
        <v>45995.65972222222</v>
      </c>
      <c r="D336" t="inlineStr">
        <is>
          <t>Lactate</t>
        </is>
      </c>
      <c r="E336" t="n">
        <v>2</v>
      </c>
      <c r="F336" t="inlineStr">
        <is>
          <t>mmol/L</t>
        </is>
      </c>
      <c r="G336" t="n">
        <v>0.5</v>
      </c>
      <c r="H336" t="n">
        <v>2</v>
      </c>
      <c r="I336" t="inlineStr">
        <is>
          <t>STAT</t>
        </is>
      </c>
      <c r="J336" s="27" t="n"/>
    </row>
    <row r="337">
      <c r="A337" t="inlineStr">
        <is>
          <t>LAB749487</t>
        </is>
      </c>
      <c r="B337" t="inlineStr">
        <is>
          <t>PT13853</t>
        </is>
      </c>
      <c r="C337" s="26" t="n">
        <v>45995.66180555556</v>
      </c>
      <c r="D337" t="inlineStr">
        <is>
          <t>Blood Urea Nitrogen</t>
        </is>
      </c>
      <c r="E337" t="n">
        <v>11</v>
      </c>
      <c r="F337" t="inlineStr">
        <is>
          <t>mg/dL</t>
        </is>
      </c>
      <c r="G337" t="n">
        <v>7</v>
      </c>
      <c r="H337" t="n">
        <v>20</v>
      </c>
      <c r="I337" t="inlineStr">
        <is>
          <t>STAT</t>
        </is>
      </c>
      <c r="J337" s="27" t="n"/>
    </row>
    <row r="338">
      <c r="A338" t="inlineStr">
        <is>
          <t>LAB749488</t>
        </is>
      </c>
      <c r="B338" t="inlineStr">
        <is>
          <t>PT13853</t>
        </is>
      </c>
      <c r="C338" s="26" t="n">
        <v>45995.66875</v>
      </c>
      <c r="D338" t="inlineStr">
        <is>
          <t>Platelet Count</t>
        </is>
      </c>
      <c r="E338" t="n">
        <v>283</v>
      </c>
      <c r="F338" t="inlineStr">
        <is>
          <t>K/uL</t>
        </is>
      </c>
      <c r="G338" t="n">
        <v>150</v>
      </c>
      <c r="H338" t="n">
        <v>400</v>
      </c>
      <c r="I338" t="inlineStr">
        <is>
          <t>STAT</t>
        </is>
      </c>
      <c r="J338" s="27" t="n"/>
    </row>
    <row r="339">
      <c r="A339" t="inlineStr">
        <is>
          <t>LAB749451</t>
        </is>
      </c>
      <c r="B339" t="inlineStr">
        <is>
          <t>PT11261</t>
        </is>
      </c>
      <c r="C339" s="26" t="n">
        <v>45995.67013888889</v>
      </c>
      <c r="D339" t="inlineStr">
        <is>
          <t>White Blood Cell Count</t>
        </is>
      </c>
      <c r="E339" t="n">
        <v>21.4</v>
      </c>
      <c r="F339" t="inlineStr">
        <is>
          <t>K/uL</t>
        </is>
      </c>
      <c r="G339" t="n">
        <v>4.5</v>
      </c>
      <c r="H339" t="n">
        <v>11</v>
      </c>
      <c r="I339" t="inlineStr">
        <is>
          <t>Routine</t>
        </is>
      </c>
      <c r="J339" s="27" t="n"/>
    </row>
    <row r="340">
      <c r="A340" t="inlineStr">
        <is>
          <t>LAB749454</t>
        </is>
      </c>
      <c r="B340" t="inlineStr">
        <is>
          <t>PT11261</t>
        </is>
      </c>
      <c r="C340" s="26" t="n">
        <v>45995.67083333333</v>
      </c>
      <c r="D340" t="inlineStr">
        <is>
          <t>Potassium</t>
        </is>
      </c>
      <c r="E340" t="n">
        <v>4.1</v>
      </c>
      <c r="F340" t="inlineStr">
        <is>
          <t>mmol/L</t>
        </is>
      </c>
      <c r="G340" t="n">
        <v>3.5</v>
      </c>
      <c r="H340" t="n">
        <v>5.1</v>
      </c>
      <c r="I340" t="inlineStr">
        <is>
          <t>STAT</t>
        </is>
      </c>
      <c r="J340" s="27" t="n"/>
    </row>
    <row r="341">
      <c r="A341" t="inlineStr">
        <is>
          <t>LAB749449</t>
        </is>
      </c>
      <c r="B341" t="inlineStr">
        <is>
          <t>PT11261</t>
        </is>
      </c>
      <c r="C341" s="26" t="n">
        <v>45995.67986111111</v>
      </c>
      <c r="D341" t="inlineStr">
        <is>
          <t>Glucose</t>
        </is>
      </c>
      <c r="E341" t="n">
        <v>166</v>
      </c>
      <c r="F341" t="inlineStr">
        <is>
          <t>mg/dL</t>
        </is>
      </c>
      <c r="G341" t="n">
        <v>70</v>
      </c>
      <c r="H341" t="n">
        <v>99</v>
      </c>
      <c r="I341" t="inlineStr">
        <is>
          <t>STAT</t>
        </is>
      </c>
      <c r="J341" s="27" t="n"/>
    </row>
    <row r="342">
      <c r="A342" t="inlineStr">
        <is>
          <t>LAB749486</t>
        </is>
      </c>
      <c r="B342" t="inlineStr">
        <is>
          <t>PT13853</t>
        </is>
      </c>
      <c r="C342" s="26" t="n">
        <v>45995.68611111111</v>
      </c>
      <c r="D342" t="inlineStr">
        <is>
          <t>Hemoglobin</t>
        </is>
      </c>
      <c r="E342" t="n">
        <v>12</v>
      </c>
      <c r="F342" t="inlineStr">
        <is>
          <t>g/dL</t>
        </is>
      </c>
      <c r="G342" t="n">
        <v>12</v>
      </c>
      <c r="H342" t="n">
        <v>17.5</v>
      </c>
      <c r="I342" t="inlineStr">
        <is>
          <t>STAT</t>
        </is>
      </c>
      <c r="J342" s="27" t="n"/>
    </row>
    <row r="343">
      <c r="A343" t="inlineStr">
        <is>
          <t>LAB749450</t>
        </is>
      </c>
      <c r="B343" t="inlineStr">
        <is>
          <t>PT11261</t>
        </is>
      </c>
      <c r="C343" s="26" t="n">
        <v>45995.68888888889</v>
      </c>
      <c r="D343" t="inlineStr">
        <is>
          <t>Creatinine</t>
        </is>
      </c>
      <c r="E343" t="n">
        <v>1.7</v>
      </c>
      <c r="F343" t="inlineStr">
        <is>
          <t>mg/dL</t>
        </is>
      </c>
      <c r="G343" t="n">
        <v>0.6</v>
      </c>
      <c r="H343" t="n">
        <v>1.3</v>
      </c>
      <c r="I343" t="inlineStr">
        <is>
          <t>Routine</t>
        </is>
      </c>
      <c r="J343" s="27" t="n"/>
    </row>
    <row r="344">
      <c r="A344" t="inlineStr">
        <is>
          <t>LAB749481</t>
        </is>
      </c>
      <c r="B344" t="inlineStr">
        <is>
          <t>PT11337</t>
        </is>
      </c>
      <c r="C344" s="26" t="n">
        <v>45995.71597222222</v>
      </c>
      <c r="D344" t="inlineStr">
        <is>
          <t>White Blood Cell Count</t>
        </is>
      </c>
      <c r="E344" t="n">
        <v>6.3</v>
      </c>
      <c r="F344" t="inlineStr">
        <is>
          <t>K/uL</t>
        </is>
      </c>
      <c r="G344" t="n">
        <v>4.5</v>
      </c>
      <c r="H344" t="n">
        <v>11</v>
      </c>
      <c r="I344" t="inlineStr">
        <is>
          <t>Routine</t>
        </is>
      </c>
      <c r="J344" s="27" t="n"/>
    </row>
    <row r="345">
      <c r="A345" t="inlineStr">
        <is>
          <t>LAB749480</t>
        </is>
      </c>
      <c r="B345" t="inlineStr">
        <is>
          <t>PT11337</t>
        </is>
      </c>
      <c r="C345" s="26" t="n">
        <v>45995.71944444445</v>
      </c>
      <c r="D345" t="inlineStr">
        <is>
          <t>Creatinine</t>
        </is>
      </c>
      <c r="E345" t="n">
        <v>1.21</v>
      </c>
      <c r="F345" t="inlineStr">
        <is>
          <t>mg/dL</t>
        </is>
      </c>
      <c r="G345" t="n">
        <v>0.6</v>
      </c>
      <c r="H345" t="n">
        <v>1.3</v>
      </c>
      <c r="I345" t="inlineStr">
        <is>
          <t>STAT</t>
        </is>
      </c>
      <c r="J345" s="27" t="n"/>
    </row>
    <row r="346">
      <c r="A346" t="inlineStr">
        <is>
          <t>LAB749482</t>
        </is>
      </c>
      <c r="B346" t="inlineStr">
        <is>
          <t>PT11337</t>
        </is>
      </c>
      <c r="C346" s="26" t="n">
        <v>45995.72986111111</v>
      </c>
      <c r="D346" t="inlineStr">
        <is>
          <t>Hemoglobin</t>
        </is>
      </c>
      <c r="E346" t="n">
        <v>15</v>
      </c>
      <c r="F346" t="inlineStr">
        <is>
          <t>g/dL</t>
        </is>
      </c>
      <c r="G346" t="n">
        <v>12</v>
      </c>
      <c r="H346" t="n">
        <v>17.5</v>
      </c>
      <c r="I346" t="inlineStr">
        <is>
          <t>STAT</t>
        </is>
      </c>
      <c r="J346" s="27" t="n"/>
    </row>
    <row r="347">
      <c r="A347" t="inlineStr">
        <is>
          <t>LAB749497</t>
        </is>
      </c>
      <c r="B347" t="inlineStr">
        <is>
          <t>PT12879</t>
        </is>
      </c>
      <c r="C347" s="26" t="n">
        <v>45995.73125</v>
      </c>
      <c r="D347" t="inlineStr">
        <is>
          <t>White Blood Cell Count</t>
        </is>
      </c>
      <c r="E347" t="n">
        <v>11.4</v>
      </c>
      <c r="F347" t="inlineStr">
        <is>
          <t>K/uL</t>
        </is>
      </c>
      <c r="G347" t="n">
        <v>4.5</v>
      </c>
      <c r="H347" t="n">
        <v>11</v>
      </c>
      <c r="I347" t="inlineStr">
        <is>
          <t>STAT</t>
        </is>
      </c>
      <c r="J347" s="27" t="n"/>
    </row>
    <row r="348">
      <c r="A348" t="inlineStr">
        <is>
          <t>LAB749468</t>
        </is>
      </c>
      <c r="B348" t="inlineStr">
        <is>
          <t>PT12433</t>
        </is>
      </c>
      <c r="C348" s="26" t="n">
        <v>45995.73263888889</v>
      </c>
      <c r="D348" t="inlineStr">
        <is>
          <t>White Blood Cell Count</t>
        </is>
      </c>
      <c r="E348" t="n">
        <v>9.699999999999999</v>
      </c>
      <c r="F348" t="inlineStr">
        <is>
          <t>K/uL</t>
        </is>
      </c>
      <c r="G348" t="n">
        <v>4.5</v>
      </c>
      <c r="H348" t="n">
        <v>11</v>
      </c>
      <c r="I348" t="inlineStr">
        <is>
          <t>Routine</t>
        </is>
      </c>
      <c r="J348" s="27" t="n"/>
    </row>
    <row r="349">
      <c r="A349" t="inlineStr">
        <is>
          <t>LAB749458</t>
        </is>
      </c>
      <c r="B349" t="inlineStr">
        <is>
          <t>PT13067</t>
        </is>
      </c>
      <c r="C349" s="26" t="n">
        <v>45995.73402777778</v>
      </c>
      <c r="D349" t="inlineStr">
        <is>
          <t>White Blood Cell Count</t>
        </is>
      </c>
      <c r="E349" t="n">
        <v>7.7</v>
      </c>
      <c r="F349" t="inlineStr">
        <is>
          <t>K/uL</t>
        </is>
      </c>
      <c r="G349" t="n">
        <v>4.5</v>
      </c>
      <c r="H349" t="n">
        <v>11</v>
      </c>
      <c r="I349" t="inlineStr">
        <is>
          <t>STAT</t>
        </is>
      </c>
      <c r="J349" s="27" t="n"/>
    </row>
    <row r="350">
      <c r="A350" t="inlineStr">
        <is>
          <t>LAB749467</t>
        </is>
      </c>
      <c r="B350" t="inlineStr">
        <is>
          <t>PT12433</t>
        </is>
      </c>
      <c r="C350" s="26" t="n">
        <v>45995.7375</v>
      </c>
      <c r="D350" t="inlineStr">
        <is>
          <t>Creatinine</t>
        </is>
      </c>
      <c r="E350" t="n">
        <v>1.16</v>
      </c>
      <c r="F350" t="inlineStr">
        <is>
          <t>mg/dL</t>
        </is>
      </c>
      <c r="G350" t="n">
        <v>0.6</v>
      </c>
      <c r="H350" t="n">
        <v>1.3</v>
      </c>
      <c r="I350" t="inlineStr">
        <is>
          <t>STAT</t>
        </is>
      </c>
      <c r="J350" s="27" t="n"/>
    </row>
    <row r="351">
      <c r="A351" t="inlineStr">
        <is>
          <t>LAB749459</t>
        </is>
      </c>
      <c r="B351" t="inlineStr">
        <is>
          <t>PT13067</t>
        </is>
      </c>
      <c r="C351" s="26" t="n">
        <v>45995.73888888889</v>
      </c>
      <c r="D351" t="inlineStr">
        <is>
          <t>Hemoglobin</t>
        </is>
      </c>
      <c r="E351" t="n">
        <v>12.3</v>
      </c>
      <c r="F351" t="inlineStr">
        <is>
          <t>g/dL</t>
        </is>
      </c>
      <c r="G351" t="n">
        <v>12</v>
      </c>
      <c r="H351" t="n">
        <v>17.5</v>
      </c>
      <c r="I351" t="inlineStr">
        <is>
          <t>Routine</t>
        </is>
      </c>
      <c r="J351" s="27" t="n"/>
    </row>
    <row r="352">
      <c r="A352" t="inlineStr">
        <is>
          <t>LAB749496</t>
        </is>
      </c>
      <c r="B352" t="inlineStr">
        <is>
          <t>PT12879</t>
        </is>
      </c>
      <c r="C352" s="26" t="n">
        <v>45995.74166666667</v>
      </c>
      <c r="D352" t="inlineStr">
        <is>
          <t>Creatinine</t>
        </is>
      </c>
      <c r="E352" t="n">
        <v>1.16</v>
      </c>
      <c r="F352" t="inlineStr">
        <is>
          <t>mg/dL</t>
        </is>
      </c>
      <c r="G352" t="n">
        <v>0.6</v>
      </c>
      <c r="H352" t="n">
        <v>1.3</v>
      </c>
      <c r="I352" t="inlineStr">
        <is>
          <t>STAT</t>
        </is>
      </c>
      <c r="J352" s="27" t="n"/>
    </row>
    <row r="353">
      <c r="A353" t="inlineStr">
        <is>
          <t>LAB749479</t>
        </is>
      </c>
      <c r="B353" t="inlineStr">
        <is>
          <t>PT11337</t>
        </is>
      </c>
      <c r="C353" s="26" t="n">
        <v>45995.75555555556</v>
      </c>
      <c r="D353" t="inlineStr">
        <is>
          <t>Glucose</t>
        </is>
      </c>
      <c r="E353" t="n">
        <v>99</v>
      </c>
      <c r="F353" t="inlineStr">
        <is>
          <t>mg/dL</t>
        </is>
      </c>
      <c r="G353" t="n">
        <v>70</v>
      </c>
      <c r="H353" t="n">
        <v>99</v>
      </c>
      <c r="I353" t="inlineStr">
        <is>
          <t>Routine</t>
        </is>
      </c>
      <c r="J353" s="27" t="n"/>
    </row>
    <row r="354">
      <c r="A354" t="inlineStr">
        <is>
          <t>LAB749466</t>
        </is>
      </c>
      <c r="B354" t="inlineStr">
        <is>
          <t>PT12433</t>
        </is>
      </c>
      <c r="C354" s="26" t="n">
        <v>45995.76111111111</v>
      </c>
      <c r="D354" t="inlineStr">
        <is>
          <t>Glucose</t>
        </is>
      </c>
      <c r="E354" t="n">
        <v>110</v>
      </c>
      <c r="F354" t="inlineStr">
        <is>
          <t>mg/dL</t>
        </is>
      </c>
      <c r="G354" t="n">
        <v>70</v>
      </c>
      <c r="H354" t="n">
        <v>99</v>
      </c>
      <c r="I354" t="inlineStr">
        <is>
          <t>Routine</t>
        </is>
      </c>
      <c r="J354" s="27" t="n"/>
    </row>
    <row r="355">
      <c r="A355" t="inlineStr">
        <is>
          <t>LAB749495</t>
        </is>
      </c>
      <c r="B355" t="inlineStr">
        <is>
          <t>PT12879</t>
        </is>
      </c>
      <c r="C355" s="26" t="n">
        <v>45995.76319444444</v>
      </c>
      <c r="D355" t="inlineStr">
        <is>
          <t>Glucose</t>
        </is>
      </c>
      <c r="E355" t="n">
        <v>115</v>
      </c>
      <c r="F355" t="inlineStr">
        <is>
          <t>mg/dL</t>
        </is>
      </c>
      <c r="G355" t="n">
        <v>70</v>
      </c>
      <c r="H355" t="n">
        <v>99</v>
      </c>
      <c r="I355" t="inlineStr">
        <is>
          <t>Routine</t>
        </is>
      </c>
      <c r="J355" s="27" t="n"/>
    </row>
    <row r="356">
      <c r="A356" t="inlineStr">
        <is>
          <t>LAB749469</t>
        </is>
      </c>
      <c r="B356" t="inlineStr">
        <is>
          <t>PT12433</t>
        </is>
      </c>
      <c r="C356" s="26" t="n">
        <v>45995.77083333334</v>
      </c>
      <c r="D356" t="inlineStr">
        <is>
          <t>Hemoglobin</t>
        </is>
      </c>
      <c r="E356" t="n">
        <v>12.9</v>
      </c>
      <c r="F356" t="inlineStr">
        <is>
          <t>g/dL</t>
        </is>
      </c>
      <c r="G356" t="n">
        <v>12</v>
      </c>
      <c r="H356" t="n">
        <v>17.5</v>
      </c>
      <c r="I356" t="inlineStr">
        <is>
          <t>STAT</t>
        </is>
      </c>
      <c r="J356" s="27" t="n"/>
    </row>
    <row r="357">
      <c r="A357" t="inlineStr">
        <is>
          <t>LAB749460</t>
        </is>
      </c>
      <c r="B357" t="inlineStr">
        <is>
          <t>PT13067</t>
        </is>
      </c>
      <c r="C357" s="26" t="n">
        <v>45995.77222222222</v>
      </c>
      <c r="D357" t="inlineStr">
        <is>
          <t>Prothrombin Time INR</t>
        </is>
      </c>
      <c r="E357" t="n">
        <v>1.2</v>
      </c>
      <c r="F357" t="inlineStr">
        <is>
          <t>ratio</t>
        </is>
      </c>
      <c r="G357" t="n">
        <v>0.8</v>
      </c>
      <c r="H357" t="n">
        <v>1.2</v>
      </c>
      <c r="I357" t="inlineStr">
        <is>
          <t>Routine</t>
        </is>
      </c>
      <c r="J357" s="27" t="n"/>
    </row>
    <row r="358">
      <c r="A358" t="inlineStr">
        <is>
          <t>LAB749498</t>
        </is>
      </c>
      <c r="B358" t="inlineStr">
        <is>
          <t>PT12879</t>
        </is>
      </c>
      <c r="C358" s="26" t="n">
        <v>45995.77361111111</v>
      </c>
      <c r="D358" t="inlineStr">
        <is>
          <t>Hemoglobin</t>
        </is>
      </c>
      <c r="E358" t="n">
        <v>13</v>
      </c>
      <c r="F358" t="inlineStr">
        <is>
          <t>g/dL</t>
        </is>
      </c>
      <c r="G358" t="n">
        <v>12</v>
      </c>
      <c r="H358" t="n">
        <v>17.5</v>
      </c>
      <c r="I358" t="inlineStr">
        <is>
          <t>STAT</t>
        </is>
      </c>
      <c r="J358" s="27" t="n"/>
    </row>
    <row r="359">
      <c r="A359" t="inlineStr">
        <is>
          <t>LAB749456</t>
        </is>
      </c>
      <c r="B359" t="inlineStr">
        <is>
          <t>PT13067</t>
        </is>
      </c>
      <c r="C359" s="26" t="n">
        <v>45995.775</v>
      </c>
      <c r="D359" t="inlineStr">
        <is>
          <t>Glucose</t>
        </is>
      </c>
      <c r="E359" t="n">
        <v>102</v>
      </c>
      <c r="F359" t="inlineStr">
        <is>
          <t>mg/dL</t>
        </is>
      </c>
      <c r="G359" t="n">
        <v>70</v>
      </c>
      <c r="H359" t="n">
        <v>99</v>
      </c>
      <c r="I359" t="inlineStr">
        <is>
          <t>STAT</t>
        </is>
      </c>
      <c r="J359" s="27" t="n"/>
    </row>
    <row r="360">
      <c r="A360" t="inlineStr">
        <is>
          <t>LAB749457</t>
        </is>
      </c>
      <c r="B360" t="inlineStr">
        <is>
          <t>PT13067</t>
        </is>
      </c>
      <c r="C360" s="26" t="n">
        <v>45995.77569444444</v>
      </c>
      <c r="D360" t="inlineStr">
        <is>
          <t>Creatinine</t>
        </is>
      </c>
      <c r="E360" t="n">
        <v>0.83</v>
      </c>
      <c r="F360" t="inlineStr">
        <is>
          <t>mg/dL</t>
        </is>
      </c>
      <c r="G360" t="n">
        <v>0.6</v>
      </c>
      <c r="H360" t="n">
        <v>1.3</v>
      </c>
      <c r="I360" t="inlineStr">
        <is>
          <t>STAT</t>
        </is>
      </c>
      <c r="J360" s="27" t="n"/>
    </row>
    <row r="361">
      <c r="A361" t="inlineStr">
        <is>
          <t>LAB749472</t>
        </is>
      </c>
      <c r="B361" t="inlineStr">
        <is>
          <t>PT11131</t>
        </is>
      </c>
      <c r="C361" s="26" t="n">
        <v>45995.78680555556</v>
      </c>
      <c r="D361" t="inlineStr">
        <is>
          <t>White Blood Cell Count</t>
        </is>
      </c>
      <c r="E361" t="n">
        <v>4.7</v>
      </c>
      <c r="F361" t="inlineStr">
        <is>
          <t>K/uL</t>
        </is>
      </c>
      <c r="G361" t="n">
        <v>4.5</v>
      </c>
      <c r="H361" t="n">
        <v>11</v>
      </c>
      <c r="I361" t="inlineStr">
        <is>
          <t>STAT</t>
        </is>
      </c>
      <c r="J361" s="27" t="n"/>
    </row>
    <row r="362">
      <c r="A362" t="inlineStr">
        <is>
          <t>LAB749470</t>
        </is>
      </c>
      <c r="B362" t="inlineStr">
        <is>
          <t>PT11131</t>
        </is>
      </c>
      <c r="C362" s="26" t="n">
        <v>45995.79097222222</v>
      </c>
      <c r="D362" t="inlineStr">
        <is>
          <t>Glucose</t>
        </is>
      </c>
      <c r="E362" t="n">
        <v>126</v>
      </c>
      <c r="F362" t="inlineStr">
        <is>
          <t>mg/dL</t>
        </is>
      </c>
      <c r="G362" t="n">
        <v>70</v>
      </c>
      <c r="H362" t="n">
        <v>99</v>
      </c>
      <c r="I362" t="inlineStr">
        <is>
          <t>STAT</t>
        </is>
      </c>
      <c r="J362" s="27" t="n"/>
    </row>
    <row r="363">
      <c r="A363" t="inlineStr">
        <is>
          <t>LAB749474</t>
        </is>
      </c>
      <c r="B363" t="inlineStr">
        <is>
          <t>PT11131</t>
        </is>
      </c>
      <c r="C363" s="26" t="n">
        <v>45995.80069444444</v>
      </c>
      <c r="D363" t="inlineStr">
        <is>
          <t>Troponin I, High Sensitivity</t>
        </is>
      </c>
      <c r="E363" t="n">
        <v>7</v>
      </c>
      <c r="F363" t="inlineStr">
        <is>
          <t>ng/L</t>
        </is>
      </c>
      <c r="G363" t="n">
        <v>0</v>
      </c>
      <c r="H363" t="n">
        <v>34</v>
      </c>
      <c r="I363" t="inlineStr">
        <is>
          <t>STAT</t>
        </is>
      </c>
      <c r="J363" s="27" t="n"/>
    </row>
    <row r="364">
      <c r="A364" t="inlineStr">
        <is>
          <t>LAB749471</t>
        </is>
      </c>
      <c r="B364" t="inlineStr">
        <is>
          <t>PT11131</t>
        </is>
      </c>
      <c r="C364" s="26" t="n">
        <v>45995.80347222222</v>
      </c>
      <c r="D364" t="inlineStr">
        <is>
          <t>Creatinine</t>
        </is>
      </c>
      <c r="E364" t="n">
        <v>0.98</v>
      </c>
      <c r="F364" t="inlineStr">
        <is>
          <t>mg/dL</t>
        </is>
      </c>
      <c r="G364" t="n">
        <v>0.6</v>
      </c>
      <c r="H364" t="n">
        <v>1.3</v>
      </c>
      <c r="I364" t="inlineStr">
        <is>
          <t>Routine</t>
        </is>
      </c>
      <c r="J364" s="27" t="n"/>
    </row>
    <row r="365">
      <c r="A365" t="inlineStr">
        <is>
          <t>LAB749494</t>
        </is>
      </c>
      <c r="B365" t="inlineStr">
        <is>
          <t>PT10345</t>
        </is>
      </c>
      <c r="C365" s="26" t="n">
        <v>45995.82777777778</v>
      </c>
      <c r="D365" t="inlineStr">
        <is>
          <t>Platelet Count</t>
        </is>
      </c>
      <c r="E365" t="n">
        <v>267</v>
      </c>
      <c r="F365" t="inlineStr">
        <is>
          <t>K/uL</t>
        </is>
      </c>
      <c r="G365" t="n">
        <v>150</v>
      </c>
      <c r="H365" t="n">
        <v>400</v>
      </c>
      <c r="I365" t="inlineStr">
        <is>
          <t>STAT</t>
        </is>
      </c>
      <c r="J365" s="27" t="n"/>
    </row>
    <row r="366">
      <c r="A366" t="inlineStr">
        <is>
          <t>LAB749473</t>
        </is>
      </c>
      <c r="B366" t="inlineStr">
        <is>
          <t>PT11131</t>
        </is>
      </c>
      <c r="C366" s="26" t="n">
        <v>45995.82847222222</v>
      </c>
      <c r="D366" t="inlineStr">
        <is>
          <t>Hemoglobin</t>
        </is>
      </c>
      <c r="E366" t="n">
        <v>14.5</v>
      </c>
      <c r="F366" t="inlineStr">
        <is>
          <t>g/dL</t>
        </is>
      </c>
      <c r="G366" t="n">
        <v>12</v>
      </c>
      <c r="H366" t="n">
        <v>17.5</v>
      </c>
      <c r="I366" t="inlineStr">
        <is>
          <t>STAT</t>
        </is>
      </c>
      <c r="J366" s="27" t="n"/>
    </row>
    <row r="367">
      <c r="A367" t="inlineStr">
        <is>
          <t>LAB749493</t>
        </is>
      </c>
      <c r="B367" t="inlineStr">
        <is>
          <t>PT10345</t>
        </is>
      </c>
      <c r="C367" s="26" t="n">
        <v>45995.83333333334</v>
      </c>
      <c r="D367" t="inlineStr">
        <is>
          <t>Blood Urea Nitrogen</t>
        </is>
      </c>
      <c r="E367" t="n">
        <v>15</v>
      </c>
      <c r="F367" t="inlineStr">
        <is>
          <t>mg/dL</t>
        </is>
      </c>
      <c r="G367" t="n">
        <v>7</v>
      </c>
      <c r="H367" t="n">
        <v>20</v>
      </c>
      <c r="I367" t="inlineStr">
        <is>
          <t>STAT</t>
        </is>
      </c>
      <c r="J367" s="27" t="n"/>
    </row>
    <row r="368">
      <c r="A368" t="inlineStr">
        <is>
          <t>LAB749502</t>
        </is>
      </c>
      <c r="B368" t="inlineStr">
        <is>
          <t>PT12412</t>
        </is>
      </c>
      <c r="C368" s="26" t="n">
        <v>45995.83611111111</v>
      </c>
      <c r="D368" t="inlineStr">
        <is>
          <t>Hemoglobin</t>
        </is>
      </c>
      <c r="E368" t="n">
        <v>14.7</v>
      </c>
      <c r="F368" t="inlineStr">
        <is>
          <t>g/dL</t>
        </is>
      </c>
      <c r="G368" t="n">
        <v>12</v>
      </c>
      <c r="H368" t="n">
        <v>17.5</v>
      </c>
      <c r="I368" t="inlineStr">
        <is>
          <t>Routine</t>
        </is>
      </c>
      <c r="J368" s="27" t="n"/>
    </row>
    <row r="369">
      <c r="A369" t="inlineStr">
        <is>
          <t>LAB749491</t>
        </is>
      </c>
      <c r="B369" t="inlineStr">
        <is>
          <t>PT10345</t>
        </is>
      </c>
      <c r="C369" s="26" t="n">
        <v>45995.83819444444</v>
      </c>
      <c r="D369" t="inlineStr">
        <is>
          <t>White Blood Cell Count</t>
        </is>
      </c>
      <c r="E369" t="n">
        <v>7.1</v>
      </c>
      <c r="F369" t="inlineStr">
        <is>
          <t>K/uL</t>
        </is>
      </c>
      <c r="G369" t="n">
        <v>4.5</v>
      </c>
      <c r="H369" t="n">
        <v>11</v>
      </c>
      <c r="I369" t="inlineStr">
        <is>
          <t>STAT</t>
        </is>
      </c>
      <c r="J369" s="27" t="n"/>
    </row>
    <row r="370">
      <c r="A370" t="inlineStr">
        <is>
          <t>LAB749501</t>
        </is>
      </c>
      <c r="B370" t="inlineStr">
        <is>
          <t>PT12412</t>
        </is>
      </c>
      <c r="C370" s="26" t="n">
        <v>45995.83958333333</v>
      </c>
      <c r="D370" t="inlineStr">
        <is>
          <t>White Blood Cell Count</t>
        </is>
      </c>
      <c r="E370" t="n">
        <v>10.1</v>
      </c>
      <c r="F370" t="inlineStr">
        <is>
          <t>K/uL</t>
        </is>
      </c>
      <c r="G370" t="n">
        <v>4.5</v>
      </c>
      <c r="H370" t="n">
        <v>11</v>
      </c>
      <c r="I370" t="inlineStr">
        <is>
          <t>STAT</t>
        </is>
      </c>
      <c r="J370" s="27" t="n"/>
    </row>
    <row r="371">
      <c r="A371" t="inlineStr">
        <is>
          <t>LAB749489</t>
        </is>
      </c>
      <c r="B371" t="inlineStr">
        <is>
          <t>PT10345</t>
        </is>
      </c>
      <c r="C371" s="26" t="n">
        <v>45995.84166666667</v>
      </c>
      <c r="D371" t="inlineStr">
        <is>
          <t>Glucose</t>
        </is>
      </c>
      <c r="E371" t="n">
        <v>94</v>
      </c>
      <c r="F371" t="inlineStr">
        <is>
          <t>mg/dL</t>
        </is>
      </c>
      <c r="G371" t="n">
        <v>70</v>
      </c>
      <c r="H371" t="n">
        <v>99</v>
      </c>
      <c r="I371" t="inlineStr">
        <is>
          <t>Routine</t>
        </is>
      </c>
      <c r="J371" s="27" t="n"/>
    </row>
    <row r="372">
      <c r="A372" t="inlineStr">
        <is>
          <t>LAB749503</t>
        </is>
      </c>
      <c r="B372" t="inlineStr">
        <is>
          <t>PT12412</t>
        </is>
      </c>
      <c r="C372" s="26" t="n">
        <v>45995.84236111111</v>
      </c>
      <c r="D372" t="inlineStr">
        <is>
          <t>Blood Urea Nitrogen</t>
        </is>
      </c>
      <c r="E372" t="n">
        <v>9</v>
      </c>
      <c r="F372" t="inlineStr">
        <is>
          <t>mg/dL</t>
        </is>
      </c>
      <c r="G372" t="n">
        <v>7</v>
      </c>
      <c r="H372" t="n">
        <v>20</v>
      </c>
      <c r="I372" t="inlineStr">
        <is>
          <t>STAT</t>
        </is>
      </c>
      <c r="J372" s="27" t="n"/>
    </row>
    <row r="373">
      <c r="A373" t="inlineStr">
        <is>
          <t>LAB749490</t>
        </is>
      </c>
      <c r="B373" t="inlineStr">
        <is>
          <t>PT10345</t>
        </is>
      </c>
      <c r="C373" s="26" t="n">
        <v>45995.85138888889</v>
      </c>
      <c r="D373" t="inlineStr">
        <is>
          <t>Creatinine</t>
        </is>
      </c>
      <c r="E373" t="n">
        <v>1.11</v>
      </c>
      <c r="F373" t="inlineStr">
        <is>
          <t>mg/dL</t>
        </is>
      </c>
      <c r="G373" t="n">
        <v>0.6</v>
      </c>
      <c r="H373" t="n">
        <v>1.3</v>
      </c>
      <c r="I373" t="inlineStr">
        <is>
          <t>STAT</t>
        </is>
      </c>
      <c r="J373" s="27" t="n"/>
    </row>
    <row r="374">
      <c r="A374" t="inlineStr">
        <is>
          <t>LAB749492</t>
        </is>
      </c>
      <c r="B374" t="inlineStr">
        <is>
          <t>PT10345</t>
        </is>
      </c>
      <c r="C374" s="26" t="n">
        <v>45995.85486111111</v>
      </c>
      <c r="D374" t="inlineStr">
        <is>
          <t>Hemoglobin</t>
        </is>
      </c>
      <c r="E374" t="n">
        <v>14.5</v>
      </c>
      <c r="F374" t="inlineStr">
        <is>
          <t>g/dL</t>
        </is>
      </c>
      <c r="G374" t="n">
        <v>12</v>
      </c>
      <c r="H374" t="n">
        <v>17.5</v>
      </c>
      <c r="I374" t="inlineStr">
        <is>
          <t>Routine</t>
        </is>
      </c>
      <c r="J374" s="27" t="n"/>
    </row>
    <row r="375">
      <c r="A375" t="inlineStr">
        <is>
          <t>LAB749505</t>
        </is>
      </c>
      <c r="B375" t="inlineStr">
        <is>
          <t>PT12412</t>
        </is>
      </c>
      <c r="C375" s="26" t="n">
        <v>45995.85694444444</v>
      </c>
      <c r="D375" t="inlineStr">
        <is>
          <t>Prothrombin Time INR</t>
        </is>
      </c>
      <c r="E375" t="n">
        <v>1</v>
      </c>
      <c r="F375" t="inlineStr">
        <is>
          <t>ratio</t>
        </is>
      </c>
      <c r="G375" t="n">
        <v>0.8</v>
      </c>
      <c r="H375" t="n">
        <v>1.2</v>
      </c>
      <c r="I375" t="inlineStr">
        <is>
          <t>Routine</t>
        </is>
      </c>
      <c r="J375" s="27" t="n"/>
    </row>
    <row r="376">
      <c r="A376" t="inlineStr">
        <is>
          <t>LAB749500</t>
        </is>
      </c>
      <c r="B376" t="inlineStr">
        <is>
          <t>PT12412</t>
        </is>
      </c>
      <c r="C376" s="26" t="n">
        <v>45995.85763888889</v>
      </c>
      <c r="D376" t="inlineStr">
        <is>
          <t>Creatinine</t>
        </is>
      </c>
      <c r="E376" t="n">
        <v>0.78</v>
      </c>
      <c r="F376" t="inlineStr">
        <is>
          <t>mg/dL</t>
        </is>
      </c>
      <c r="G376" t="n">
        <v>0.6</v>
      </c>
      <c r="H376" t="n">
        <v>1.3</v>
      </c>
      <c r="I376" t="inlineStr">
        <is>
          <t>STAT</t>
        </is>
      </c>
      <c r="J376" s="27" t="n"/>
    </row>
    <row r="377">
      <c r="A377" t="inlineStr">
        <is>
          <t>LAB749499</t>
        </is>
      </c>
      <c r="B377" t="inlineStr">
        <is>
          <t>PT12412</t>
        </is>
      </c>
      <c r="C377" s="26" t="n">
        <v>45995.85902777778</v>
      </c>
      <c r="D377" t="inlineStr">
        <is>
          <t>Glucose</t>
        </is>
      </c>
      <c r="E377" t="n">
        <v>89</v>
      </c>
      <c r="F377" t="inlineStr">
        <is>
          <t>mg/dL</t>
        </is>
      </c>
      <c r="G377" t="n">
        <v>70</v>
      </c>
      <c r="H377" t="n">
        <v>99</v>
      </c>
      <c r="I377" t="inlineStr">
        <is>
          <t>STAT</t>
        </is>
      </c>
      <c r="J377" s="27" t="n"/>
    </row>
    <row r="378">
      <c r="A378" t="inlineStr">
        <is>
          <t>LAB749504</t>
        </is>
      </c>
      <c r="B378" t="inlineStr">
        <is>
          <t>PT12412</t>
        </is>
      </c>
      <c r="C378" s="26" t="n">
        <v>45995.85972222222</v>
      </c>
      <c r="D378" t="inlineStr">
        <is>
          <t>Platelet Count</t>
        </is>
      </c>
      <c r="E378" t="n">
        <v>268</v>
      </c>
      <c r="F378" t="inlineStr">
        <is>
          <t>K/uL</t>
        </is>
      </c>
      <c r="G378" t="n">
        <v>150</v>
      </c>
      <c r="H378" t="n">
        <v>400</v>
      </c>
      <c r="I378" t="inlineStr">
        <is>
          <t>Routine</t>
        </is>
      </c>
      <c r="J378" s="27" t="n"/>
    </row>
    <row r="379">
      <c r="A379" t="inlineStr">
        <is>
          <t>LAB749526</t>
        </is>
      </c>
      <c r="B379" t="inlineStr">
        <is>
          <t>PT13515</t>
        </is>
      </c>
      <c r="C379" s="26" t="n">
        <v>45995.89861111111</v>
      </c>
      <c r="D379" t="inlineStr">
        <is>
          <t>Creatinine</t>
        </is>
      </c>
      <c r="E379" t="n">
        <v>0.77</v>
      </c>
      <c r="F379" t="inlineStr">
        <is>
          <t>mg/dL</t>
        </is>
      </c>
      <c r="G379" t="n">
        <v>0.6</v>
      </c>
      <c r="H379" t="n">
        <v>1.3</v>
      </c>
      <c r="I379" t="inlineStr">
        <is>
          <t>Routine</t>
        </is>
      </c>
      <c r="J379" s="27" t="n"/>
    </row>
    <row r="380">
      <c r="A380" t="inlineStr">
        <is>
          <t>LAB749528</t>
        </is>
      </c>
      <c r="B380" t="inlineStr">
        <is>
          <t>PT13515</t>
        </is>
      </c>
      <c r="C380" s="26" t="n">
        <v>45995.90486111111</v>
      </c>
      <c r="D380" t="inlineStr">
        <is>
          <t>Hemoglobin</t>
        </is>
      </c>
      <c r="E380" t="n">
        <v>12</v>
      </c>
      <c r="F380" t="inlineStr">
        <is>
          <t>g/dL</t>
        </is>
      </c>
      <c r="G380" t="n">
        <v>12</v>
      </c>
      <c r="H380" t="n">
        <v>17.5</v>
      </c>
      <c r="I380" t="inlineStr">
        <is>
          <t>Routine</t>
        </is>
      </c>
      <c r="J380" s="27" t="n"/>
    </row>
    <row r="381">
      <c r="A381" t="inlineStr">
        <is>
          <t>LAB749525</t>
        </is>
      </c>
      <c r="B381" t="inlineStr">
        <is>
          <t>PT13515</t>
        </is>
      </c>
      <c r="C381" s="26" t="n">
        <v>45995.90902777778</v>
      </c>
      <c r="D381" t="inlineStr">
        <is>
          <t>Glucose</t>
        </is>
      </c>
      <c r="E381" t="n">
        <v>92</v>
      </c>
      <c r="F381" t="inlineStr">
        <is>
          <t>mg/dL</t>
        </is>
      </c>
      <c r="G381" t="n">
        <v>70</v>
      </c>
      <c r="H381" t="n">
        <v>99</v>
      </c>
      <c r="I381" t="inlineStr">
        <is>
          <t>STAT</t>
        </is>
      </c>
      <c r="J381" s="27" t="n"/>
    </row>
    <row r="382">
      <c r="A382" t="inlineStr">
        <is>
          <t>LAB749527</t>
        </is>
      </c>
      <c r="B382" t="inlineStr">
        <is>
          <t>PT13515</t>
        </is>
      </c>
      <c r="C382" s="26" t="n">
        <v>45995.90972222222</v>
      </c>
      <c r="D382" t="inlineStr">
        <is>
          <t>White Blood Cell Count</t>
        </is>
      </c>
      <c r="E382" t="n">
        <v>6.2</v>
      </c>
      <c r="F382" t="inlineStr">
        <is>
          <t>K/uL</t>
        </is>
      </c>
      <c r="G382" t="n">
        <v>4.5</v>
      </c>
      <c r="H382" t="n">
        <v>11</v>
      </c>
      <c r="I382" t="inlineStr">
        <is>
          <t>STAT</t>
        </is>
      </c>
      <c r="J382" s="27" t="n"/>
    </row>
    <row r="383">
      <c r="A383" t="inlineStr">
        <is>
          <t>LAB749507</t>
        </is>
      </c>
      <c r="B383" t="inlineStr">
        <is>
          <t>PT10869</t>
        </is>
      </c>
      <c r="C383" s="26" t="n">
        <v>45995.94097222222</v>
      </c>
      <c r="D383" t="inlineStr">
        <is>
          <t>Creatinine</t>
        </is>
      </c>
      <c r="E383" t="n">
        <v>1.12</v>
      </c>
      <c r="F383" t="inlineStr">
        <is>
          <t>mg/dL</t>
        </is>
      </c>
      <c r="G383" t="n">
        <v>0.6</v>
      </c>
      <c r="H383" t="n">
        <v>1.3</v>
      </c>
      <c r="I383" t="inlineStr">
        <is>
          <t>STAT</t>
        </is>
      </c>
      <c r="J383" s="27" t="n"/>
    </row>
    <row r="384">
      <c r="A384" t="inlineStr">
        <is>
          <t>LAB749508</t>
        </is>
      </c>
      <c r="B384" t="inlineStr">
        <is>
          <t>PT10869</t>
        </is>
      </c>
      <c r="C384" s="26" t="n">
        <v>45995.96527777778</v>
      </c>
      <c r="D384" t="inlineStr">
        <is>
          <t>White Blood Cell Count</t>
        </is>
      </c>
      <c r="E384" t="n">
        <v>6.4</v>
      </c>
      <c r="F384" t="inlineStr">
        <is>
          <t>K/uL</t>
        </is>
      </c>
      <c r="G384" t="n">
        <v>4.5</v>
      </c>
      <c r="H384" t="n">
        <v>11</v>
      </c>
      <c r="I384" t="inlineStr">
        <is>
          <t>STAT</t>
        </is>
      </c>
      <c r="J384" s="27" t="n"/>
    </row>
    <row r="385">
      <c r="A385" t="inlineStr">
        <is>
          <t>LAB749510</t>
        </is>
      </c>
      <c r="B385" t="inlineStr">
        <is>
          <t>PT10869</t>
        </is>
      </c>
      <c r="C385" s="26" t="n">
        <v>45995.98055555556</v>
      </c>
      <c r="D385" t="inlineStr">
        <is>
          <t>Prothrombin Time INR</t>
        </is>
      </c>
      <c r="E385" t="n">
        <v>0.9</v>
      </c>
      <c r="F385" t="inlineStr">
        <is>
          <t>ratio</t>
        </is>
      </c>
      <c r="G385" t="n">
        <v>0.8</v>
      </c>
      <c r="H385" t="n">
        <v>1.2</v>
      </c>
      <c r="I385" t="inlineStr">
        <is>
          <t>STAT</t>
        </is>
      </c>
      <c r="J385" s="27" t="n"/>
    </row>
    <row r="386">
      <c r="A386" t="inlineStr">
        <is>
          <t>LAB749513</t>
        </is>
      </c>
      <c r="B386" t="inlineStr">
        <is>
          <t>PT10067</t>
        </is>
      </c>
      <c r="C386" s="26" t="n">
        <v>45995.98263888889</v>
      </c>
      <c r="D386" t="inlineStr">
        <is>
          <t>White Blood Cell Count</t>
        </is>
      </c>
      <c r="E386" t="n">
        <v>7.8</v>
      </c>
      <c r="F386" t="inlineStr">
        <is>
          <t>K/uL</t>
        </is>
      </c>
      <c r="G386" t="n">
        <v>4.5</v>
      </c>
      <c r="H386" t="n">
        <v>11</v>
      </c>
      <c r="I386" t="inlineStr">
        <is>
          <t>Routine</t>
        </is>
      </c>
      <c r="J386" s="27" t="n"/>
    </row>
    <row r="387">
      <c r="A387" t="inlineStr">
        <is>
          <t>LAB749521</t>
        </is>
      </c>
      <c r="B387" t="inlineStr">
        <is>
          <t>PT12993</t>
        </is>
      </c>
      <c r="C387" s="26" t="n">
        <v>45995.98263888889</v>
      </c>
      <c r="D387" t="inlineStr">
        <is>
          <t>Glucose</t>
        </is>
      </c>
      <c r="E387" t="n">
        <v>197</v>
      </c>
      <c r="F387" t="inlineStr">
        <is>
          <t>mg/dL</t>
        </is>
      </c>
      <c r="G387" t="n">
        <v>70</v>
      </c>
      <c r="H387" t="n">
        <v>99</v>
      </c>
      <c r="I387" t="inlineStr">
        <is>
          <t>Routine</t>
        </is>
      </c>
      <c r="J387" s="27" t="n"/>
    </row>
    <row r="388">
      <c r="A388" t="inlineStr">
        <is>
          <t>LAB749509</t>
        </is>
      </c>
      <c r="B388" t="inlineStr">
        <is>
          <t>PT10869</t>
        </is>
      </c>
      <c r="C388" s="26" t="n">
        <v>45995.98333333333</v>
      </c>
      <c r="D388" t="inlineStr">
        <is>
          <t>Hemoglobin</t>
        </is>
      </c>
      <c r="E388" t="n">
        <v>14.1</v>
      </c>
      <c r="F388" t="inlineStr">
        <is>
          <t>g/dL</t>
        </is>
      </c>
      <c r="G388" t="n">
        <v>12</v>
      </c>
      <c r="H388" t="n">
        <v>17.5</v>
      </c>
      <c r="I388" t="inlineStr">
        <is>
          <t>STAT</t>
        </is>
      </c>
      <c r="J388" s="27" t="n"/>
    </row>
    <row r="389">
      <c r="A389" t="inlineStr">
        <is>
          <t>LAB749524</t>
        </is>
      </c>
      <c r="B389" t="inlineStr">
        <is>
          <t>PT12993</t>
        </is>
      </c>
      <c r="C389" s="26" t="n">
        <v>45995.98333333333</v>
      </c>
      <c r="D389" t="inlineStr">
        <is>
          <t>Hemoglobin</t>
        </is>
      </c>
      <c r="E389" t="n">
        <v>14.9</v>
      </c>
      <c r="F389" t="inlineStr">
        <is>
          <t>g/dL</t>
        </is>
      </c>
      <c r="G389" t="n">
        <v>12</v>
      </c>
      <c r="H389" t="n">
        <v>17.5</v>
      </c>
      <c r="I389" t="inlineStr">
        <is>
          <t>Routine</t>
        </is>
      </c>
      <c r="J389" s="27" t="n"/>
    </row>
    <row r="390">
      <c r="A390" t="inlineStr">
        <is>
          <t>LAB749506</t>
        </is>
      </c>
      <c r="B390" t="inlineStr">
        <is>
          <t>PT10869</t>
        </is>
      </c>
      <c r="C390" s="26" t="n">
        <v>45995.99375</v>
      </c>
      <c r="D390" t="inlineStr">
        <is>
          <t>Glucose</t>
        </is>
      </c>
      <c r="E390" t="n">
        <v>87</v>
      </c>
      <c r="F390" t="inlineStr">
        <is>
          <t>mg/dL</t>
        </is>
      </c>
      <c r="G390" t="n">
        <v>70</v>
      </c>
      <c r="H390" t="n">
        <v>99</v>
      </c>
      <c r="I390" t="inlineStr">
        <is>
          <t>Routine</t>
        </is>
      </c>
      <c r="J390" s="27" t="n"/>
    </row>
    <row r="391">
      <c r="A391" t="inlineStr">
        <is>
          <t>LAB749514</t>
        </is>
      </c>
      <c r="B391" t="inlineStr">
        <is>
          <t>PT10067</t>
        </is>
      </c>
      <c r="C391" s="26" t="n">
        <v>45995.99444444444</v>
      </c>
      <c r="D391" t="inlineStr">
        <is>
          <t>Hemoglobin</t>
        </is>
      </c>
      <c r="E391" t="n">
        <v>12.5</v>
      </c>
      <c r="F391" t="inlineStr">
        <is>
          <t>g/dL</t>
        </is>
      </c>
      <c r="G391" t="n">
        <v>12</v>
      </c>
      <c r="H391" t="n">
        <v>17.5</v>
      </c>
      <c r="I391" t="inlineStr">
        <is>
          <t>Routine</t>
        </is>
      </c>
      <c r="J391" s="27" t="n"/>
    </row>
    <row r="392">
      <c r="A392" t="inlineStr">
        <is>
          <t>LAB749523</t>
        </is>
      </c>
      <c r="B392" t="inlineStr">
        <is>
          <t>PT12993</t>
        </is>
      </c>
      <c r="C392" s="26" t="n">
        <v>45995.99722222222</v>
      </c>
      <c r="D392" t="inlineStr">
        <is>
          <t>White Blood Cell Count</t>
        </is>
      </c>
      <c r="E392" t="n">
        <v>14.8</v>
      </c>
      <c r="F392" t="inlineStr">
        <is>
          <t>K/uL</t>
        </is>
      </c>
      <c r="G392" t="n">
        <v>4.5</v>
      </c>
      <c r="H392" t="n">
        <v>11</v>
      </c>
      <c r="I392" t="inlineStr">
        <is>
          <t>Routine</t>
        </is>
      </c>
      <c r="J392" s="27"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424"/>
  <sheetViews>
    <sheetView tabSelected="0" workbookViewId="0">
      <pane ySplit="1" topLeftCell="A2" activePane="bottomLeft" state="frozen"/>
      <selection pane="bottomLeft" activeCell="A1" sqref="A1"/>
    </sheetView>
  </sheetViews>
  <sheetFormatPr baseColWidth="8" defaultRowHeight="15"/>
  <cols>
    <col width="11" customWidth="1" min="1" max="1"/>
    <col width="17" customWidth="1" min="2" max="2"/>
    <col width="15" customWidth="1" min="3" max="3"/>
    <col width="10" customWidth="1" min="4" max="4"/>
    <col width="30" customWidth="1" min="5" max="5"/>
    <col width="9" customWidth="1" min="6" max="6"/>
    <col width="11" customWidth="1" min="7" max="7"/>
    <col width="10" customWidth="1" min="8" max="8"/>
    <col width="12" customWidth="1" min="9" max="9"/>
    <col width="9" customWidth="1" min="10" max="10"/>
    <col width="11" customWidth="1" min="11" max="11"/>
    <col width="15" customWidth="1" min="12" max="12"/>
    <col width="11" customWidth="1" min="13" max="13"/>
    <col width="11" customWidth="1" min="14" max="14"/>
    <col width="9" customWidth="1" min="15" max="15"/>
    <col width="13" customWidth="1" min="16" max="16"/>
    <col width="11" customWidth="1" min="17" max="17"/>
    <col width="9" customWidth="1" min="18" max="18"/>
  </cols>
  <sheetData>
    <row r="1">
      <c r="A1" s="24" t="inlineStr">
        <is>
          <t>EDVisitID</t>
        </is>
      </c>
      <c r="B1" s="24" t="inlineStr">
        <is>
          <t>ArrivalDateTime</t>
        </is>
      </c>
      <c r="C1" s="24" t="inlineStr">
        <is>
          <t>ArrivalMode</t>
        </is>
      </c>
      <c r="D1" s="24" t="inlineStr">
        <is>
          <t>ESILevel</t>
        </is>
      </c>
      <c r="E1" s="24" t="inlineStr">
        <is>
          <t>ChiefComplaint</t>
        </is>
      </c>
      <c r="F1" s="24" t="inlineStr">
        <is>
          <t>TempF</t>
        </is>
      </c>
      <c r="G1" s="24" t="inlineStr">
        <is>
          <t>HeartRate</t>
        </is>
      </c>
      <c r="H1" s="24" t="inlineStr">
        <is>
          <t>RespRate</t>
        </is>
      </c>
      <c r="I1" s="24" t="inlineStr">
        <is>
          <t>SystolicBP</t>
        </is>
      </c>
      <c r="J1" s="24" t="inlineStr">
        <is>
          <t>SpO2</t>
        </is>
      </c>
      <c r="K1" s="24" t="inlineStr">
        <is>
          <t>PainScore</t>
        </is>
      </c>
      <c r="L1" s="24" t="inlineStr">
        <is>
          <t>EDDisposition</t>
        </is>
      </c>
      <c r="M1" s="25" t="inlineStr">
        <is>
          <t>PainLevel</t>
        </is>
      </c>
      <c r="N1" s="25" t="inlineStr">
        <is>
          <t>FastTrack</t>
        </is>
      </c>
      <c r="O1" s="25" t="inlineStr">
        <is>
          <t>SIRS</t>
        </is>
      </c>
      <c r="P1" s="25" t="inlineStr">
        <is>
          <t>ESIName</t>
        </is>
      </c>
      <c r="Q1" s="25" t="inlineStr">
        <is>
          <t>ShockIndex</t>
        </is>
      </c>
      <c r="R1" s="25" t="inlineStr">
        <is>
          <t>qSOFA</t>
        </is>
      </c>
    </row>
    <row r="2">
      <c r="A2" t="inlineStr">
        <is>
          <t>ED211698</t>
        </is>
      </c>
      <c r="B2" s="26" t="n">
        <v>45992.12291666667</v>
      </c>
      <c r="C2" t="inlineStr">
        <is>
          <t>Walk-In</t>
        </is>
      </c>
      <c r="D2" t="n">
        <v>3</v>
      </c>
      <c r="E2" t="inlineStr">
        <is>
          <t>Laceration</t>
        </is>
      </c>
      <c r="F2" s="28" t="n">
        <v>98.2</v>
      </c>
      <c r="G2" t="n">
        <v>73</v>
      </c>
      <c r="H2" t="n">
        <v>22</v>
      </c>
      <c r="I2" t="n">
        <v>126</v>
      </c>
      <c r="J2" t="n">
        <v>89</v>
      </c>
      <c r="K2" t="n">
        <v>1</v>
      </c>
      <c r="L2" t="inlineStr">
        <is>
          <t>Observation</t>
        </is>
      </c>
      <c r="M2" s="27" t="n"/>
      <c r="N2" s="27" t="n"/>
      <c r="O2" s="27" t="n"/>
      <c r="P2" s="27" t="n"/>
      <c r="Q2" s="29" t="n"/>
      <c r="R2" s="27" t="n"/>
    </row>
    <row r="3">
      <c r="A3" t="inlineStr">
        <is>
          <t>ED211699</t>
        </is>
      </c>
      <c r="B3" s="26" t="n">
        <v>45992.34027777778</v>
      </c>
      <c r="C3" t="inlineStr">
        <is>
          <t>Ambulance</t>
        </is>
      </c>
      <c r="D3" t="n">
        <v>3</v>
      </c>
      <c r="E3" t="inlineStr">
        <is>
          <t>Fainting</t>
        </is>
      </c>
      <c r="F3" s="28" t="n">
        <v>98.2</v>
      </c>
      <c r="G3" t="n">
        <v>95</v>
      </c>
      <c r="H3" t="n">
        <v>14</v>
      </c>
      <c r="I3" t="n">
        <v>105</v>
      </c>
      <c r="J3" t="n">
        <v>97</v>
      </c>
      <c r="K3" t="n">
        <v>0</v>
      </c>
      <c r="L3" t="inlineStr">
        <is>
          <t>Discharged</t>
        </is>
      </c>
      <c r="M3" s="27" t="n"/>
      <c r="N3" s="27" t="n"/>
      <c r="O3" s="27" t="n"/>
      <c r="P3" s="27" t="n"/>
      <c r="Q3" s="29" t="n"/>
      <c r="R3" s="27" t="n"/>
    </row>
    <row r="4">
      <c r="A4" t="inlineStr">
        <is>
          <t>ED211700</t>
        </is>
      </c>
      <c r="B4" s="26" t="n">
        <v>45992.35763888889</v>
      </c>
      <c r="C4" t="inlineStr">
        <is>
          <t>Walk-In</t>
        </is>
      </c>
      <c r="D4" t="n">
        <v>3</v>
      </c>
      <c r="E4" t="inlineStr">
        <is>
          <t>Shortness of Breath</t>
        </is>
      </c>
      <c r="F4" s="28" t="n">
        <v>98.2</v>
      </c>
      <c r="G4" t="n">
        <v>94</v>
      </c>
      <c r="H4" t="n">
        <v>20</v>
      </c>
      <c r="I4" t="n">
        <v>111</v>
      </c>
      <c r="J4" t="n">
        <v>98</v>
      </c>
      <c r="K4" t="n">
        <v>0</v>
      </c>
      <c r="L4" t="inlineStr">
        <is>
          <t>Discharged</t>
        </is>
      </c>
      <c r="M4" s="27" t="n"/>
      <c r="N4" s="27" t="n"/>
      <c r="O4" s="27" t="n"/>
      <c r="P4" s="27" t="n"/>
      <c r="Q4" s="29" t="n"/>
      <c r="R4" s="27" t="n"/>
    </row>
    <row r="5">
      <c r="A5" t="inlineStr">
        <is>
          <t>ED211701</t>
        </is>
      </c>
      <c r="B5" s="26" t="n">
        <v>45992.37430555555</v>
      </c>
      <c r="C5" t="inlineStr">
        <is>
          <t>Walk-In</t>
        </is>
      </c>
      <c r="D5" t="n">
        <v>4</v>
      </c>
      <c r="E5" t="inlineStr">
        <is>
          <t>Painful Urination / Fever</t>
        </is>
      </c>
      <c r="F5" s="28" t="n">
        <v>100.7</v>
      </c>
      <c r="G5" t="n">
        <v>109</v>
      </c>
      <c r="H5" t="n">
        <v>15</v>
      </c>
      <c r="I5" t="n">
        <v>139</v>
      </c>
      <c r="J5" t="n">
        <v>96</v>
      </c>
      <c r="K5" t="n">
        <v>2</v>
      </c>
      <c r="L5" t="inlineStr">
        <is>
          <t>Admitted</t>
        </is>
      </c>
      <c r="M5" s="27" t="n"/>
      <c r="N5" s="27" t="n"/>
      <c r="O5" s="27" t="n"/>
      <c r="P5" s="27" t="n"/>
      <c r="Q5" s="29" t="n"/>
      <c r="R5" s="27" t="n"/>
    </row>
    <row r="6">
      <c r="A6" t="inlineStr">
        <is>
          <t>ED211703</t>
        </is>
      </c>
      <c r="B6" s="26" t="n">
        <v>45992.48611111111</v>
      </c>
      <c r="C6" t="inlineStr">
        <is>
          <t>Walk-In</t>
        </is>
      </c>
      <c r="D6" t="n">
        <v>4</v>
      </c>
      <c r="E6" t="inlineStr">
        <is>
          <t>Cough / Trouble Breathing</t>
        </is>
      </c>
      <c r="F6" s="28" t="n">
        <v>98.3</v>
      </c>
      <c r="G6" t="n">
        <v>134</v>
      </c>
      <c r="H6" t="n">
        <v>39</v>
      </c>
      <c r="I6" t="n">
        <v>106</v>
      </c>
      <c r="J6" t="n">
        <v>82</v>
      </c>
      <c r="K6" t="n">
        <v>0</v>
      </c>
      <c r="L6" t="inlineStr">
        <is>
          <t>LWBS</t>
        </is>
      </c>
      <c r="M6" s="27" t="n"/>
      <c r="N6" s="27" t="n"/>
      <c r="O6" s="27" t="n"/>
      <c r="P6" s="27" t="n"/>
      <c r="Q6" s="29" t="n"/>
      <c r="R6" s="27" t="n"/>
    </row>
    <row r="7">
      <c r="A7" t="inlineStr">
        <is>
          <t>ED211704</t>
        </is>
      </c>
      <c r="B7" s="26" t="n">
        <v>45992.49375</v>
      </c>
      <c r="C7" t="inlineStr">
        <is>
          <t>Ambulance</t>
        </is>
      </c>
      <c r="D7" t="n">
        <v>1</v>
      </c>
      <c r="E7" t="inlineStr">
        <is>
          <t>Fever / Altered Mental Status</t>
        </is>
      </c>
      <c r="F7" s="28" t="n">
        <v>99.40000000000001</v>
      </c>
      <c r="G7" t="n">
        <v>112</v>
      </c>
      <c r="H7" t="n">
        <v>27</v>
      </c>
      <c r="I7" t="n">
        <v>103</v>
      </c>
      <c r="J7" t="n">
        <v>89</v>
      </c>
      <c r="K7" t="n">
        <v>1</v>
      </c>
      <c r="L7" t="inlineStr">
        <is>
          <t>Admitted</t>
        </is>
      </c>
      <c r="M7" s="27" t="n"/>
      <c r="N7" s="27" t="n"/>
      <c r="O7" s="27" t="n"/>
      <c r="P7" s="27" t="n"/>
      <c r="Q7" s="29" t="n"/>
      <c r="R7" s="27" t="n"/>
    </row>
    <row r="8">
      <c r="A8" t="inlineStr">
        <is>
          <t>ED211705</t>
        </is>
      </c>
      <c r="B8" s="26" t="n">
        <v>45992.5</v>
      </c>
      <c r="C8" t="inlineStr">
        <is>
          <t>Walk-In</t>
        </is>
      </c>
      <c r="D8" t="n">
        <v>4</v>
      </c>
      <c r="E8" t="inlineStr">
        <is>
          <t>Cough / Trouble Breathing</t>
        </is>
      </c>
      <c r="F8" s="28" t="n">
        <v>98</v>
      </c>
      <c r="G8" t="n">
        <v>120</v>
      </c>
      <c r="H8" t="n">
        <v>37</v>
      </c>
      <c r="I8" t="n">
        <v>87</v>
      </c>
      <c r="J8" t="n">
        <v>88</v>
      </c>
      <c r="K8" t="n">
        <v>0</v>
      </c>
      <c r="L8" t="inlineStr">
        <is>
          <t>Discharged</t>
        </is>
      </c>
      <c r="M8" s="27" t="n"/>
      <c r="N8" s="27" t="n"/>
      <c r="O8" s="27" t="n"/>
      <c r="P8" s="27" t="n"/>
      <c r="Q8" s="29" t="n"/>
      <c r="R8" s="27" t="n"/>
    </row>
    <row r="9">
      <c r="A9" t="inlineStr">
        <is>
          <t>ED211707</t>
        </is>
      </c>
      <c r="B9" s="26" t="n">
        <v>45992.55138888889</v>
      </c>
      <c r="C9" t="inlineStr">
        <is>
          <t>Walk-In</t>
        </is>
      </c>
      <c r="D9" t="n">
        <v>3</v>
      </c>
      <c r="E9" t="inlineStr">
        <is>
          <t>Chest Pain</t>
        </is>
      </c>
      <c r="F9" s="28" t="n">
        <v>97.59999999999999</v>
      </c>
      <c r="G9" t="n">
        <v>90</v>
      </c>
      <c r="H9" t="n">
        <v>16</v>
      </c>
      <c r="I9" t="n">
        <v>169</v>
      </c>
      <c r="J9" t="n">
        <v>97</v>
      </c>
      <c r="K9" t="n">
        <v>7</v>
      </c>
      <c r="L9" t="inlineStr">
        <is>
          <t>Discharged</t>
        </is>
      </c>
      <c r="M9" s="27" t="n"/>
      <c r="N9" s="27" t="n"/>
      <c r="O9" s="27" t="n"/>
      <c r="P9" s="27" t="n"/>
      <c r="Q9" s="29" t="n"/>
      <c r="R9" s="27" t="n"/>
    </row>
    <row r="10">
      <c r="A10" t="inlineStr">
        <is>
          <t>ED211709</t>
        </is>
      </c>
      <c r="B10" s="26" t="n">
        <v>45992.64097222222</v>
      </c>
      <c r="C10" t="inlineStr">
        <is>
          <t>Walk-In</t>
        </is>
      </c>
      <c r="D10" t="n">
        <v>3</v>
      </c>
      <c r="E10" t="inlineStr">
        <is>
          <t>Laceration</t>
        </is>
      </c>
      <c r="F10" s="28" t="n">
        <v>101</v>
      </c>
      <c r="G10" t="n">
        <v>62</v>
      </c>
      <c r="H10" t="n">
        <v>16</v>
      </c>
      <c r="I10" t="n">
        <v>149</v>
      </c>
      <c r="J10" t="n">
        <v>99</v>
      </c>
      <c r="K10" t="n">
        <v>2</v>
      </c>
      <c r="L10" t="inlineStr">
        <is>
          <t>Discharged</t>
        </is>
      </c>
      <c r="M10" s="27" t="n"/>
      <c r="N10" s="27" t="n"/>
      <c r="O10" s="27" t="n"/>
      <c r="P10" s="27" t="n"/>
      <c r="Q10" s="29" t="n"/>
      <c r="R10" s="27" t="n"/>
    </row>
    <row r="11">
      <c r="A11" t="inlineStr">
        <is>
          <t>ED211710</t>
        </is>
      </c>
      <c r="B11" s="26" t="n">
        <v>45992.69236111111</v>
      </c>
      <c r="C11" t="inlineStr">
        <is>
          <t>Walk-In</t>
        </is>
      </c>
      <c r="D11" t="n">
        <v>3</v>
      </c>
      <c r="E11" t="inlineStr">
        <is>
          <t>Cough / Fever</t>
        </is>
      </c>
      <c r="F11" s="28" t="n">
        <v>102.3</v>
      </c>
      <c r="G11" t="n">
        <v>98</v>
      </c>
      <c r="H11" t="n">
        <v>21</v>
      </c>
      <c r="I11" t="n">
        <v>115</v>
      </c>
      <c r="J11" t="n">
        <v>95</v>
      </c>
      <c r="K11" t="n">
        <v>0</v>
      </c>
      <c r="L11" t="inlineStr">
        <is>
          <t>Admitted</t>
        </is>
      </c>
      <c r="M11" s="27" t="n"/>
      <c r="N11" s="27" t="n"/>
      <c r="O11" s="27" t="n"/>
      <c r="P11" s="27" t="n"/>
      <c r="Q11" s="29" t="n"/>
      <c r="R11" s="27" t="n"/>
    </row>
    <row r="12">
      <c r="A12" t="inlineStr">
        <is>
          <t>ED211713</t>
        </is>
      </c>
      <c r="B12" s="26" t="n">
        <v>45992.83472222222</v>
      </c>
      <c r="C12" t="inlineStr">
        <is>
          <t>Walk-In</t>
        </is>
      </c>
      <c r="D12" t="n">
        <v>3</v>
      </c>
      <c r="E12" t="inlineStr">
        <is>
          <t>Vomiting / Diarrhea</t>
        </is>
      </c>
      <c r="F12" s="28" t="n">
        <v>98.90000000000001</v>
      </c>
      <c r="G12" t="n">
        <v>98</v>
      </c>
      <c r="H12" t="n">
        <v>15</v>
      </c>
      <c r="I12" t="n">
        <v>108</v>
      </c>
      <c r="J12" t="n">
        <v>98</v>
      </c>
      <c r="K12" t="n">
        <v>1</v>
      </c>
      <c r="L12" t="inlineStr">
        <is>
          <t>Discharged</t>
        </is>
      </c>
      <c r="M12" s="27" t="n"/>
      <c r="N12" s="27" t="n"/>
      <c r="O12" s="27" t="n"/>
      <c r="P12" s="27" t="n"/>
      <c r="Q12" s="29" t="n"/>
      <c r="R12" s="27" t="n"/>
    </row>
    <row r="13">
      <c r="A13" t="inlineStr">
        <is>
          <t>ED211716</t>
        </is>
      </c>
      <c r="B13" s="26" t="n">
        <v>45992.89097222222</v>
      </c>
      <c r="C13" t="inlineStr">
        <is>
          <t>Walk-In</t>
        </is>
      </c>
      <c r="D13" t="n">
        <v>4</v>
      </c>
      <c r="E13" t="inlineStr">
        <is>
          <t>Cough / Fever</t>
        </is>
      </c>
      <c r="F13" s="28" t="n">
        <v>98.7</v>
      </c>
      <c r="G13" t="n">
        <v>77</v>
      </c>
      <c r="H13" t="n">
        <v>16</v>
      </c>
      <c r="J13" t="n">
        <v>97</v>
      </c>
      <c r="K13" t="n">
        <v>1</v>
      </c>
      <c r="L13" t="inlineStr">
        <is>
          <t>Discharged</t>
        </is>
      </c>
      <c r="M13" s="27" t="n"/>
      <c r="N13" s="27" t="n"/>
      <c r="O13" s="27" t="n"/>
      <c r="P13" s="27" t="n"/>
      <c r="Q13" s="29" t="n"/>
      <c r="R13" s="27" t="n"/>
    </row>
    <row r="14">
      <c r="A14" t="inlineStr">
        <is>
          <t>ED211717</t>
        </is>
      </c>
      <c r="B14" s="26" t="n">
        <v>45992.92083333333</v>
      </c>
      <c r="C14" t="inlineStr">
        <is>
          <t>Walk-In</t>
        </is>
      </c>
      <c r="D14" t="n">
        <v>5</v>
      </c>
      <c r="E14" t="inlineStr">
        <is>
          <t>Ankle Injury</t>
        </is>
      </c>
      <c r="F14" s="28" t="n">
        <v>98.59999999999999</v>
      </c>
      <c r="G14" t="n">
        <v>79</v>
      </c>
      <c r="H14" t="n">
        <v>15</v>
      </c>
      <c r="I14" t="n">
        <v>125</v>
      </c>
      <c r="J14" t="n">
        <v>98</v>
      </c>
      <c r="K14" t="n">
        <v>4</v>
      </c>
      <c r="L14" t="inlineStr">
        <is>
          <t>Discharged</t>
        </is>
      </c>
      <c r="M14" s="27" t="n"/>
      <c r="N14" s="27" t="n"/>
      <c r="O14" s="27" t="n"/>
      <c r="P14" s="27" t="n"/>
      <c r="Q14" s="29" t="n"/>
      <c r="R14" s="27" t="n"/>
    </row>
    <row r="15">
      <c r="A15" t="inlineStr">
        <is>
          <t>ED211718</t>
        </is>
      </c>
      <c r="B15" s="26" t="n">
        <v>45992.95347222222</v>
      </c>
      <c r="C15" t="inlineStr">
        <is>
          <t>Ambulance</t>
        </is>
      </c>
      <c r="D15" t="n">
        <v>2</v>
      </c>
      <c r="E15" t="inlineStr">
        <is>
          <t>Weakness / Numbness</t>
        </is>
      </c>
      <c r="F15" s="28" t="n">
        <v>98.59999999999999</v>
      </c>
      <c r="G15" t="n">
        <v>85</v>
      </c>
      <c r="H15" t="n">
        <v>16</v>
      </c>
      <c r="I15" t="n">
        <v>169</v>
      </c>
      <c r="J15" t="n">
        <v>97</v>
      </c>
      <c r="K15" t="n">
        <v>1</v>
      </c>
      <c r="L15" t="inlineStr">
        <is>
          <t>Admitted</t>
        </is>
      </c>
      <c r="M15" s="27" t="n"/>
      <c r="N15" s="27" t="n"/>
      <c r="O15" s="27" t="n"/>
      <c r="P15" s="27" t="n"/>
      <c r="Q15" s="29" t="n"/>
      <c r="R15" s="27" t="n"/>
    </row>
    <row r="16">
      <c r="A16" t="inlineStr">
        <is>
          <t>ED211719</t>
        </is>
      </c>
      <c r="B16" s="26" t="n">
        <v>45993.19236111111</v>
      </c>
      <c r="C16" t="inlineStr">
        <is>
          <t>Ambulance</t>
        </is>
      </c>
      <c r="D16" t="n">
        <v>3</v>
      </c>
      <c r="E16" t="inlineStr">
        <is>
          <t>Abdominal Pain</t>
        </is>
      </c>
      <c r="F16" s="28" t="n">
        <v>98.59999999999999</v>
      </c>
      <c r="G16" t="n">
        <v>103</v>
      </c>
      <c r="H16" t="n">
        <v>14</v>
      </c>
      <c r="I16" t="n">
        <v>116</v>
      </c>
      <c r="J16" t="n">
        <v>97</v>
      </c>
      <c r="K16" t="n">
        <v>10</v>
      </c>
      <c r="L16" t="inlineStr">
        <is>
          <t>Admitted</t>
        </is>
      </c>
      <c r="M16" s="27" t="n"/>
      <c r="N16" s="27" t="n"/>
      <c r="O16" s="27" t="n"/>
      <c r="P16" s="27" t="n"/>
      <c r="Q16" s="29" t="n"/>
      <c r="R16" s="27" t="n"/>
    </row>
    <row r="17">
      <c r="A17" t="inlineStr">
        <is>
          <t>ED211720</t>
        </is>
      </c>
      <c r="B17" s="26" t="n">
        <v>45993.23055555556</v>
      </c>
      <c r="C17" t="inlineStr">
        <is>
          <t>Walk-In</t>
        </is>
      </c>
      <c r="D17" t="n">
        <v>3</v>
      </c>
      <c r="E17" t="inlineStr">
        <is>
          <t>Cough / Fever</t>
        </is>
      </c>
      <c r="F17" s="28" t="n">
        <v>102.3</v>
      </c>
      <c r="G17" t="n">
        <v>104</v>
      </c>
      <c r="H17" t="n">
        <v>21</v>
      </c>
      <c r="I17" t="n">
        <v>146</v>
      </c>
      <c r="J17" t="n">
        <v>89</v>
      </c>
      <c r="K17" t="n">
        <v>3</v>
      </c>
      <c r="L17" t="inlineStr">
        <is>
          <t>Discharged</t>
        </is>
      </c>
      <c r="M17" s="27" t="n"/>
      <c r="N17" s="27" t="n"/>
      <c r="O17" s="27" t="n"/>
      <c r="P17" s="27" t="n"/>
      <c r="Q17" s="29" t="n"/>
      <c r="R17" s="27" t="n"/>
    </row>
    <row r="18">
      <c r="A18" t="inlineStr">
        <is>
          <t>ED211721</t>
        </is>
      </c>
      <c r="B18" s="26" t="n">
        <v>45993.32708333333</v>
      </c>
      <c r="C18" t="inlineStr">
        <is>
          <t>Walk-In</t>
        </is>
      </c>
      <c r="D18" t="n">
        <v>4</v>
      </c>
      <c r="E18" t="inlineStr">
        <is>
          <t>Cough / Fever</t>
        </is>
      </c>
      <c r="F18" s="28" t="n">
        <v>99.09999999999999</v>
      </c>
      <c r="G18" t="n">
        <v>81</v>
      </c>
      <c r="H18" t="n">
        <v>13</v>
      </c>
      <c r="I18" t="n">
        <v>147</v>
      </c>
      <c r="J18" t="n">
        <v>99</v>
      </c>
      <c r="K18" t="n">
        <v>0</v>
      </c>
      <c r="L18" t="inlineStr">
        <is>
          <t>Discharged</t>
        </is>
      </c>
      <c r="M18" s="27" t="n"/>
      <c r="N18" s="27" t="n"/>
      <c r="O18" s="27" t="n"/>
      <c r="P18" s="27" t="n"/>
      <c r="Q18" s="29" t="n"/>
      <c r="R18" s="27" t="n"/>
    </row>
    <row r="19">
      <c r="A19" t="inlineStr">
        <is>
          <t>ED211723</t>
        </is>
      </c>
      <c r="B19" s="26" t="n">
        <v>45993.425</v>
      </c>
      <c r="C19" t="inlineStr">
        <is>
          <t>Walk-In</t>
        </is>
      </c>
      <c r="D19" t="n">
        <v>3</v>
      </c>
      <c r="E19" t="inlineStr">
        <is>
          <t>Chest Pain</t>
        </is>
      </c>
      <c r="F19" s="28" t="n">
        <v>97.5</v>
      </c>
      <c r="G19" t="n">
        <v>84</v>
      </c>
      <c r="H19" t="n">
        <v>18</v>
      </c>
      <c r="I19" t="n">
        <v>140</v>
      </c>
      <c r="J19" t="n">
        <v>98</v>
      </c>
      <c r="K19" t="n">
        <v>4</v>
      </c>
      <c r="L19" t="inlineStr">
        <is>
          <t>Observation</t>
        </is>
      </c>
      <c r="M19" s="27" t="n"/>
      <c r="N19" s="27" t="n"/>
      <c r="O19" s="27" t="n"/>
      <c r="P19" s="27" t="n"/>
      <c r="Q19" s="29" t="n"/>
      <c r="R19" s="27" t="n"/>
    </row>
    <row r="20">
      <c r="A20" t="inlineStr">
        <is>
          <t>ED211724</t>
        </is>
      </c>
      <c r="B20" s="26" t="n">
        <v>45993.46736111111</v>
      </c>
      <c r="C20" t="inlineStr">
        <is>
          <t>Ambulance</t>
        </is>
      </c>
      <c r="D20" t="n">
        <v>1</v>
      </c>
      <c r="E20" t="inlineStr">
        <is>
          <t>Weakness / Numbness</t>
        </is>
      </c>
      <c r="F20" s="28" t="n">
        <v>98.3</v>
      </c>
      <c r="G20" t="n">
        <v>79</v>
      </c>
      <c r="H20" t="n">
        <v>19</v>
      </c>
      <c r="I20" t="n">
        <v>197</v>
      </c>
      <c r="J20" t="n">
        <v>86</v>
      </c>
      <c r="K20" t="n">
        <v>3</v>
      </c>
      <c r="L20" t="inlineStr">
        <is>
          <t>Admitted</t>
        </is>
      </c>
      <c r="M20" s="27" t="n"/>
      <c r="N20" s="27" t="n"/>
      <c r="O20" s="27" t="n"/>
      <c r="P20" s="27" t="n"/>
      <c r="Q20" s="29" t="n"/>
      <c r="R20" s="27" t="n"/>
    </row>
    <row r="21">
      <c r="A21" t="inlineStr">
        <is>
          <t>ED211725</t>
        </is>
      </c>
      <c r="B21" s="26" t="n">
        <v>45993.48541666667</v>
      </c>
      <c r="C21" t="inlineStr">
        <is>
          <t>Walk-In</t>
        </is>
      </c>
      <c r="D21" t="n">
        <v>5</v>
      </c>
      <c r="E21" t="inlineStr">
        <is>
          <t>Cough / Fever</t>
        </is>
      </c>
      <c r="F21" s="28" t="n">
        <v>99.5</v>
      </c>
      <c r="G21" t="n">
        <v>78</v>
      </c>
      <c r="H21" t="n">
        <v>17</v>
      </c>
      <c r="I21" t="n">
        <v>107</v>
      </c>
      <c r="J21" t="n">
        <v>97</v>
      </c>
      <c r="K21" t="n">
        <v>3</v>
      </c>
      <c r="L21" t="inlineStr">
        <is>
          <t>Discharged</t>
        </is>
      </c>
      <c r="M21" s="27" t="n"/>
      <c r="N21" s="27" t="n"/>
      <c r="O21" s="27" t="n"/>
      <c r="P21" s="27" t="n"/>
      <c r="Q21" s="29" t="n"/>
      <c r="R21" s="27" t="n"/>
    </row>
    <row r="22">
      <c r="A22" t="inlineStr">
        <is>
          <t>ED211726</t>
        </is>
      </c>
      <c r="B22" s="26" t="n">
        <v>45993.48888888889</v>
      </c>
      <c r="C22" t="inlineStr">
        <is>
          <t>Ambulance</t>
        </is>
      </c>
      <c r="D22" t="n">
        <v>2</v>
      </c>
      <c r="E22" t="inlineStr">
        <is>
          <t>High Blood Sugar</t>
        </is>
      </c>
      <c r="F22" s="28" t="n">
        <v>98.40000000000001</v>
      </c>
      <c r="G22" t="n">
        <v>78</v>
      </c>
      <c r="H22" t="n">
        <v>15</v>
      </c>
      <c r="I22" t="n">
        <v>166</v>
      </c>
      <c r="J22" t="n">
        <v>99</v>
      </c>
      <c r="K22" t="n">
        <v>2</v>
      </c>
      <c r="L22" t="inlineStr">
        <is>
          <t>Admitted</t>
        </is>
      </c>
      <c r="M22" s="27" t="n"/>
      <c r="N22" s="27" t="n"/>
      <c r="O22" s="27" t="n"/>
      <c r="P22" s="27" t="n"/>
      <c r="Q22" s="29" t="n"/>
      <c r="R22" s="27" t="n"/>
    </row>
    <row r="23">
      <c r="A23" t="inlineStr">
        <is>
          <t>ED211727</t>
        </is>
      </c>
      <c r="B23" s="26" t="n">
        <v>45993.56736111111</v>
      </c>
      <c r="C23" t="inlineStr">
        <is>
          <t>Walk-In</t>
        </is>
      </c>
      <c r="D23" t="n">
        <v>2</v>
      </c>
      <c r="E23" t="inlineStr">
        <is>
          <t>Cough / Fever</t>
        </is>
      </c>
      <c r="F23" s="28" t="n">
        <v>99.90000000000001</v>
      </c>
      <c r="G23" t="n">
        <v>102</v>
      </c>
      <c r="H23" t="n">
        <v>21</v>
      </c>
      <c r="I23" t="n">
        <v>137</v>
      </c>
      <c r="J23" t="n">
        <v>93</v>
      </c>
      <c r="K23" t="n">
        <v>0</v>
      </c>
      <c r="L23" t="inlineStr">
        <is>
          <t>Admitted</t>
        </is>
      </c>
      <c r="M23" s="27" t="n"/>
      <c r="N23" s="27" t="n"/>
      <c r="O23" s="27" t="n"/>
      <c r="P23" s="27" t="n"/>
      <c r="Q23" s="29" t="n"/>
      <c r="R23" s="27" t="n"/>
    </row>
    <row r="24">
      <c r="A24" t="inlineStr">
        <is>
          <t>ED211728</t>
        </is>
      </c>
      <c r="B24" s="26" t="n">
        <v>45993.58888888889</v>
      </c>
      <c r="C24" t="inlineStr">
        <is>
          <t>Walk-In</t>
        </is>
      </c>
      <c r="D24" t="n">
        <v>5</v>
      </c>
      <c r="E24" t="inlineStr">
        <is>
          <t>Ankle Injury</t>
        </is>
      </c>
      <c r="F24" s="28" t="n">
        <v>98.2</v>
      </c>
      <c r="G24" t="n">
        <v>80</v>
      </c>
      <c r="H24" t="n">
        <v>15</v>
      </c>
      <c r="I24" t="n">
        <v>154</v>
      </c>
      <c r="J24" t="n">
        <v>95</v>
      </c>
      <c r="K24" t="n">
        <v>4</v>
      </c>
      <c r="L24" t="inlineStr">
        <is>
          <t>Discharged</t>
        </is>
      </c>
      <c r="M24" s="27" t="n"/>
      <c r="N24" s="27" t="n"/>
      <c r="O24" s="27" t="n"/>
      <c r="P24" s="27" t="n"/>
      <c r="Q24" s="29" t="n"/>
      <c r="R24" s="27" t="n"/>
    </row>
    <row r="25">
      <c r="A25" t="inlineStr">
        <is>
          <t>ED211729</t>
        </is>
      </c>
      <c r="B25" s="26" t="n">
        <v>45993.60902777778</v>
      </c>
      <c r="C25" t="inlineStr">
        <is>
          <t>Walk-In</t>
        </is>
      </c>
      <c r="D25" t="n">
        <v>3</v>
      </c>
      <c r="E25" t="inlineStr">
        <is>
          <t>Shortness of Breath</t>
        </is>
      </c>
      <c r="F25" s="28" t="n">
        <v>99.09999999999999</v>
      </c>
      <c r="G25" t="n">
        <v>115</v>
      </c>
      <c r="H25" t="n">
        <v>28</v>
      </c>
      <c r="I25" t="n">
        <v>125</v>
      </c>
      <c r="J25" t="n">
        <v>85</v>
      </c>
      <c r="K25" t="n">
        <v>0</v>
      </c>
      <c r="L25" t="inlineStr">
        <is>
          <t>Discharged</t>
        </is>
      </c>
      <c r="M25" s="27" t="n"/>
      <c r="N25" s="27" t="n"/>
      <c r="O25" s="27" t="n"/>
      <c r="P25" s="27" t="n"/>
      <c r="Q25" s="29" t="n"/>
      <c r="R25" s="27" t="n"/>
    </row>
    <row r="26">
      <c r="A26" t="inlineStr">
        <is>
          <t>ED211732</t>
        </is>
      </c>
      <c r="B26" s="26" t="n">
        <v>45993.68194444444</v>
      </c>
      <c r="C26" t="inlineStr">
        <is>
          <t>Walk-In</t>
        </is>
      </c>
      <c r="D26" t="n">
        <v>3</v>
      </c>
      <c r="E26" t="inlineStr">
        <is>
          <t>Abdominal Pain</t>
        </is>
      </c>
      <c r="F26" s="28" t="n">
        <v>98</v>
      </c>
      <c r="G26" t="n">
        <v>77</v>
      </c>
      <c r="H26" t="n">
        <v>14</v>
      </c>
      <c r="I26" t="n">
        <v>132</v>
      </c>
      <c r="J26" t="n">
        <v>99</v>
      </c>
      <c r="K26" t="n">
        <v>8</v>
      </c>
      <c r="L26" t="inlineStr">
        <is>
          <t>Discharged</t>
        </is>
      </c>
      <c r="M26" s="27" t="n"/>
      <c r="N26" s="27" t="n"/>
      <c r="O26" s="27" t="n"/>
      <c r="P26" s="27" t="n"/>
      <c r="Q26" s="29" t="n"/>
      <c r="R26" s="27" t="n"/>
    </row>
    <row r="27">
      <c r="A27" t="inlineStr">
        <is>
          <t>ED211733</t>
        </is>
      </c>
      <c r="B27" s="26" t="n">
        <v>45993.68541666667</v>
      </c>
      <c r="C27" t="inlineStr">
        <is>
          <t>Ambulance</t>
        </is>
      </c>
      <c r="D27" t="n">
        <v>3</v>
      </c>
      <c r="E27" t="inlineStr">
        <is>
          <t>Painful Urination / Fever</t>
        </is>
      </c>
      <c r="F27" s="28" t="n">
        <v>100.5</v>
      </c>
      <c r="G27" t="n">
        <v>95</v>
      </c>
      <c r="H27" t="n">
        <v>14</v>
      </c>
      <c r="I27" t="n">
        <v>135</v>
      </c>
      <c r="J27" t="n">
        <v>97</v>
      </c>
      <c r="K27" t="n">
        <v>3</v>
      </c>
      <c r="L27" t="inlineStr">
        <is>
          <t>Discharged</t>
        </is>
      </c>
      <c r="M27" s="27" t="n"/>
      <c r="N27" s="27" t="n"/>
      <c r="O27" s="27" t="n"/>
      <c r="P27" s="27" t="n"/>
      <c r="Q27" s="29" t="n"/>
      <c r="R27" s="27" t="n"/>
    </row>
    <row r="28">
      <c r="A28" t="inlineStr">
        <is>
          <t>ED211734</t>
        </is>
      </c>
      <c r="B28" s="26" t="n">
        <v>45993.74375</v>
      </c>
      <c r="C28" t="inlineStr">
        <is>
          <t>Walk-In</t>
        </is>
      </c>
      <c r="D28" t="n">
        <v>3</v>
      </c>
      <c r="E28" t="inlineStr">
        <is>
          <t>Cough / Fever</t>
        </is>
      </c>
      <c r="F28" s="28" t="n">
        <v>101.8</v>
      </c>
      <c r="G28" t="n">
        <v>93</v>
      </c>
      <c r="H28" t="n">
        <v>20</v>
      </c>
      <c r="I28" t="n">
        <v>140</v>
      </c>
      <c r="J28" t="n">
        <v>92</v>
      </c>
      <c r="K28" t="n">
        <v>0</v>
      </c>
      <c r="L28" t="inlineStr">
        <is>
          <t>Admitted</t>
        </is>
      </c>
      <c r="M28" s="27" t="n"/>
      <c r="N28" s="27" t="n"/>
      <c r="O28" s="27" t="n"/>
      <c r="P28" s="27" t="n"/>
      <c r="Q28" s="29" t="n"/>
      <c r="R28" s="27" t="n"/>
    </row>
    <row r="29">
      <c r="A29" t="inlineStr">
        <is>
          <t>ED211736</t>
        </is>
      </c>
      <c r="B29" s="26" t="n">
        <v>45993.82847222222</v>
      </c>
      <c r="C29" t="inlineStr">
        <is>
          <t>Ambulance</t>
        </is>
      </c>
      <c r="D29" t="n">
        <v>3</v>
      </c>
      <c r="E29" t="inlineStr">
        <is>
          <t>Shortness of Breath</t>
        </is>
      </c>
      <c r="F29" s="28" t="n">
        <v>98.3</v>
      </c>
      <c r="G29" t="n">
        <v>105</v>
      </c>
      <c r="H29" t="n">
        <v>25</v>
      </c>
      <c r="I29" t="n">
        <v>114</v>
      </c>
      <c r="J29" t="n">
        <v>94</v>
      </c>
      <c r="K29" t="n">
        <v>0</v>
      </c>
      <c r="L29" t="inlineStr">
        <is>
          <t>Admitted</t>
        </is>
      </c>
      <c r="M29" s="27" t="n"/>
      <c r="N29" s="27" t="n"/>
      <c r="O29" s="27" t="n"/>
      <c r="P29" s="27" t="n"/>
      <c r="Q29" s="29" t="n"/>
      <c r="R29" s="27" t="n"/>
    </row>
    <row r="30">
      <c r="A30" t="inlineStr">
        <is>
          <t>ED211737</t>
        </is>
      </c>
      <c r="B30" s="26" t="n">
        <v>45993.83402777778</v>
      </c>
      <c r="C30" t="inlineStr">
        <is>
          <t>Walk-In</t>
        </is>
      </c>
      <c r="D30" t="n">
        <v>4</v>
      </c>
      <c r="E30" t="inlineStr">
        <is>
          <t>Vomiting / Diarrhea</t>
        </is>
      </c>
      <c r="F30" s="28" t="n">
        <v>98.40000000000001</v>
      </c>
      <c r="G30" t="n">
        <v>99</v>
      </c>
      <c r="H30" t="n">
        <v>16</v>
      </c>
      <c r="I30" t="n">
        <v>149</v>
      </c>
      <c r="J30" t="n">
        <v>97</v>
      </c>
      <c r="K30" t="n">
        <v>0</v>
      </c>
      <c r="L30" t="inlineStr">
        <is>
          <t>Discharged</t>
        </is>
      </c>
      <c r="M30" s="27" t="n"/>
      <c r="N30" s="27" t="n"/>
      <c r="O30" s="27" t="n"/>
      <c r="P30" s="27" t="n"/>
      <c r="Q30" s="29" t="n"/>
      <c r="R30" s="27" t="n"/>
    </row>
    <row r="31">
      <c r="A31" t="inlineStr">
        <is>
          <t>ED211738</t>
        </is>
      </c>
      <c r="B31" s="26" t="n">
        <v>45993.92708333334</v>
      </c>
      <c r="C31" t="inlineStr">
        <is>
          <t>Ambulance</t>
        </is>
      </c>
      <c r="D31" t="n">
        <v>1</v>
      </c>
      <c r="E31" t="inlineStr">
        <is>
          <t>Shortness of Breath</t>
        </is>
      </c>
      <c r="F31" s="28" t="n">
        <v>97.3</v>
      </c>
      <c r="G31" t="n">
        <v>97</v>
      </c>
      <c r="H31" t="n">
        <v>28</v>
      </c>
      <c r="I31" t="n">
        <v>98</v>
      </c>
      <c r="J31" t="n">
        <v>86</v>
      </c>
      <c r="K31" t="n">
        <v>3</v>
      </c>
      <c r="L31" t="inlineStr">
        <is>
          <t>Admitted</t>
        </is>
      </c>
      <c r="M31" s="27" t="n"/>
      <c r="N31" s="27" t="n"/>
      <c r="O31" s="27" t="n"/>
      <c r="P31" s="27" t="n"/>
      <c r="Q31" s="29" t="n"/>
      <c r="R31" s="27" t="n"/>
    </row>
    <row r="32">
      <c r="A32" t="inlineStr">
        <is>
          <t>ED211741</t>
        </is>
      </c>
      <c r="B32" s="26" t="n">
        <v>45994.19513888889</v>
      </c>
      <c r="C32" t="inlineStr">
        <is>
          <t>Walk-In</t>
        </is>
      </c>
      <c r="D32" t="n">
        <v>3</v>
      </c>
      <c r="E32" t="inlineStr">
        <is>
          <t>Painful Urination / Fever</t>
        </is>
      </c>
      <c r="F32" s="28" t="n">
        <v>101.1</v>
      </c>
      <c r="G32" t="n">
        <v>82</v>
      </c>
      <c r="H32" t="n">
        <v>15</v>
      </c>
      <c r="I32" t="n">
        <v>110</v>
      </c>
      <c r="J32" t="n">
        <v>97</v>
      </c>
      <c r="K32" t="n">
        <v>0</v>
      </c>
      <c r="L32" t="inlineStr">
        <is>
          <t>Observation</t>
        </is>
      </c>
      <c r="M32" s="27" t="n"/>
      <c r="N32" s="27" t="n"/>
      <c r="O32" s="27" t="n"/>
      <c r="P32" s="27" t="n"/>
      <c r="Q32" s="29" t="n"/>
      <c r="R32" s="27" t="n"/>
    </row>
    <row r="33">
      <c r="A33" t="inlineStr">
        <is>
          <t>ED211743</t>
        </is>
      </c>
      <c r="B33" s="26" t="n">
        <v>45994.42291666667</v>
      </c>
      <c r="C33" t="inlineStr">
        <is>
          <t>Walk-In</t>
        </is>
      </c>
      <c r="D33" t="n">
        <v>3</v>
      </c>
      <c r="E33" t="inlineStr">
        <is>
          <t>Confusion</t>
        </is>
      </c>
      <c r="F33" s="28" t="n">
        <v>98.40000000000001</v>
      </c>
      <c r="G33" t="n">
        <v>66</v>
      </c>
      <c r="H33" t="n">
        <v>19</v>
      </c>
      <c r="I33" t="n">
        <v>111</v>
      </c>
      <c r="J33" t="n">
        <v>97</v>
      </c>
      <c r="K33" t="n">
        <v>2</v>
      </c>
      <c r="L33" t="inlineStr">
        <is>
          <t>Admitted</t>
        </is>
      </c>
      <c r="M33" s="27" t="n"/>
      <c r="N33" s="27" t="n"/>
      <c r="O33" s="27" t="n"/>
      <c r="P33" s="27" t="n"/>
      <c r="Q33" s="29" t="n"/>
      <c r="R33" s="27" t="n"/>
    </row>
    <row r="34">
      <c r="A34" t="inlineStr">
        <is>
          <t>ED211745</t>
        </is>
      </c>
      <c r="B34" s="26" t="n">
        <v>45994.46458333333</v>
      </c>
      <c r="C34" t="inlineStr">
        <is>
          <t>Walk-In</t>
        </is>
      </c>
      <c r="D34" t="n">
        <v>3</v>
      </c>
      <c r="E34" t="inlineStr">
        <is>
          <t>Cough / Trouble Breathing</t>
        </is>
      </c>
      <c r="F34" s="28" t="n">
        <v>98.5</v>
      </c>
      <c r="G34" t="n">
        <v>95</v>
      </c>
      <c r="H34" t="n">
        <v>36</v>
      </c>
      <c r="I34" t="n">
        <v>107</v>
      </c>
      <c r="J34" t="n">
        <v>85</v>
      </c>
      <c r="K34" t="n">
        <v>0</v>
      </c>
      <c r="L34" t="inlineStr">
        <is>
          <t>Discharged</t>
        </is>
      </c>
      <c r="M34" s="27" t="n"/>
      <c r="N34" s="27" t="n"/>
      <c r="O34" s="27" t="n"/>
      <c r="P34" s="27" t="n"/>
      <c r="Q34" s="29" t="n"/>
      <c r="R34" s="27" t="n"/>
    </row>
    <row r="35">
      <c r="A35" t="inlineStr">
        <is>
          <t>ED211748</t>
        </is>
      </c>
      <c r="B35" s="26" t="n">
        <v>45994.55833333333</v>
      </c>
      <c r="C35" t="inlineStr">
        <is>
          <t>Ambulance</t>
        </is>
      </c>
      <c r="D35" t="n">
        <v>3</v>
      </c>
      <c r="E35" t="inlineStr">
        <is>
          <t>Abdominal Pain</t>
        </is>
      </c>
      <c r="F35" s="28" t="n">
        <v>98.2</v>
      </c>
      <c r="G35" t="n">
        <v>98</v>
      </c>
      <c r="H35" t="n">
        <v>18</v>
      </c>
      <c r="I35" t="n">
        <v>140</v>
      </c>
      <c r="J35" t="n">
        <v>96</v>
      </c>
      <c r="K35" t="n">
        <v>9</v>
      </c>
      <c r="L35" t="inlineStr">
        <is>
          <t>Admitted</t>
        </is>
      </c>
      <c r="M35" s="27" t="n"/>
      <c r="N35" s="27" t="n"/>
      <c r="O35" s="27" t="n"/>
      <c r="P35" s="27" t="n"/>
      <c r="Q35" s="29" t="n"/>
      <c r="R35" s="27" t="n"/>
    </row>
    <row r="36">
      <c r="A36" t="inlineStr">
        <is>
          <t>ED211750</t>
        </is>
      </c>
      <c r="B36" s="26" t="n">
        <v>45994.58819444444</v>
      </c>
      <c r="C36" t="inlineStr">
        <is>
          <t>Walk-In</t>
        </is>
      </c>
      <c r="D36" t="n">
        <v>3</v>
      </c>
      <c r="E36" t="inlineStr">
        <is>
          <t>Abdominal Pain</t>
        </is>
      </c>
      <c r="F36" s="28" t="n">
        <v>98.5</v>
      </c>
      <c r="G36" t="n">
        <v>76</v>
      </c>
      <c r="H36" t="n">
        <v>20</v>
      </c>
      <c r="I36" t="n">
        <v>167</v>
      </c>
      <c r="J36" t="n">
        <v>97</v>
      </c>
      <c r="K36" t="n">
        <v>9</v>
      </c>
      <c r="L36" t="inlineStr">
        <is>
          <t>Discharged</t>
        </is>
      </c>
      <c r="M36" s="27" t="n"/>
      <c r="N36" s="27" t="n"/>
      <c r="O36" s="27" t="n"/>
      <c r="P36" s="27" t="n"/>
      <c r="Q36" s="29" t="n"/>
      <c r="R36" s="27" t="n"/>
    </row>
    <row r="37">
      <c r="A37" t="inlineStr">
        <is>
          <t>ED211751</t>
        </is>
      </c>
      <c r="B37" s="26" t="n">
        <v>45994.68263888889</v>
      </c>
      <c r="C37" t="inlineStr">
        <is>
          <t>Walk-In</t>
        </is>
      </c>
      <c r="D37" t="n">
        <v>2</v>
      </c>
      <c r="E37" t="inlineStr">
        <is>
          <t>Depression / Suicidal Thoughts</t>
        </is>
      </c>
      <c r="F37" s="28" t="n">
        <v>97.8</v>
      </c>
      <c r="G37" t="n">
        <v>89</v>
      </c>
      <c r="H37" t="n">
        <v>18</v>
      </c>
      <c r="I37" t="n">
        <v>155</v>
      </c>
      <c r="J37" t="n">
        <v>98</v>
      </c>
      <c r="K37" t="n">
        <v>0</v>
      </c>
      <c r="L37" t="inlineStr">
        <is>
          <t>Transferred</t>
        </is>
      </c>
      <c r="M37" s="27" t="n"/>
      <c r="N37" s="27" t="n"/>
      <c r="O37" s="27" t="n"/>
      <c r="P37" s="27" t="n"/>
      <c r="Q37" s="29" t="n"/>
      <c r="R37" s="27" t="n"/>
    </row>
    <row r="38">
      <c r="A38" t="inlineStr">
        <is>
          <t>ED211754</t>
        </is>
      </c>
      <c r="B38" s="26" t="n">
        <v>45994.80833333333</v>
      </c>
      <c r="C38" t="inlineStr">
        <is>
          <t>Walk-In</t>
        </is>
      </c>
      <c r="D38" t="n">
        <v>3</v>
      </c>
      <c r="E38" t="inlineStr">
        <is>
          <t>High Blood Sugar</t>
        </is>
      </c>
      <c r="F38" s="28" t="n">
        <v>97.90000000000001</v>
      </c>
      <c r="G38" t="n">
        <v>100</v>
      </c>
      <c r="H38" t="n">
        <v>13</v>
      </c>
      <c r="I38" t="n">
        <v>142</v>
      </c>
      <c r="J38" t="n">
        <v>98</v>
      </c>
      <c r="K38" t="n">
        <v>0</v>
      </c>
      <c r="L38" t="inlineStr">
        <is>
          <t>Admitted</t>
        </is>
      </c>
      <c r="M38" s="27" t="n"/>
      <c r="N38" s="27" t="n"/>
      <c r="O38" s="27" t="n"/>
      <c r="P38" s="27" t="n"/>
      <c r="Q38" s="29" t="n"/>
      <c r="R38" s="27" t="n"/>
    </row>
    <row r="39">
      <c r="A39" t="inlineStr">
        <is>
          <t>ED211755</t>
        </is>
      </c>
      <c r="B39" s="26" t="n">
        <v>45994.82569444444</v>
      </c>
      <c r="C39" t="inlineStr">
        <is>
          <t>Walk-In</t>
        </is>
      </c>
      <c r="D39" t="n">
        <v>4</v>
      </c>
      <c r="E39" t="inlineStr">
        <is>
          <t>Cough / Fever</t>
        </is>
      </c>
      <c r="F39" s="28" t="n">
        <v>98.40000000000001</v>
      </c>
      <c r="G39" t="n">
        <v>93</v>
      </c>
      <c r="H39" t="n">
        <v>16</v>
      </c>
      <c r="I39" t="n">
        <v>111</v>
      </c>
      <c r="J39" t="n">
        <v>98</v>
      </c>
      <c r="K39" t="n">
        <v>3</v>
      </c>
      <c r="L39" t="inlineStr">
        <is>
          <t>Discharged</t>
        </is>
      </c>
      <c r="M39" s="27" t="n"/>
      <c r="N39" s="27" t="n"/>
      <c r="O39" s="27" t="n"/>
      <c r="P39" s="27" t="n"/>
      <c r="Q39" s="29" t="n"/>
      <c r="R39" s="27" t="n"/>
    </row>
    <row r="40">
      <c r="A40" t="inlineStr">
        <is>
          <t>ED211756</t>
        </is>
      </c>
      <c r="B40" s="26" t="n">
        <v>45994.99861111111</v>
      </c>
      <c r="C40" t="inlineStr">
        <is>
          <t>Walk-In</t>
        </is>
      </c>
      <c r="D40" t="n">
        <v>4</v>
      </c>
      <c r="E40" t="inlineStr">
        <is>
          <t>Headache</t>
        </is>
      </c>
      <c r="F40" s="28" t="n">
        <v>98.90000000000001</v>
      </c>
      <c r="G40" t="n">
        <v>77</v>
      </c>
      <c r="H40" t="n">
        <v>13</v>
      </c>
      <c r="I40" t="n">
        <v>97</v>
      </c>
      <c r="J40" t="n">
        <v>98</v>
      </c>
      <c r="K40" t="n">
        <v>5</v>
      </c>
      <c r="L40" t="inlineStr">
        <is>
          <t>Discharged</t>
        </is>
      </c>
      <c r="M40" s="27" t="n"/>
      <c r="N40" s="27" t="n"/>
      <c r="O40" s="27" t="n"/>
      <c r="P40" s="27" t="n"/>
      <c r="Q40" s="29" t="n"/>
      <c r="R40" s="27" t="n"/>
    </row>
    <row r="41">
      <c r="A41" t="inlineStr">
        <is>
          <t>ED211757</t>
        </is>
      </c>
      <c r="B41" s="26" t="n">
        <v>45995.04583333333</v>
      </c>
      <c r="C41" t="inlineStr">
        <is>
          <t>Walk-In</t>
        </is>
      </c>
      <c r="D41" t="n">
        <v>3</v>
      </c>
      <c r="E41" t="inlineStr">
        <is>
          <t>Chest Pain</t>
        </is>
      </c>
      <c r="F41" s="28" t="n">
        <v>98.2</v>
      </c>
      <c r="G41" t="n">
        <v>85</v>
      </c>
      <c r="H41" t="n">
        <v>15</v>
      </c>
      <c r="I41" t="n">
        <v>168</v>
      </c>
      <c r="J41" t="n">
        <v>98</v>
      </c>
      <c r="K41" t="n">
        <v>5</v>
      </c>
      <c r="L41" t="inlineStr">
        <is>
          <t>Discharged</t>
        </is>
      </c>
      <c r="M41" s="27" t="n"/>
      <c r="N41" s="27" t="n"/>
      <c r="O41" s="27" t="n"/>
      <c r="P41" s="27" t="n"/>
      <c r="Q41" s="29" t="n"/>
      <c r="R41" s="27" t="n"/>
    </row>
    <row r="42">
      <c r="A42" t="inlineStr">
        <is>
          <t>ED211758</t>
        </is>
      </c>
      <c r="B42" s="26" t="n">
        <v>45995.125</v>
      </c>
      <c r="C42" t="inlineStr">
        <is>
          <t>Ambulance</t>
        </is>
      </c>
      <c r="D42" t="n">
        <v>2</v>
      </c>
      <c r="E42" t="inlineStr">
        <is>
          <t>Cough / Fever</t>
        </is>
      </c>
      <c r="F42" s="28" t="n">
        <v>100.8</v>
      </c>
      <c r="G42" t="n">
        <v>119</v>
      </c>
      <c r="H42" t="n">
        <v>19</v>
      </c>
      <c r="I42" t="n">
        <v>147</v>
      </c>
      <c r="J42" t="n">
        <v>93</v>
      </c>
      <c r="K42" t="n">
        <v>0</v>
      </c>
      <c r="L42" t="inlineStr">
        <is>
          <t>Discharged</t>
        </is>
      </c>
      <c r="M42" s="27" t="n"/>
      <c r="N42" s="27" t="n"/>
      <c r="O42" s="27" t="n"/>
      <c r="P42" s="27" t="n"/>
      <c r="Q42" s="29" t="n"/>
      <c r="R42" s="27" t="n"/>
    </row>
    <row r="43">
      <c r="A43" t="inlineStr">
        <is>
          <t>ED211761</t>
        </is>
      </c>
      <c r="B43" s="26" t="n">
        <v>45995.31458333333</v>
      </c>
      <c r="C43" t="inlineStr">
        <is>
          <t>Walk-In</t>
        </is>
      </c>
      <c r="D43" t="n">
        <v>3</v>
      </c>
      <c r="E43" t="inlineStr">
        <is>
          <t>Cough / Fever</t>
        </is>
      </c>
      <c r="F43" s="28" t="n">
        <v>101.4</v>
      </c>
      <c r="G43" t="n">
        <v>106</v>
      </c>
      <c r="H43" t="n">
        <v>22</v>
      </c>
      <c r="I43" t="n">
        <v>121</v>
      </c>
      <c r="J43" t="n">
        <v>88</v>
      </c>
      <c r="K43" t="n">
        <v>0</v>
      </c>
      <c r="L43" t="inlineStr">
        <is>
          <t>Discharged</t>
        </is>
      </c>
      <c r="M43" s="27" t="n"/>
      <c r="N43" s="27" t="n"/>
      <c r="O43" s="27" t="n"/>
      <c r="P43" s="27" t="n"/>
      <c r="Q43" s="29" t="n"/>
      <c r="R43" s="27" t="n"/>
    </row>
    <row r="44">
      <c r="A44" t="inlineStr">
        <is>
          <t>ED211762</t>
        </is>
      </c>
      <c r="B44" s="26" t="n">
        <v>45995.37986111111</v>
      </c>
      <c r="C44" t="inlineStr">
        <is>
          <t>Walk-In</t>
        </is>
      </c>
      <c r="D44" t="n">
        <v>3</v>
      </c>
      <c r="E44" t="inlineStr">
        <is>
          <t>Depression / Suicidal Thoughts</t>
        </is>
      </c>
      <c r="F44" s="28" t="n">
        <v>98.5</v>
      </c>
      <c r="G44" t="n">
        <v>100</v>
      </c>
      <c r="H44" t="n">
        <v>15</v>
      </c>
      <c r="I44" t="n">
        <v>129</v>
      </c>
      <c r="J44" t="n">
        <v>99</v>
      </c>
      <c r="K44" t="n">
        <v>1</v>
      </c>
      <c r="L44" t="inlineStr">
        <is>
          <t>Discharged</t>
        </is>
      </c>
      <c r="M44" s="27" t="n"/>
      <c r="N44" s="27" t="n"/>
      <c r="O44" s="27" t="n"/>
      <c r="P44" s="27" t="n"/>
      <c r="Q44" s="29" t="n"/>
      <c r="R44" s="27" t="n"/>
    </row>
    <row r="45">
      <c r="A45" t="inlineStr">
        <is>
          <t>ED211763</t>
        </is>
      </c>
      <c r="B45" s="26" t="n">
        <v>45995.42222222222</v>
      </c>
      <c r="C45" t="inlineStr">
        <is>
          <t>Walk-In</t>
        </is>
      </c>
      <c r="D45" t="n">
        <v>3</v>
      </c>
      <c r="E45" t="inlineStr">
        <is>
          <t>Seizure</t>
        </is>
      </c>
      <c r="F45" s="28" t="n">
        <v>99</v>
      </c>
      <c r="G45" t="n">
        <v>68</v>
      </c>
      <c r="H45" t="n">
        <v>19</v>
      </c>
      <c r="I45" t="n">
        <v>130</v>
      </c>
      <c r="J45" t="n">
        <v>96</v>
      </c>
      <c r="K45" t="n">
        <v>0</v>
      </c>
      <c r="L45" t="inlineStr">
        <is>
          <t>Discharged</t>
        </is>
      </c>
      <c r="M45" s="27" t="n"/>
      <c r="N45" s="27" t="n"/>
      <c r="O45" s="27" t="n"/>
      <c r="P45" s="27" t="n"/>
      <c r="Q45" s="29" t="n"/>
      <c r="R45" s="27" t="n"/>
    </row>
    <row r="46">
      <c r="A46" t="inlineStr">
        <is>
          <t>ED211766</t>
        </is>
      </c>
      <c r="B46" s="26" t="n">
        <v>45995.50625</v>
      </c>
      <c r="C46" t="inlineStr">
        <is>
          <t>Walk-In</t>
        </is>
      </c>
      <c r="D46" t="n">
        <v>3</v>
      </c>
      <c r="E46" t="inlineStr">
        <is>
          <t>Palpitations</t>
        </is>
      </c>
      <c r="F46" s="28" t="n">
        <v>98.3</v>
      </c>
      <c r="G46" t="n">
        <v>96</v>
      </c>
      <c r="H46" t="n">
        <v>20</v>
      </c>
      <c r="I46" t="n">
        <v>114</v>
      </c>
      <c r="J46" t="n">
        <v>97</v>
      </c>
      <c r="K46" t="n">
        <v>1</v>
      </c>
      <c r="L46" t="inlineStr">
        <is>
          <t>Admitted</t>
        </is>
      </c>
      <c r="M46" s="27" t="n"/>
      <c r="N46" s="27" t="n"/>
      <c r="O46" s="27" t="n"/>
      <c r="P46" s="27" t="n"/>
      <c r="Q46" s="29" t="n"/>
      <c r="R46" s="27" t="n"/>
    </row>
    <row r="47">
      <c r="A47" t="inlineStr">
        <is>
          <t>ED211768</t>
        </is>
      </c>
      <c r="B47" s="26" t="n">
        <v>45995.53958333333</v>
      </c>
      <c r="C47" t="inlineStr">
        <is>
          <t>Police</t>
        </is>
      </c>
      <c r="D47" t="n">
        <v>2</v>
      </c>
      <c r="E47" t="inlineStr">
        <is>
          <t>Depression / Suicidal Thoughts</t>
        </is>
      </c>
      <c r="F47" s="28" t="n">
        <v>98.40000000000001</v>
      </c>
      <c r="G47" t="n">
        <v>79</v>
      </c>
      <c r="H47" t="n">
        <v>16</v>
      </c>
      <c r="I47" t="n">
        <v>132</v>
      </c>
      <c r="J47" t="n">
        <v>97</v>
      </c>
      <c r="K47" t="n">
        <v>0</v>
      </c>
      <c r="L47" t="inlineStr">
        <is>
          <t>Admitted</t>
        </is>
      </c>
      <c r="M47" s="27" t="n"/>
      <c r="N47" s="27" t="n"/>
      <c r="O47" s="27" t="n"/>
      <c r="P47" s="27" t="n"/>
      <c r="Q47" s="29" t="n"/>
      <c r="R47" s="27" t="n"/>
    </row>
    <row r="48">
      <c r="A48" t="inlineStr">
        <is>
          <t>ED211769</t>
        </is>
      </c>
      <c r="B48" s="26" t="n">
        <v>45995.56111111111</v>
      </c>
      <c r="C48" t="inlineStr">
        <is>
          <t>Ambulance</t>
        </is>
      </c>
      <c r="D48" t="n">
        <v>3</v>
      </c>
      <c r="E48" t="inlineStr">
        <is>
          <t>Chest Pain</t>
        </is>
      </c>
      <c r="F48" s="28" t="n">
        <v>98.2</v>
      </c>
      <c r="G48" t="n">
        <v>100</v>
      </c>
      <c r="H48" t="n">
        <v>15</v>
      </c>
      <c r="I48" t="n">
        <v>151</v>
      </c>
      <c r="J48" t="n">
        <v>97</v>
      </c>
      <c r="K48" t="n">
        <v>6</v>
      </c>
      <c r="L48" t="inlineStr">
        <is>
          <t>Observation</t>
        </is>
      </c>
      <c r="M48" s="27" t="n"/>
      <c r="N48" s="27" t="n"/>
      <c r="O48" s="27" t="n"/>
      <c r="P48" s="27" t="n"/>
      <c r="Q48" s="29" t="n"/>
      <c r="R48" s="27" t="n"/>
    </row>
    <row r="49">
      <c r="A49" t="inlineStr">
        <is>
          <t>ED211770</t>
        </is>
      </c>
      <c r="B49" s="26" t="n">
        <v>45995.59166666667</v>
      </c>
      <c r="C49" t="inlineStr">
        <is>
          <t>Walk-In</t>
        </is>
      </c>
      <c r="D49" t="n">
        <v>3</v>
      </c>
      <c r="E49" t="inlineStr">
        <is>
          <t>Abdominal Pain</t>
        </is>
      </c>
      <c r="F49" s="28" t="n">
        <v>98.5</v>
      </c>
      <c r="G49" t="n">
        <v>85</v>
      </c>
      <c r="H49" t="n">
        <v>18</v>
      </c>
      <c r="I49" t="n">
        <v>116</v>
      </c>
      <c r="J49" t="n">
        <v>98</v>
      </c>
      <c r="K49" t="n">
        <v>10</v>
      </c>
      <c r="L49" t="inlineStr">
        <is>
          <t>Observation</t>
        </is>
      </c>
      <c r="M49" s="27" t="n"/>
      <c r="N49" s="27" t="n"/>
      <c r="O49" s="27" t="n"/>
      <c r="P49" s="27" t="n"/>
      <c r="Q49" s="29" t="n"/>
      <c r="R49" s="27" t="n"/>
    </row>
    <row r="50">
      <c r="A50" t="inlineStr">
        <is>
          <t>ED211772</t>
        </is>
      </c>
      <c r="B50" s="26" t="n">
        <v>45995.72152777778</v>
      </c>
      <c r="C50" t="inlineStr">
        <is>
          <t>Walk-In</t>
        </is>
      </c>
      <c r="D50" t="n">
        <v>3</v>
      </c>
      <c r="E50" t="inlineStr">
        <is>
          <t>Weakness / Numbness</t>
        </is>
      </c>
      <c r="F50" s="28" t="n">
        <v>98.8</v>
      </c>
      <c r="G50" t="n">
        <v>95</v>
      </c>
      <c r="H50" t="n">
        <v>13</v>
      </c>
      <c r="J50" t="n">
        <v>98</v>
      </c>
      <c r="K50" t="n">
        <v>2</v>
      </c>
      <c r="L50" t="inlineStr">
        <is>
          <t>Admitted</t>
        </is>
      </c>
      <c r="M50" s="27" t="n"/>
      <c r="N50" s="27" t="n"/>
      <c r="O50" s="27" t="n"/>
      <c r="P50" s="27" t="n"/>
      <c r="Q50" s="29" t="n"/>
      <c r="R50" s="27" t="n"/>
    </row>
    <row r="51">
      <c r="A51" t="inlineStr">
        <is>
          <t>ED211773</t>
        </is>
      </c>
      <c r="B51" s="26" t="n">
        <v>45995.79027777778</v>
      </c>
      <c r="C51" t="inlineStr">
        <is>
          <t>Ambulance</t>
        </is>
      </c>
      <c r="D51" t="n">
        <v>2</v>
      </c>
      <c r="E51" t="inlineStr">
        <is>
          <t>Weakness / Numbness</t>
        </is>
      </c>
      <c r="F51" s="28" t="n">
        <v>98.7</v>
      </c>
      <c r="G51" t="n">
        <v>86</v>
      </c>
      <c r="H51" t="n">
        <v>15</v>
      </c>
      <c r="I51" t="n">
        <v>166</v>
      </c>
      <c r="J51" t="n">
        <v>97</v>
      </c>
      <c r="K51" t="n">
        <v>2</v>
      </c>
      <c r="L51" t="inlineStr">
        <is>
          <t>Admitted</t>
        </is>
      </c>
      <c r="M51" s="27" t="n"/>
      <c r="N51" s="27" t="n"/>
      <c r="O51" s="27" t="n"/>
      <c r="P51" s="27" t="n"/>
      <c r="Q51" s="29" t="n"/>
      <c r="R51" s="27" t="n"/>
    </row>
    <row r="52">
      <c r="A52" t="inlineStr">
        <is>
          <t>ED211774</t>
        </is>
      </c>
      <c r="B52" s="26" t="n">
        <v>45995.79166666666</v>
      </c>
      <c r="C52" t="inlineStr">
        <is>
          <t>Walk-In</t>
        </is>
      </c>
      <c r="D52" t="n">
        <v>4</v>
      </c>
      <c r="E52" t="inlineStr">
        <is>
          <t>Cough / Trouble Breathing</t>
        </is>
      </c>
      <c r="F52" s="28" t="n">
        <v>98.40000000000001</v>
      </c>
      <c r="G52" t="n">
        <v>140</v>
      </c>
      <c r="H52" t="n">
        <v>23</v>
      </c>
      <c r="I52" t="n">
        <v>101</v>
      </c>
      <c r="J52" t="n">
        <v>88</v>
      </c>
      <c r="K52" t="n">
        <v>2</v>
      </c>
      <c r="L52" t="inlineStr">
        <is>
          <t>Discharged</t>
        </is>
      </c>
      <c r="M52" s="27" t="n"/>
      <c r="N52" s="27" t="n"/>
      <c r="O52" s="27" t="n"/>
      <c r="P52" s="27" t="n"/>
      <c r="Q52" s="29" t="n"/>
      <c r="R52" s="27" t="n"/>
    </row>
    <row r="53">
      <c r="A53" t="inlineStr">
        <is>
          <t>ED211775</t>
        </is>
      </c>
      <c r="B53" s="26" t="n">
        <v>45995.80416666667</v>
      </c>
      <c r="C53" t="inlineStr">
        <is>
          <t>Ambulance</t>
        </is>
      </c>
      <c r="D53" t="n">
        <v>3</v>
      </c>
      <c r="E53" t="inlineStr">
        <is>
          <t>Vomiting / Diarrhea</t>
        </is>
      </c>
      <c r="F53" s="28" t="n">
        <v>98.5</v>
      </c>
      <c r="G53" t="n">
        <v>97</v>
      </c>
      <c r="H53" t="n">
        <v>18</v>
      </c>
      <c r="I53" t="n">
        <v>130</v>
      </c>
      <c r="J53" t="n">
        <v>97</v>
      </c>
      <c r="K53" t="n">
        <v>1</v>
      </c>
      <c r="L53" t="inlineStr">
        <is>
          <t>Observation</t>
        </is>
      </c>
      <c r="M53" s="27" t="n"/>
      <c r="N53" s="27" t="n"/>
      <c r="O53" s="27" t="n"/>
      <c r="P53" s="27" t="n"/>
      <c r="Q53" s="29" t="n"/>
      <c r="R53" s="27" t="n"/>
    </row>
    <row r="54">
      <c r="A54" t="inlineStr">
        <is>
          <t>ED211776</t>
        </is>
      </c>
      <c r="B54" s="26" t="n">
        <v>45995.81180555555</v>
      </c>
      <c r="C54" t="inlineStr">
        <is>
          <t>Ambulance</t>
        </is>
      </c>
      <c r="D54" t="n">
        <v>2</v>
      </c>
      <c r="E54" t="inlineStr">
        <is>
          <t>Shortness of Breath</t>
        </is>
      </c>
      <c r="F54" s="28" t="n">
        <v>98.40000000000001</v>
      </c>
      <c r="G54" t="n">
        <v>62</v>
      </c>
      <c r="H54" t="n">
        <v>25</v>
      </c>
      <c r="I54" t="n">
        <v>120</v>
      </c>
      <c r="J54" t="n">
        <v>89</v>
      </c>
      <c r="K54" t="n">
        <v>2</v>
      </c>
      <c r="L54" t="inlineStr">
        <is>
          <t>Admitted</t>
        </is>
      </c>
      <c r="M54" s="27" t="n"/>
      <c r="N54" s="27" t="n"/>
      <c r="O54" s="27" t="n"/>
      <c r="P54" s="27" t="n"/>
      <c r="Q54" s="29" t="n"/>
      <c r="R54" s="27" t="n"/>
    </row>
    <row r="55">
      <c r="A55" t="inlineStr">
        <is>
          <t>ED211777</t>
        </is>
      </c>
      <c r="B55" s="26" t="n">
        <v>45995.86597222222</v>
      </c>
      <c r="C55" t="inlineStr">
        <is>
          <t>Walk-In</t>
        </is>
      </c>
      <c r="D55" t="n">
        <v>4</v>
      </c>
      <c r="E55" t="inlineStr">
        <is>
          <t>Painful Urination / Fever</t>
        </is>
      </c>
      <c r="F55" s="28" t="n">
        <v>99.3</v>
      </c>
      <c r="G55" t="n">
        <v>81</v>
      </c>
      <c r="H55" t="n">
        <v>18</v>
      </c>
      <c r="I55" t="n">
        <v>127</v>
      </c>
      <c r="J55" t="n">
        <v>98</v>
      </c>
      <c r="K55" t="n">
        <v>0</v>
      </c>
      <c r="L55" t="inlineStr">
        <is>
          <t>Admitted</t>
        </is>
      </c>
      <c r="M55" s="27" t="n"/>
      <c r="N55" s="27" t="n"/>
      <c r="O55" s="27" t="n"/>
      <c r="P55" s="27" t="n"/>
      <c r="Q55" s="29" t="n"/>
      <c r="R55" s="27" t="n"/>
    </row>
    <row r="56">
      <c r="A56" t="inlineStr">
        <is>
          <t>ED211778</t>
        </is>
      </c>
      <c r="B56" s="26" t="n">
        <v>45995.94513888889</v>
      </c>
      <c r="C56" t="inlineStr">
        <is>
          <t>Walk-In</t>
        </is>
      </c>
      <c r="D56" t="n">
        <v>5</v>
      </c>
      <c r="E56" t="inlineStr">
        <is>
          <t>Cough / Fever</t>
        </is>
      </c>
      <c r="F56" s="28" t="n">
        <v>98.5</v>
      </c>
      <c r="G56" t="n">
        <v>71</v>
      </c>
      <c r="H56" t="n">
        <v>14</v>
      </c>
      <c r="I56" t="n">
        <v>125</v>
      </c>
      <c r="J56" t="n">
        <v>99</v>
      </c>
      <c r="K56" t="n">
        <v>0</v>
      </c>
      <c r="L56" t="inlineStr">
        <is>
          <t>Discharged</t>
        </is>
      </c>
      <c r="M56" s="27" t="n"/>
      <c r="N56" s="27" t="n"/>
      <c r="O56" s="27" t="n"/>
      <c r="P56" s="27" t="n"/>
      <c r="Q56" s="29" t="n"/>
      <c r="R56" s="27" t="n"/>
    </row>
    <row r="57">
      <c r="A57" t="inlineStr">
        <is>
          <t>ED211779</t>
        </is>
      </c>
      <c r="B57" s="26" t="n">
        <v>45996.25069444445</v>
      </c>
      <c r="C57" t="inlineStr">
        <is>
          <t>Walk-In</t>
        </is>
      </c>
      <c r="D57" t="n">
        <v>4</v>
      </c>
      <c r="E57" t="inlineStr">
        <is>
          <t>Shortness of Breath</t>
        </is>
      </c>
      <c r="F57" s="28" t="n">
        <v>98</v>
      </c>
      <c r="G57" t="n">
        <v>91</v>
      </c>
      <c r="H57" t="n">
        <v>22</v>
      </c>
      <c r="I57" t="n">
        <v>112</v>
      </c>
      <c r="J57" t="n">
        <v>97</v>
      </c>
      <c r="K57" t="n">
        <v>3</v>
      </c>
      <c r="L57" t="inlineStr">
        <is>
          <t>Admitted</t>
        </is>
      </c>
      <c r="M57" s="27" t="n"/>
      <c r="N57" s="27" t="n"/>
      <c r="O57" s="27" t="n"/>
      <c r="P57" s="27" t="n"/>
      <c r="Q57" s="29" t="n"/>
      <c r="R57" s="27" t="n"/>
    </row>
    <row r="58">
      <c r="A58" t="inlineStr">
        <is>
          <t>ED211780</t>
        </is>
      </c>
      <c r="B58" s="26" t="n">
        <v>45996.30833333333</v>
      </c>
      <c r="C58" t="inlineStr">
        <is>
          <t>Walk-In</t>
        </is>
      </c>
      <c r="D58" t="n">
        <v>3</v>
      </c>
      <c r="E58" t="inlineStr">
        <is>
          <t>Skin Redness / Swelling</t>
        </is>
      </c>
      <c r="F58" s="28" t="n">
        <v>101.3</v>
      </c>
      <c r="G58" t="n">
        <v>76</v>
      </c>
      <c r="H58" t="n">
        <v>11</v>
      </c>
      <c r="I58" t="n">
        <v>143</v>
      </c>
      <c r="J58" t="n">
        <v>97</v>
      </c>
      <c r="K58" t="n">
        <v>3</v>
      </c>
      <c r="L58" t="inlineStr">
        <is>
          <t>Discharged</t>
        </is>
      </c>
      <c r="M58" s="27" t="n"/>
      <c r="N58" s="27" t="n"/>
      <c r="O58" s="27" t="n"/>
      <c r="P58" s="27" t="n"/>
      <c r="Q58" s="29" t="n"/>
      <c r="R58" s="27" t="n"/>
    </row>
    <row r="59">
      <c r="A59" t="inlineStr">
        <is>
          <t>ED211781</t>
        </is>
      </c>
      <c r="B59" s="26" t="n">
        <v>45996.33958333333</v>
      </c>
      <c r="C59" t="inlineStr">
        <is>
          <t>Ambulance</t>
        </is>
      </c>
      <c r="D59" t="n">
        <v>3</v>
      </c>
      <c r="E59" t="inlineStr">
        <is>
          <t>Headache</t>
        </is>
      </c>
      <c r="F59" s="28" t="n">
        <v>97.59999999999999</v>
      </c>
      <c r="G59" t="n">
        <v>86</v>
      </c>
      <c r="H59" t="n">
        <v>17</v>
      </c>
      <c r="I59" t="n">
        <v>161</v>
      </c>
      <c r="J59" t="n">
        <v>97</v>
      </c>
      <c r="K59" t="n">
        <v>10</v>
      </c>
      <c r="L59" t="inlineStr">
        <is>
          <t>Discharged</t>
        </is>
      </c>
      <c r="M59" s="27" t="n"/>
      <c r="N59" s="27" t="n"/>
      <c r="O59" s="27" t="n"/>
      <c r="P59" s="27" t="n"/>
      <c r="Q59" s="29" t="n"/>
      <c r="R59" s="27" t="n"/>
    </row>
    <row r="60">
      <c r="A60" t="inlineStr">
        <is>
          <t>ED211782</t>
        </is>
      </c>
      <c r="B60" s="26" t="n">
        <v>45996.40902777778</v>
      </c>
      <c r="C60" t="inlineStr">
        <is>
          <t>Ambulance</t>
        </is>
      </c>
      <c r="D60" t="n">
        <v>2</v>
      </c>
      <c r="E60" t="inlineStr">
        <is>
          <t>Chest Pain</t>
        </is>
      </c>
      <c r="F60" s="28" t="n">
        <v>98.3</v>
      </c>
      <c r="G60" t="n">
        <v>94</v>
      </c>
      <c r="H60" t="n">
        <v>15</v>
      </c>
      <c r="I60" t="n">
        <v>142</v>
      </c>
      <c r="J60" t="n">
        <v>99</v>
      </c>
      <c r="K60" t="n">
        <v>9</v>
      </c>
      <c r="L60" t="inlineStr">
        <is>
          <t>Discharged</t>
        </is>
      </c>
      <c r="M60" s="27" t="n"/>
      <c r="N60" s="27" t="n"/>
      <c r="O60" s="27" t="n"/>
      <c r="P60" s="27" t="n"/>
      <c r="Q60" s="29" t="n"/>
      <c r="R60" s="27" t="n"/>
    </row>
    <row r="61">
      <c r="A61" t="inlineStr">
        <is>
          <t>ED211783</t>
        </is>
      </c>
      <c r="B61" s="26" t="n">
        <v>45996.42291666667</v>
      </c>
      <c r="C61" t="inlineStr">
        <is>
          <t>Walk-In</t>
        </is>
      </c>
      <c r="D61" t="n">
        <v>4</v>
      </c>
      <c r="E61" t="inlineStr">
        <is>
          <t>Back Pain</t>
        </is>
      </c>
      <c r="F61" s="28" t="n">
        <v>98.2</v>
      </c>
      <c r="G61" t="n">
        <v>92</v>
      </c>
      <c r="H61" t="n">
        <v>18</v>
      </c>
      <c r="I61" t="n">
        <v>134</v>
      </c>
      <c r="J61" t="n">
        <v>98</v>
      </c>
      <c r="K61" t="n">
        <v>6</v>
      </c>
      <c r="L61" t="inlineStr">
        <is>
          <t>Discharged</t>
        </is>
      </c>
      <c r="M61" s="27" t="n"/>
      <c r="N61" s="27" t="n"/>
      <c r="O61" s="27" t="n"/>
      <c r="P61" s="27" t="n"/>
      <c r="Q61" s="29" t="n"/>
      <c r="R61" s="27" t="n"/>
    </row>
    <row r="62">
      <c r="A62" t="inlineStr">
        <is>
          <t>ED211784</t>
        </is>
      </c>
      <c r="B62" s="26" t="n">
        <v>45996.43819444445</v>
      </c>
      <c r="C62" t="inlineStr">
        <is>
          <t>Ambulance</t>
        </is>
      </c>
      <c r="D62" t="n">
        <v>3</v>
      </c>
      <c r="E62" t="inlineStr">
        <is>
          <t>Cough / Fever</t>
        </is>
      </c>
      <c r="F62" s="28" t="n">
        <v>100.2</v>
      </c>
      <c r="G62" t="n">
        <v>89</v>
      </c>
      <c r="H62" t="n">
        <v>20</v>
      </c>
      <c r="I62" t="n">
        <v>104</v>
      </c>
      <c r="J62" t="n">
        <v>89</v>
      </c>
      <c r="K62" t="n">
        <v>1</v>
      </c>
      <c r="L62" t="inlineStr">
        <is>
          <t>Discharged</t>
        </is>
      </c>
      <c r="M62" s="27" t="n"/>
      <c r="N62" s="27" t="n"/>
      <c r="O62" s="27" t="n"/>
      <c r="P62" s="27" t="n"/>
      <c r="Q62" s="29" t="n"/>
      <c r="R62" s="27" t="n"/>
    </row>
    <row r="63">
      <c r="A63" t="inlineStr">
        <is>
          <t>ED211785</t>
        </is>
      </c>
      <c r="B63" s="26" t="n">
        <v>45996.44027777778</v>
      </c>
      <c r="C63" t="inlineStr">
        <is>
          <t>Ambulance</t>
        </is>
      </c>
      <c r="D63" t="n">
        <v>2</v>
      </c>
      <c r="E63" t="inlineStr">
        <is>
          <t>Shortness of Breath</t>
        </is>
      </c>
      <c r="F63" s="28" t="n">
        <v>98.5</v>
      </c>
      <c r="G63" t="n">
        <v>74</v>
      </c>
      <c r="H63" t="n">
        <v>23</v>
      </c>
      <c r="I63" t="n">
        <v>138</v>
      </c>
      <c r="J63" t="n">
        <v>93</v>
      </c>
      <c r="K63" t="n">
        <v>0</v>
      </c>
      <c r="L63" t="inlineStr">
        <is>
          <t>Admitted</t>
        </is>
      </c>
      <c r="M63" s="27" t="n"/>
      <c r="N63" s="27" t="n"/>
      <c r="O63" s="27" t="n"/>
      <c r="P63" s="27" t="n"/>
      <c r="Q63" s="29" t="n"/>
      <c r="R63" s="27" t="n"/>
    </row>
    <row r="64">
      <c r="A64" t="inlineStr">
        <is>
          <t>ED211786</t>
        </is>
      </c>
      <c r="B64" s="26" t="n">
        <v>45996.45486111111</v>
      </c>
      <c r="C64" t="inlineStr">
        <is>
          <t>Walk-In</t>
        </is>
      </c>
      <c r="D64" t="n">
        <v>3</v>
      </c>
      <c r="E64" t="inlineStr">
        <is>
          <t>Cough / Trouble Breathing</t>
        </is>
      </c>
      <c r="F64" s="28" t="n">
        <v>97.8</v>
      </c>
      <c r="G64" t="n">
        <v>129</v>
      </c>
      <c r="H64" t="n">
        <v>34</v>
      </c>
      <c r="I64" t="n">
        <v>90</v>
      </c>
      <c r="J64" t="n">
        <v>87</v>
      </c>
      <c r="K64" t="n">
        <v>1</v>
      </c>
      <c r="L64" t="inlineStr">
        <is>
          <t>Discharged</t>
        </is>
      </c>
      <c r="M64" s="27" t="n"/>
      <c r="N64" s="27" t="n"/>
      <c r="O64" s="27" t="n"/>
      <c r="P64" s="27" t="n"/>
      <c r="Q64" s="29" t="n"/>
      <c r="R64" s="27" t="n"/>
    </row>
    <row r="65">
      <c r="A65" t="inlineStr">
        <is>
          <t>ED211787</t>
        </is>
      </c>
      <c r="B65" s="26" t="n">
        <v>45996.45555555556</v>
      </c>
      <c r="C65" t="inlineStr">
        <is>
          <t>Walk-In</t>
        </is>
      </c>
      <c r="D65" t="n">
        <v>4</v>
      </c>
      <c r="E65" t="inlineStr">
        <is>
          <t>Ear Pain / Fever</t>
        </is>
      </c>
      <c r="F65" s="28" t="n">
        <v>100.2</v>
      </c>
      <c r="G65" t="n">
        <v>98</v>
      </c>
      <c r="H65" t="n">
        <v>22</v>
      </c>
      <c r="I65" t="n">
        <v>112</v>
      </c>
      <c r="J65" t="n">
        <v>98</v>
      </c>
      <c r="K65" t="n">
        <v>1</v>
      </c>
      <c r="L65" t="inlineStr">
        <is>
          <t>Discharged</t>
        </is>
      </c>
      <c r="M65" s="27" t="n"/>
      <c r="N65" s="27" t="n"/>
      <c r="O65" s="27" t="n"/>
      <c r="P65" s="27" t="n"/>
      <c r="Q65" s="29" t="n"/>
      <c r="R65" s="27" t="n"/>
    </row>
    <row r="66">
      <c r="A66" t="inlineStr">
        <is>
          <t>ED211788</t>
        </is>
      </c>
      <c r="B66" s="26" t="n">
        <v>45996.54583333333</v>
      </c>
      <c r="C66" t="inlineStr">
        <is>
          <t>Walk-In</t>
        </is>
      </c>
      <c r="D66" t="n">
        <v>4</v>
      </c>
      <c r="E66" t="inlineStr">
        <is>
          <t>Abdominal Pain</t>
        </is>
      </c>
      <c r="F66" s="28" t="n">
        <v>97.2</v>
      </c>
      <c r="G66" t="n">
        <v>58</v>
      </c>
      <c r="H66" t="n">
        <v>16</v>
      </c>
      <c r="I66" t="n">
        <v>124</v>
      </c>
      <c r="J66" t="n">
        <v>99</v>
      </c>
      <c r="K66" t="n">
        <v>7</v>
      </c>
      <c r="L66" t="inlineStr">
        <is>
          <t>Observation</t>
        </is>
      </c>
      <c r="M66" s="27" t="n"/>
      <c r="N66" s="27" t="n"/>
      <c r="O66" s="27" t="n"/>
      <c r="P66" s="27" t="n"/>
      <c r="Q66" s="29" t="n"/>
      <c r="R66" s="27" t="n"/>
    </row>
    <row r="67">
      <c r="A67" t="inlineStr">
        <is>
          <t>ED211790</t>
        </is>
      </c>
      <c r="B67" s="26" t="n">
        <v>45996.65416666667</v>
      </c>
      <c r="C67" t="inlineStr">
        <is>
          <t>Walk-In</t>
        </is>
      </c>
      <c r="D67" t="n">
        <v>4</v>
      </c>
      <c r="E67" t="inlineStr">
        <is>
          <t>Shortness of Breath</t>
        </is>
      </c>
      <c r="F67" s="28" t="n">
        <v>98.59999999999999</v>
      </c>
      <c r="G67" t="n">
        <v>75</v>
      </c>
      <c r="H67" t="n">
        <v>20</v>
      </c>
      <c r="I67" t="n">
        <v>133</v>
      </c>
      <c r="J67" t="n">
        <v>97</v>
      </c>
      <c r="K67" t="n">
        <v>0</v>
      </c>
      <c r="L67" t="inlineStr">
        <is>
          <t>Discharged</t>
        </is>
      </c>
      <c r="M67" s="27" t="n"/>
      <c r="N67" s="27" t="n"/>
      <c r="O67" s="27" t="n"/>
      <c r="P67" s="27" t="n"/>
      <c r="Q67" s="29" t="n"/>
      <c r="R67" s="27" t="n"/>
    </row>
    <row r="68">
      <c r="A68" t="inlineStr">
        <is>
          <t>ED211791</t>
        </is>
      </c>
      <c r="B68" s="26" t="n">
        <v>45996.65486111111</v>
      </c>
      <c r="C68" t="inlineStr">
        <is>
          <t>Ambulance</t>
        </is>
      </c>
      <c r="D68" t="n">
        <v>2</v>
      </c>
      <c r="E68" t="inlineStr">
        <is>
          <t>Cough / Fever</t>
        </is>
      </c>
      <c r="F68" s="28" t="n">
        <v>102.7</v>
      </c>
      <c r="G68" t="n">
        <v>88</v>
      </c>
      <c r="H68" t="n">
        <v>21</v>
      </c>
      <c r="I68" t="n">
        <v>95</v>
      </c>
      <c r="J68" t="n">
        <v>93</v>
      </c>
      <c r="K68" t="n">
        <v>3</v>
      </c>
      <c r="L68" t="inlineStr">
        <is>
          <t>Discharged</t>
        </is>
      </c>
      <c r="M68" s="27" t="n"/>
      <c r="N68" s="27" t="n"/>
      <c r="O68" s="27" t="n"/>
      <c r="P68" s="27" t="n"/>
      <c r="Q68" s="29" t="n"/>
      <c r="R68" s="27" t="n"/>
    </row>
    <row r="69">
      <c r="A69" t="inlineStr">
        <is>
          <t>ED211792</t>
        </is>
      </c>
      <c r="B69" s="26" t="n">
        <v>45996.69444444445</v>
      </c>
      <c r="C69" t="inlineStr">
        <is>
          <t>Walk-In</t>
        </is>
      </c>
      <c r="D69" t="n">
        <v>4</v>
      </c>
      <c r="E69" t="inlineStr">
        <is>
          <t>Ankle Injury</t>
        </is>
      </c>
      <c r="F69" s="28" t="n">
        <v>98.59999999999999</v>
      </c>
      <c r="G69" t="n">
        <v>82</v>
      </c>
      <c r="H69" t="n">
        <v>15</v>
      </c>
      <c r="I69" t="n">
        <v>151</v>
      </c>
      <c r="J69" t="n">
        <v>97</v>
      </c>
      <c r="K69" t="n">
        <v>5</v>
      </c>
      <c r="L69" t="inlineStr">
        <is>
          <t>Discharged</t>
        </is>
      </c>
      <c r="M69" s="27" t="n"/>
      <c r="N69" s="27" t="n"/>
      <c r="O69" s="27" t="n"/>
      <c r="P69" s="27" t="n"/>
      <c r="Q69" s="29" t="n"/>
      <c r="R69" s="27" t="n"/>
    </row>
    <row r="70">
      <c r="A70" t="inlineStr">
        <is>
          <t>ED211793</t>
        </is>
      </c>
      <c r="B70" s="26" t="n">
        <v>45996.69861111111</v>
      </c>
      <c r="C70" t="inlineStr">
        <is>
          <t>Walk-In</t>
        </is>
      </c>
      <c r="D70" t="n">
        <v>4</v>
      </c>
      <c r="E70" t="inlineStr">
        <is>
          <t>Vomiting / Diarrhea</t>
        </is>
      </c>
      <c r="F70" s="28" t="n">
        <v>98.09999999999999</v>
      </c>
      <c r="G70" t="n">
        <v>80</v>
      </c>
      <c r="H70" t="n">
        <v>15</v>
      </c>
      <c r="I70" t="n">
        <v>143</v>
      </c>
      <c r="J70" t="n">
        <v>98</v>
      </c>
      <c r="K70" t="n">
        <v>0</v>
      </c>
      <c r="L70" t="inlineStr">
        <is>
          <t>Discharged</t>
        </is>
      </c>
      <c r="M70" s="27" t="n"/>
      <c r="N70" s="27" t="n"/>
      <c r="O70" s="27" t="n"/>
      <c r="P70" s="27" t="n"/>
      <c r="Q70" s="29" t="n"/>
      <c r="R70" s="27" t="n"/>
    </row>
    <row r="71">
      <c r="A71" t="inlineStr">
        <is>
          <t>ED211794</t>
        </is>
      </c>
      <c r="B71" s="26" t="n">
        <v>45996.70555555556</v>
      </c>
      <c r="C71" t="inlineStr">
        <is>
          <t>Walk-In</t>
        </is>
      </c>
      <c r="D71" t="n">
        <v>4</v>
      </c>
      <c r="E71" t="inlineStr">
        <is>
          <t>Cough / Fever</t>
        </is>
      </c>
      <c r="F71" s="28" t="n">
        <v>98.2</v>
      </c>
      <c r="G71" t="n">
        <v>73</v>
      </c>
      <c r="H71" t="n">
        <v>16</v>
      </c>
      <c r="I71" t="n">
        <v>96</v>
      </c>
      <c r="J71" t="n">
        <v>96</v>
      </c>
      <c r="K71" t="n">
        <v>3</v>
      </c>
      <c r="L71" t="inlineStr">
        <is>
          <t>Discharged</t>
        </is>
      </c>
      <c r="M71" s="27" t="n"/>
      <c r="N71" s="27" t="n"/>
      <c r="O71" s="27" t="n"/>
      <c r="P71" s="27" t="n"/>
      <c r="Q71" s="29" t="n"/>
      <c r="R71" s="27" t="n"/>
    </row>
    <row r="72">
      <c r="A72" t="inlineStr">
        <is>
          <t>ED211795</t>
        </is>
      </c>
      <c r="B72" s="26" t="n">
        <v>45996.76388888889</v>
      </c>
      <c r="C72" t="inlineStr">
        <is>
          <t>Walk-In</t>
        </is>
      </c>
      <c r="D72" t="n">
        <v>4</v>
      </c>
      <c r="E72" t="inlineStr">
        <is>
          <t>Nausea</t>
        </is>
      </c>
      <c r="F72" s="28" t="n">
        <v>98.8</v>
      </c>
      <c r="G72" t="n">
        <v>139</v>
      </c>
      <c r="H72" t="n">
        <v>29</v>
      </c>
      <c r="I72" t="n">
        <v>84</v>
      </c>
      <c r="J72" t="n">
        <v>93</v>
      </c>
      <c r="K72" t="n">
        <v>0</v>
      </c>
      <c r="L72" t="inlineStr">
        <is>
          <t>Discharged</t>
        </is>
      </c>
      <c r="M72" s="27" t="n"/>
      <c r="N72" s="27" t="n"/>
      <c r="O72" s="27" t="n"/>
      <c r="P72" s="27" t="n"/>
      <c r="Q72" s="29" t="n"/>
      <c r="R72" s="27" t="n"/>
    </row>
    <row r="73">
      <c r="A73" t="inlineStr">
        <is>
          <t>ED211796</t>
        </is>
      </c>
      <c r="B73" s="26" t="n">
        <v>45996.82361111111</v>
      </c>
      <c r="C73" t="inlineStr">
        <is>
          <t>Walk-In</t>
        </is>
      </c>
      <c r="D73" t="n">
        <v>3</v>
      </c>
      <c r="E73" t="inlineStr">
        <is>
          <t>Cough / Fever</t>
        </is>
      </c>
      <c r="F73" s="28" t="n">
        <v>100</v>
      </c>
      <c r="G73" t="n">
        <v>110</v>
      </c>
      <c r="H73" t="n">
        <v>27</v>
      </c>
      <c r="I73" t="n">
        <v>153</v>
      </c>
      <c r="J73" t="n">
        <v>89</v>
      </c>
      <c r="K73" t="n">
        <v>0</v>
      </c>
      <c r="L73" t="inlineStr">
        <is>
          <t>Discharged</t>
        </is>
      </c>
      <c r="M73" s="27" t="n"/>
      <c r="N73" s="27" t="n"/>
      <c r="O73" s="27" t="n"/>
      <c r="P73" s="27" t="n"/>
      <c r="Q73" s="29" t="n"/>
      <c r="R73" s="27" t="n"/>
    </row>
    <row r="74">
      <c r="A74" t="inlineStr">
        <is>
          <t>ED211797</t>
        </is>
      </c>
      <c r="B74" s="26" t="n">
        <v>45996.93125</v>
      </c>
      <c r="C74" t="inlineStr">
        <is>
          <t>Walk-In</t>
        </is>
      </c>
      <c r="D74" t="n">
        <v>4</v>
      </c>
      <c r="E74" t="inlineStr">
        <is>
          <t>Dizziness</t>
        </is>
      </c>
      <c r="F74" s="28" t="n">
        <v>97.8</v>
      </c>
      <c r="G74" t="n">
        <v>79</v>
      </c>
      <c r="H74" t="n">
        <v>14</v>
      </c>
      <c r="I74" t="n">
        <v>156</v>
      </c>
      <c r="J74" t="n">
        <v>99</v>
      </c>
      <c r="K74" t="n">
        <v>3</v>
      </c>
      <c r="L74" t="inlineStr">
        <is>
          <t>Discharged</t>
        </is>
      </c>
      <c r="M74" s="27" t="n"/>
      <c r="N74" s="27" t="n"/>
      <c r="O74" s="27" t="n"/>
      <c r="P74" s="27" t="n"/>
      <c r="Q74" s="29" t="n"/>
      <c r="R74" s="27" t="n"/>
    </row>
    <row r="75">
      <c r="A75" t="inlineStr">
        <is>
          <t>ED211798</t>
        </is>
      </c>
      <c r="B75" s="26" t="n">
        <v>45996.94652777778</v>
      </c>
      <c r="C75" t="inlineStr">
        <is>
          <t>Walk-In</t>
        </is>
      </c>
      <c r="D75" t="n">
        <v>4</v>
      </c>
      <c r="E75" t="inlineStr">
        <is>
          <t>Shortness of Breath</t>
        </is>
      </c>
      <c r="F75" s="28" t="n">
        <v>98.59999999999999</v>
      </c>
      <c r="G75" t="n">
        <v>123</v>
      </c>
      <c r="H75" t="n">
        <v>22</v>
      </c>
      <c r="I75" t="n">
        <v>112</v>
      </c>
      <c r="J75" t="n">
        <v>81</v>
      </c>
      <c r="K75" t="n">
        <v>0</v>
      </c>
      <c r="L75" t="inlineStr">
        <is>
          <t>Discharged</t>
        </is>
      </c>
      <c r="M75" s="27" t="n"/>
      <c r="N75" s="27" t="n"/>
      <c r="O75" s="27" t="n"/>
      <c r="P75" s="27" t="n"/>
      <c r="Q75" s="29" t="n"/>
      <c r="R75" s="27" t="n"/>
    </row>
    <row r="76">
      <c r="A76" t="inlineStr">
        <is>
          <t>ED211799</t>
        </is>
      </c>
      <c r="B76" s="26" t="n">
        <v>45996.98472222222</v>
      </c>
      <c r="C76" t="inlineStr">
        <is>
          <t>Walk-In</t>
        </is>
      </c>
      <c r="D76" t="n">
        <v>3</v>
      </c>
      <c r="E76" t="inlineStr">
        <is>
          <t>Psychiatric Evaluation</t>
        </is>
      </c>
      <c r="F76" s="28" t="n">
        <v>98.8</v>
      </c>
      <c r="G76" t="n">
        <v>71</v>
      </c>
      <c r="H76" t="n">
        <v>19</v>
      </c>
      <c r="I76" t="n">
        <v>153</v>
      </c>
      <c r="J76" t="n">
        <v>98</v>
      </c>
      <c r="K76" t="n">
        <v>0</v>
      </c>
      <c r="L76" t="inlineStr">
        <is>
          <t>Admitted</t>
        </is>
      </c>
      <c r="M76" s="27" t="n"/>
      <c r="N76" s="27" t="n"/>
      <c r="O76" s="27" t="n"/>
      <c r="P76" s="27" t="n"/>
      <c r="Q76" s="29" t="n"/>
      <c r="R76" s="27" t="n"/>
    </row>
    <row r="77">
      <c r="A77" t="inlineStr">
        <is>
          <t>ED211801</t>
        </is>
      </c>
      <c r="B77" s="26" t="n">
        <v>45997.13402777778</v>
      </c>
      <c r="C77" t="inlineStr">
        <is>
          <t>Walk-In</t>
        </is>
      </c>
      <c r="D77" t="n">
        <v>4</v>
      </c>
      <c r="E77" t="inlineStr">
        <is>
          <t>Abdominal Pain</t>
        </is>
      </c>
      <c r="F77" s="28" t="n">
        <v>98.2</v>
      </c>
      <c r="G77" t="n">
        <v>70</v>
      </c>
      <c r="H77" t="n">
        <v>18</v>
      </c>
      <c r="I77" t="n">
        <v>159</v>
      </c>
      <c r="J77" t="n">
        <v>98</v>
      </c>
      <c r="K77" t="n">
        <v>10</v>
      </c>
      <c r="L77" t="inlineStr">
        <is>
          <t>Discharged</t>
        </is>
      </c>
      <c r="M77" s="27" t="n"/>
      <c r="N77" s="27" t="n"/>
      <c r="O77" s="27" t="n"/>
      <c r="P77" s="27" t="n"/>
      <c r="Q77" s="29" t="n"/>
      <c r="R77" s="27" t="n"/>
    </row>
    <row r="78">
      <c r="A78" t="inlineStr">
        <is>
          <t>ED211802</t>
        </is>
      </c>
      <c r="B78" s="26" t="n">
        <v>45997.24722222222</v>
      </c>
      <c r="C78" t="inlineStr">
        <is>
          <t>Walk-In</t>
        </is>
      </c>
      <c r="D78" t="n">
        <v>3</v>
      </c>
      <c r="E78" t="inlineStr">
        <is>
          <t>Weakness / Fatigue</t>
        </is>
      </c>
      <c r="F78" s="28" t="n">
        <v>97.5</v>
      </c>
      <c r="G78" t="n">
        <v>102</v>
      </c>
      <c r="H78" t="n">
        <v>16</v>
      </c>
      <c r="I78" t="n">
        <v>94</v>
      </c>
      <c r="J78" t="n">
        <v>96</v>
      </c>
      <c r="K78" t="n">
        <v>0</v>
      </c>
      <c r="L78" t="inlineStr">
        <is>
          <t>Admitted</t>
        </is>
      </c>
      <c r="M78" s="27" t="n"/>
      <c r="N78" s="27" t="n"/>
      <c r="O78" s="27" t="n"/>
      <c r="P78" s="27" t="n"/>
      <c r="Q78" s="29" t="n"/>
      <c r="R78" s="27" t="n"/>
    </row>
    <row r="79">
      <c r="A79" t="inlineStr">
        <is>
          <t>ED211804</t>
        </is>
      </c>
      <c r="B79" s="26" t="n">
        <v>45997.31319444445</v>
      </c>
      <c r="C79" t="inlineStr">
        <is>
          <t>Walk-In</t>
        </is>
      </c>
      <c r="D79" t="n">
        <v>5</v>
      </c>
      <c r="E79" t="inlineStr">
        <is>
          <t>Ear Pain / Fever</t>
        </is>
      </c>
      <c r="F79" s="28" t="n">
        <v>100.7</v>
      </c>
      <c r="G79" t="n">
        <v>104</v>
      </c>
      <c r="H79" t="n">
        <v>23</v>
      </c>
      <c r="I79" t="n">
        <v>102</v>
      </c>
      <c r="J79" t="n">
        <v>95</v>
      </c>
      <c r="K79" t="n">
        <v>2</v>
      </c>
      <c r="L79" t="inlineStr">
        <is>
          <t>Discharged</t>
        </is>
      </c>
      <c r="M79" s="27" t="n"/>
      <c r="N79" s="27" t="n"/>
      <c r="O79" s="27" t="n"/>
      <c r="P79" s="27" t="n"/>
      <c r="Q79" s="29" t="n"/>
      <c r="R79" s="27" t="n"/>
    </row>
    <row r="80">
      <c r="A80" t="inlineStr">
        <is>
          <t>ED211805</t>
        </is>
      </c>
      <c r="B80" s="26" t="n">
        <v>45997.39236111111</v>
      </c>
      <c r="C80" t="inlineStr">
        <is>
          <t>Walk-In</t>
        </is>
      </c>
      <c r="D80" t="n">
        <v>3</v>
      </c>
      <c r="E80" t="inlineStr">
        <is>
          <t>Painful Urination / Fever</t>
        </is>
      </c>
      <c r="F80" s="28" t="n">
        <v>101.6</v>
      </c>
      <c r="G80" t="n">
        <v>103</v>
      </c>
      <c r="H80" t="n">
        <v>18</v>
      </c>
      <c r="I80" t="n">
        <v>125</v>
      </c>
      <c r="J80" t="n">
        <v>100</v>
      </c>
      <c r="K80" t="n">
        <v>1</v>
      </c>
      <c r="L80" t="inlineStr">
        <is>
          <t>Admitted</t>
        </is>
      </c>
      <c r="M80" s="27" t="n"/>
      <c r="N80" s="27" t="n"/>
      <c r="O80" s="27" t="n"/>
      <c r="P80" s="27" t="n"/>
      <c r="Q80" s="29" t="n"/>
      <c r="R80" s="27" t="n"/>
    </row>
    <row r="81">
      <c r="A81" t="inlineStr">
        <is>
          <t>ED211806</t>
        </is>
      </c>
      <c r="B81" s="26" t="n">
        <v>45997.40486111111</v>
      </c>
      <c r="C81" t="inlineStr">
        <is>
          <t>Walk-In</t>
        </is>
      </c>
      <c r="D81" t="n">
        <v>3</v>
      </c>
      <c r="E81" t="inlineStr">
        <is>
          <t>Skin Redness / Swelling</t>
        </is>
      </c>
      <c r="F81" s="28" t="n">
        <v>101.8</v>
      </c>
      <c r="G81" t="n">
        <v>94</v>
      </c>
      <c r="H81" t="n">
        <v>14</v>
      </c>
      <c r="I81" t="n">
        <v>104</v>
      </c>
      <c r="J81" t="n">
        <v>99</v>
      </c>
      <c r="K81" t="n">
        <v>1</v>
      </c>
      <c r="L81" t="inlineStr">
        <is>
          <t>Admitted</t>
        </is>
      </c>
      <c r="M81" s="27" t="n"/>
      <c r="N81" s="27" t="n"/>
      <c r="O81" s="27" t="n"/>
      <c r="P81" s="27" t="n"/>
      <c r="Q81" s="29" t="n"/>
      <c r="R81" s="27" t="n"/>
    </row>
    <row r="82">
      <c r="A82" t="inlineStr">
        <is>
          <t>ED211807</t>
        </is>
      </c>
      <c r="B82" s="26" t="n">
        <v>45997.4125</v>
      </c>
      <c r="C82" t="inlineStr">
        <is>
          <t>Walk-In</t>
        </is>
      </c>
      <c r="D82" t="n">
        <v>4</v>
      </c>
      <c r="E82" t="inlineStr">
        <is>
          <t>Cough / Fever</t>
        </is>
      </c>
      <c r="F82" s="28" t="n">
        <v>98</v>
      </c>
      <c r="G82" t="n">
        <v>88</v>
      </c>
      <c r="H82" t="n">
        <v>16</v>
      </c>
      <c r="I82" t="n">
        <v>150</v>
      </c>
      <c r="J82" t="n">
        <v>98</v>
      </c>
      <c r="K82" t="n">
        <v>0</v>
      </c>
      <c r="L82" t="inlineStr">
        <is>
          <t>Discharged</t>
        </is>
      </c>
      <c r="M82" s="27" t="n"/>
      <c r="N82" s="27" t="n"/>
      <c r="O82" s="27" t="n"/>
      <c r="P82" s="27" t="n"/>
      <c r="Q82" s="29" t="n"/>
      <c r="R82" s="27" t="n"/>
    </row>
    <row r="83">
      <c r="A83" t="inlineStr">
        <is>
          <t>ED211808</t>
        </is>
      </c>
      <c r="B83" s="26" t="n">
        <v>45997.47291666667</v>
      </c>
      <c r="C83" t="inlineStr">
        <is>
          <t>Ambulance</t>
        </is>
      </c>
      <c r="D83" t="n">
        <v>3</v>
      </c>
      <c r="E83" t="inlineStr">
        <is>
          <t>Chest Pain</t>
        </is>
      </c>
      <c r="F83" s="28" t="n">
        <v>99.40000000000001</v>
      </c>
      <c r="G83" t="n">
        <v>100</v>
      </c>
      <c r="H83" t="n">
        <v>15</v>
      </c>
      <c r="I83" t="n">
        <v>168</v>
      </c>
      <c r="J83" t="n">
        <v>97</v>
      </c>
      <c r="K83" t="n">
        <v>5</v>
      </c>
      <c r="L83" t="inlineStr">
        <is>
          <t>Discharged</t>
        </is>
      </c>
      <c r="M83" s="27" t="n"/>
      <c r="N83" s="27" t="n"/>
      <c r="O83" s="27" t="n"/>
      <c r="P83" s="27" t="n"/>
      <c r="Q83" s="29" t="n"/>
      <c r="R83" s="27" t="n"/>
    </row>
    <row r="84">
      <c r="A84" t="inlineStr">
        <is>
          <t>ED211809</t>
        </is>
      </c>
      <c r="B84" s="26" t="n">
        <v>45997.47777777778</v>
      </c>
      <c r="C84" t="inlineStr">
        <is>
          <t>Walk-In</t>
        </is>
      </c>
      <c r="D84" t="n">
        <v>4</v>
      </c>
      <c r="E84" t="inlineStr">
        <is>
          <t>Ankle Injury</t>
        </is>
      </c>
      <c r="F84" s="28" t="n">
        <v>98.40000000000001</v>
      </c>
      <c r="G84" t="n">
        <v>69</v>
      </c>
      <c r="H84" t="n">
        <v>18</v>
      </c>
      <c r="I84" t="n">
        <v>176</v>
      </c>
      <c r="J84" t="n">
        <v>99</v>
      </c>
      <c r="K84" t="n">
        <v>10</v>
      </c>
      <c r="L84" t="inlineStr">
        <is>
          <t>Discharged</t>
        </is>
      </c>
      <c r="M84" s="27" t="n"/>
      <c r="N84" s="27" t="n"/>
      <c r="O84" s="27" t="n"/>
      <c r="P84" s="27" t="n"/>
      <c r="Q84" s="29" t="n"/>
      <c r="R84" s="27" t="n"/>
    </row>
    <row r="85">
      <c r="A85" t="inlineStr">
        <is>
          <t>ED211811</t>
        </is>
      </c>
      <c r="B85" s="26" t="n">
        <v>45997.67986111111</v>
      </c>
      <c r="C85" t="inlineStr">
        <is>
          <t>Walk-In</t>
        </is>
      </c>
      <c r="D85" t="n">
        <v>4</v>
      </c>
      <c r="E85" t="inlineStr">
        <is>
          <t>Cough / Fever</t>
        </is>
      </c>
      <c r="F85" s="28" t="n">
        <v>99.7</v>
      </c>
      <c r="G85" t="n">
        <v>102</v>
      </c>
      <c r="H85" t="n">
        <v>21</v>
      </c>
      <c r="I85" t="n">
        <v>109</v>
      </c>
      <c r="J85" t="n">
        <v>89</v>
      </c>
      <c r="K85" t="n">
        <v>1</v>
      </c>
      <c r="L85" t="inlineStr">
        <is>
          <t>Discharged</t>
        </is>
      </c>
      <c r="M85" s="27" t="n"/>
      <c r="N85" s="27" t="n"/>
      <c r="O85" s="27" t="n"/>
      <c r="P85" s="27" t="n"/>
      <c r="Q85" s="29" t="n"/>
      <c r="R85" s="27" t="n"/>
    </row>
    <row r="86">
      <c r="A86" t="inlineStr">
        <is>
          <t>ED211813</t>
        </is>
      </c>
      <c r="B86" s="26" t="n">
        <v>45997.75138888889</v>
      </c>
      <c r="C86" t="inlineStr">
        <is>
          <t>Walk-In</t>
        </is>
      </c>
      <c r="D86" t="n">
        <v>5</v>
      </c>
      <c r="E86" t="inlineStr">
        <is>
          <t>Ankle Injury</t>
        </is>
      </c>
      <c r="F86" s="28" t="n">
        <v>98.59999999999999</v>
      </c>
      <c r="G86" t="n">
        <v>83</v>
      </c>
      <c r="H86" t="n">
        <v>17</v>
      </c>
      <c r="I86" t="n">
        <v>140</v>
      </c>
      <c r="J86" t="n">
        <v>97</v>
      </c>
      <c r="K86" t="n">
        <v>4</v>
      </c>
      <c r="L86" t="inlineStr">
        <is>
          <t>Left AMA</t>
        </is>
      </c>
      <c r="M86" s="27" t="n"/>
      <c r="N86" s="27" t="n"/>
      <c r="O86" s="27" t="n"/>
      <c r="P86" s="27" t="n"/>
      <c r="Q86" s="29" t="n"/>
      <c r="R86" s="27" t="n"/>
    </row>
    <row r="87">
      <c r="A87" t="inlineStr">
        <is>
          <t>ED211815</t>
        </is>
      </c>
      <c r="B87" s="26" t="n">
        <v>45997.80277777778</v>
      </c>
      <c r="C87" t="inlineStr">
        <is>
          <t>Ambulance</t>
        </is>
      </c>
      <c r="D87" t="n">
        <v>2</v>
      </c>
      <c r="E87" t="inlineStr">
        <is>
          <t>Shortness of Breath</t>
        </is>
      </c>
      <c r="F87" s="28" t="n">
        <v>98.2</v>
      </c>
      <c r="G87" t="n">
        <v>83</v>
      </c>
      <c r="H87" t="n">
        <v>18</v>
      </c>
      <c r="J87" t="n">
        <v>90</v>
      </c>
      <c r="K87" t="n">
        <v>3</v>
      </c>
      <c r="L87" t="inlineStr">
        <is>
          <t>Admitted</t>
        </is>
      </c>
      <c r="M87" s="27" t="n"/>
      <c r="N87" s="27" t="n"/>
      <c r="O87" s="27" t="n"/>
      <c r="P87" s="27" t="n"/>
      <c r="Q87" s="29" t="n"/>
      <c r="R87" s="27" t="n"/>
    </row>
    <row r="88">
      <c r="A88" t="inlineStr">
        <is>
          <t>ED211819</t>
        </is>
      </c>
      <c r="B88" s="26" t="n">
        <v>45998.28541666667</v>
      </c>
      <c r="C88" t="inlineStr">
        <is>
          <t>Walk-In</t>
        </is>
      </c>
      <c r="D88" t="n">
        <v>2</v>
      </c>
      <c r="E88" t="inlineStr">
        <is>
          <t>Weakness / Numbness</t>
        </is>
      </c>
      <c r="F88" s="28" t="n">
        <v>98.09999999999999</v>
      </c>
      <c r="G88" t="n">
        <v>93</v>
      </c>
      <c r="H88" t="n">
        <v>17</v>
      </c>
      <c r="I88" t="n">
        <v>193</v>
      </c>
      <c r="J88" t="n">
        <v>99</v>
      </c>
      <c r="K88" t="n">
        <v>1</v>
      </c>
      <c r="L88" t="inlineStr">
        <is>
          <t>Admitted</t>
        </is>
      </c>
      <c r="M88" s="27" t="n"/>
      <c r="N88" s="27" t="n"/>
      <c r="O88" s="27" t="n"/>
      <c r="P88" s="27" t="n"/>
      <c r="Q88" s="29" t="n"/>
      <c r="R88" s="27" t="n"/>
    </row>
    <row r="89">
      <c r="A89" t="inlineStr">
        <is>
          <t>ED211820</t>
        </is>
      </c>
      <c r="B89" s="26" t="n">
        <v>45998.39097222222</v>
      </c>
      <c r="C89" t="inlineStr">
        <is>
          <t>Walk-In</t>
        </is>
      </c>
      <c r="D89" t="n">
        <v>5</v>
      </c>
      <c r="E89" t="inlineStr">
        <is>
          <t>Painful Urination / Fever</t>
        </is>
      </c>
      <c r="F89" s="28" t="n">
        <v>100.7</v>
      </c>
      <c r="G89" t="n">
        <v>70</v>
      </c>
      <c r="H89" t="n">
        <v>16</v>
      </c>
      <c r="I89" t="n">
        <v>102</v>
      </c>
      <c r="J89" t="n">
        <v>98</v>
      </c>
      <c r="K89" t="n">
        <v>0</v>
      </c>
      <c r="L89" t="inlineStr">
        <is>
          <t>Discharged</t>
        </is>
      </c>
      <c r="M89" s="27" t="n"/>
      <c r="N89" s="27" t="n"/>
      <c r="O89" s="27" t="n"/>
      <c r="P89" s="27" t="n"/>
      <c r="Q89" s="29" t="n"/>
      <c r="R89" s="27" t="n"/>
    </row>
    <row r="90">
      <c r="A90" t="inlineStr">
        <is>
          <t>ED211821</t>
        </is>
      </c>
      <c r="B90" s="26" t="n">
        <v>45998.39097222222</v>
      </c>
      <c r="C90" t="inlineStr">
        <is>
          <t>Walk-In</t>
        </is>
      </c>
      <c r="D90" t="n">
        <v>3</v>
      </c>
      <c r="E90" t="inlineStr">
        <is>
          <t>Weakness / Fatigue</t>
        </is>
      </c>
      <c r="F90" s="28" t="n">
        <v>98.5</v>
      </c>
      <c r="G90" t="n">
        <v>82</v>
      </c>
      <c r="H90" t="n">
        <v>15</v>
      </c>
      <c r="I90" t="n">
        <v>122</v>
      </c>
      <c r="J90" t="n">
        <v>97</v>
      </c>
      <c r="K90" t="n">
        <v>1</v>
      </c>
      <c r="L90" t="inlineStr">
        <is>
          <t>Admitted</t>
        </is>
      </c>
      <c r="M90" s="27" t="n"/>
      <c r="N90" s="27" t="n"/>
      <c r="O90" s="27" t="n"/>
      <c r="P90" s="27" t="n"/>
      <c r="Q90" s="29" t="n"/>
      <c r="R90" s="27" t="n"/>
    </row>
    <row r="91">
      <c r="A91" t="inlineStr">
        <is>
          <t>ED211823</t>
        </is>
      </c>
      <c r="B91" s="26" t="n">
        <v>45998.45416666667</v>
      </c>
      <c r="C91" t="inlineStr">
        <is>
          <t>Walk-In</t>
        </is>
      </c>
      <c r="D91" t="n">
        <v>3</v>
      </c>
      <c r="E91" t="inlineStr">
        <is>
          <t>Cough / Fever</t>
        </is>
      </c>
      <c r="F91" s="28" t="n">
        <v>101.6</v>
      </c>
      <c r="G91" t="n">
        <v>96</v>
      </c>
      <c r="H91" t="n">
        <v>24</v>
      </c>
      <c r="I91" t="n">
        <v>128</v>
      </c>
      <c r="J91" t="n">
        <v>96</v>
      </c>
      <c r="K91" t="n">
        <v>2</v>
      </c>
      <c r="L91" t="inlineStr">
        <is>
          <t>Discharged</t>
        </is>
      </c>
      <c r="M91" s="27" t="n"/>
      <c r="N91" s="27" t="n"/>
      <c r="O91" s="27" t="n"/>
      <c r="P91" s="27" t="n"/>
      <c r="Q91" s="29" t="n"/>
      <c r="R91" s="27" t="n"/>
    </row>
    <row r="92">
      <c r="A92" t="inlineStr">
        <is>
          <t>ED211828</t>
        </is>
      </c>
      <c r="B92" s="26" t="n">
        <v>45998.85902777778</v>
      </c>
      <c r="C92" t="inlineStr">
        <is>
          <t>Walk-In</t>
        </is>
      </c>
      <c r="D92" t="n">
        <v>3</v>
      </c>
      <c r="E92" t="inlineStr">
        <is>
          <t>Skin Redness / Swelling</t>
        </is>
      </c>
      <c r="F92" s="28" t="n">
        <v>99.8</v>
      </c>
      <c r="G92" t="n">
        <v>92</v>
      </c>
      <c r="H92" t="n">
        <v>14</v>
      </c>
      <c r="I92" t="n">
        <v>138</v>
      </c>
      <c r="J92" t="n">
        <v>99</v>
      </c>
      <c r="K92" t="n">
        <v>0</v>
      </c>
      <c r="L92" t="inlineStr">
        <is>
          <t>Discharged</t>
        </is>
      </c>
      <c r="M92" s="27" t="n"/>
      <c r="N92" s="27" t="n"/>
      <c r="O92" s="27" t="n"/>
      <c r="P92" s="27" t="n"/>
      <c r="Q92" s="29" t="n"/>
      <c r="R92" s="27" t="n"/>
    </row>
    <row r="93">
      <c r="A93" t="inlineStr">
        <is>
          <t>ED211830</t>
        </is>
      </c>
      <c r="B93" s="26" t="n">
        <v>45999.08125</v>
      </c>
      <c r="C93" t="inlineStr">
        <is>
          <t>Walk-In</t>
        </is>
      </c>
      <c r="D93" t="n">
        <v>5</v>
      </c>
      <c r="E93" t="inlineStr">
        <is>
          <t>Headache</t>
        </is>
      </c>
      <c r="F93" s="28" t="n">
        <v>98.5</v>
      </c>
      <c r="G93" t="n">
        <v>89</v>
      </c>
      <c r="H93" t="n">
        <v>18</v>
      </c>
      <c r="I93" t="n">
        <v>155</v>
      </c>
      <c r="J93" t="n">
        <v>98</v>
      </c>
      <c r="K93" t="n">
        <v>10</v>
      </c>
      <c r="L93" t="inlineStr">
        <is>
          <t>Discharged</t>
        </is>
      </c>
      <c r="M93" s="27" t="n"/>
      <c r="N93" s="27" t="n"/>
      <c r="O93" s="27" t="n"/>
      <c r="P93" s="27" t="n"/>
      <c r="Q93" s="29" t="n"/>
      <c r="R93" s="27" t="n"/>
    </row>
    <row r="94">
      <c r="A94" t="inlineStr">
        <is>
          <t>ED211832</t>
        </is>
      </c>
      <c r="B94" s="26" t="n">
        <v>45999.20277777778</v>
      </c>
      <c r="C94" t="inlineStr">
        <is>
          <t>Walk-In</t>
        </is>
      </c>
      <c r="D94" t="n">
        <v>3</v>
      </c>
      <c r="E94" t="inlineStr">
        <is>
          <t>Chest Pain</t>
        </is>
      </c>
      <c r="F94" s="28" t="n">
        <v>99</v>
      </c>
      <c r="G94" t="n">
        <v>93</v>
      </c>
      <c r="H94" t="n">
        <v>16</v>
      </c>
      <c r="I94" t="n">
        <v>139</v>
      </c>
      <c r="J94" t="n">
        <v>97</v>
      </c>
      <c r="K94" t="n">
        <v>5</v>
      </c>
      <c r="L94" t="inlineStr">
        <is>
          <t>Discharged</t>
        </is>
      </c>
      <c r="M94" s="27" t="n"/>
      <c r="N94" s="27" t="n"/>
      <c r="O94" s="27" t="n"/>
      <c r="P94" s="27" t="n"/>
      <c r="Q94" s="29" t="n"/>
      <c r="R94" s="27" t="n"/>
    </row>
    <row r="95">
      <c r="A95" t="inlineStr">
        <is>
          <t>ED211833</t>
        </is>
      </c>
      <c r="B95" s="26" t="n">
        <v>45999.31319444445</v>
      </c>
      <c r="C95" t="inlineStr">
        <is>
          <t>Walk-In</t>
        </is>
      </c>
      <c r="D95" t="n">
        <v>3</v>
      </c>
      <c r="E95" t="inlineStr">
        <is>
          <t>Vomiting / Diarrhea</t>
        </is>
      </c>
      <c r="F95" s="28" t="n">
        <v>98.8</v>
      </c>
      <c r="G95" t="n">
        <v>95</v>
      </c>
      <c r="H95" t="n">
        <v>15</v>
      </c>
      <c r="I95" t="n">
        <v>121</v>
      </c>
      <c r="J95" t="n">
        <v>98</v>
      </c>
      <c r="K95" t="n">
        <v>3</v>
      </c>
      <c r="L95" t="inlineStr">
        <is>
          <t>Discharged</t>
        </is>
      </c>
      <c r="M95" s="27" t="n"/>
      <c r="N95" s="27" t="n"/>
      <c r="O95" s="27" t="n"/>
      <c r="P95" s="27" t="n"/>
      <c r="Q95" s="29" t="n"/>
      <c r="R95" s="27" t="n"/>
    </row>
    <row r="96">
      <c r="A96" t="inlineStr">
        <is>
          <t>ED211834</t>
        </is>
      </c>
      <c r="B96" s="26" t="n">
        <v>45999.31388888889</v>
      </c>
      <c r="C96" t="inlineStr">
        <is>
          <t>Ambulance</t>
        </is>
      </c>
      <c r="D96" t="n">
        <v>3</v>
      </c>
      <c r="E96" t="inlineStr">
        <is>
          <t>Confusion</t>
        </is>
      </c>
      <c r="F96" s="28" t="n">
        <v>98.8</v>
      </c>
      <c r="G96" t="n">
        <v>92</v>
      </c>
      <c r="H96" t="n">
        <v>19</v>
      </c>
      <c r="I96" t="n">
        <v>154</v>
      </c>
      <c r="J96" t="n">
        <v>98</v>
      </c>
      <c r="K96" t="n">
        <v>0</v>
      </c>
      <c r="L96" t="inlineStr">
        <is>
          <t>Admitted</t>
        </is>
      </c>
      <c r="M96" s="27" t="n"/>
      <c r="N96" s="27" t="n"/>
      <c r="O96" s="27" t="n"/>
      <c r="P96" s="27" t="n"/>
      <c r="Q96" s="29" t="n"/>
      <c r="R96" s="27" t="n"/>
    </row>
    <row r="97">
      <c r="A97" t="inlineStr">
        <is>
          <t>ED211835</t>
        </is>
      </c>
      <c r="B97" s="26" t="n">
        <v>45999.40277777778</v>
      </c>
      <c r="C97" t="inlineStr">
        <is>
          <t>Walk-In</t>
        </is>
      </c>
      <c r="D97" t="n">
        <v>3</v>
      </c>
      <c r="E97" t="inlineStr">
        <is>
          <t>Headache</t>
        </is>
      </c>
      <c r="F97" s="28" t="n">
        <v>98.5</v>
      </c>
      <c r="G97" t="n">
        <v>79</v>
      </c>
      <c r="H97" t="n">
        <v>15</v>
      </c>
      <c r="I97" t="n">
        <v>153</v>
      </c>
      <c r="J97" t="n">
        <v>99</v>
      </c>
      <c r="K97" t="n">
        <v>5</v>
      </c>
      <c r="L97" t="inlineStr">
        <is>
          <t>Discharged</t>
        </is>
      </c>
      <c r="M97" s="27" t="n"/>
      <c r="N97" s="27" t="n"/>
      <c r="O97" s="27" t="n"/>
      <c r="P97" s="27" t="n"/>
      <c r="Q97" s="29" t="n"/>
      <c r="R97" s="27" t="n"/>
    </row>
    <row r="98">
      <c r="A98" t="inlineStr">
        <is>
          <t>ED211836</t>
        </is>
      </c>
      <c r="B98" s="26" t="n">
        <v>45999.40763888889</v>
      </c>
      <c r="C98" t="inlineStr">
        <is>
          <t>Walk-In</t>
        </is>
      </c>
      <c r="D98" t="n">
        <v>5</v>
      </c>
      <c r="E98" t="inlineStr">
        <is>
          <t>Cough / Fever</t>
        </is>
      </c>
      <c r="F98" s="28" t="n">
        <v>97.59999999999999</v>
      </c>
      <c r="G98" t="n">
        <v>77</v>
      </c>
      <c r="H98" t="n">
        <v>14</v>
      </c>
      <c r="I98" t="n">
        <v>116</v>
      </c>
      <c r="J98" t="n">
        <v>97</v>
      </c>
      <c r="K98" t="n">
        <v>0</v>
      </c>
      <c r="L98" t="inlineStr">
        <is>
          <t>Discharged</t>
        </is>
      </c>
      <c r="M98" s="27" t="n"/>
      <c r="N98" s="27" t="n"/>
      <c r="O98" s="27" t="n"/>
      <c r="P98" s="27" t="n"/>
      <c r="Q98" s="29" t="n"/>
      <c r="R98" s="27" t="n"/>
    </row>
    <row r="99">
      <c r="A99" t="inlineStr">
        <is>
          <t>ED211838</t>
        </is>
      </c>
      <c r="B99" s="26" t="n">
        <v>45999.47152777778</v>
      </c>
      <c r="C99" t="inlineStr">
        <is>
          <t>Walk-In</t>
        </is>
      </c>
      <c r="D99" t="n">
        <v>4</v>
      </c>
      <c r="E99" t="inlineStr">
        <is>
          <t>Ear Pain / Fever</t>
        </is>
      </c>
      <c r="F99" s="28" t="n">
        <v>99.59999999999999</v>
      </c>
      <c r="G99" t="n">
        <v>104</v>
      </c>
      <c r="H99" t="n">
        <v>32</v>
      </c>
      <c r="I99" t="n">
        <v>120</v>
      </c>
      <c r="J99" t="n">
        <v>97</v>
      </c>
      <c r="K99" t="n">
        <v>2</v>
      </c>
      <c r="L99" t="inlineStr">
        <is>
          <t>Discharged</t>
        </is>
      </c>
      <c r="M99" s="27" t="n"/>
      <c r="N99" s="27" t="n"/>
      <c r="O99" s="27" t="n"/>
      <c r="P99" s="27" t="n"/>
      <c r="Q99" s="29" t="n"/>
      <c r="R99" s="27" t="n"/>
    </row>
    <row r="100">
      <c r="A100" t="inlineStr">
        <is>
          <t>ED211839</t>
        </is>
      </c>
      <c r="B100" s="26" t="n">
        <v>45999.47569444445</v>
      </c>
      <c r="C100" t="inlineStr">
        <is>
          <t>Walk-In</t>
        </is>
      </c>
      <c r="D100" t="n">
        <v>2</v>
      </c>
      <c r="E100" t="inlineStr">
        <is>
          <t>Shortness of Breath</t>
        </is>
      </c>
      <c r="F100" s="28" t="n">
        <v>97.7</v>
      </c>
      <c r="G100" t="n">
        <v>119</v>
      </c>
      <c r="H100" t="n">
        <v>30</v>
      </c>
      <c r="I100" t="n">
        <v>119</v>
      </c>
      <c r="J100" t="n">
        <v>88</v>
      </c>
      <c r="K100" t="n">
        <v>1</v>
      </c>
      <c r="L100" t="inlineStr">
        <is>
          <t>Admitted</t>
        </is>
      </c>
      <c r="M100" s="27" t="n"/>
      <c r="N100" s="27" t="n"/>
      <c r="O100" s="27" t="n"/>
      <c r="P100" s="27" t="n"/>
      <c r="Q100" s="29" t="n"/>
      <c r="R100" s="27" t="n"/>
    </row>
    <row r="101">
      <c r="A101" t="inlineStr">
        <is>
          <t>ED211840</t>
        </is>
      </c>
      <c r="B101" s="26" t="n">
        <v>45999.51597222222</v>
      </c>
      <c r="C101" t="inlineStr">
        <is>
          <t>Walk-In</t>
        </is>
      </c>
      <c r="D101" t="n">
        <v>3</v>
      </c>
      <c r="E101" t="inlineStr">
        <is>
          <t>Skin Redness / Swelling</t>
        </is>
      </c>
      <c r="F101" s="28" t="n">
        <v>98.59999999999999</v>
      </c>
      <c r="G101" t="n">
        <v>83</v>
      </c>
      <c r="H101" t="n">
        <v>18</v>
      </c>
      <c r="I101" t="n">
        <v>155</v>
      </c>
      <c r="J101" t="n">
        <v>97</v>
      </c>
      <c r="K101" t="n">
        <v>0</v>
      </c>
      <c r="L101" t="inlineStr">
        <is>
          <t>Admitted</t>
        </is>
      </c>
      <c r="M101" s="27" t="n"/>
      <c r="N101" s="27" t="n"/>
      <c r="O101" s="27" t="n"/>
      <c r="P101" s="27" t="n"/>
      <c r="Q101" s="29" t="n"/>
      <c r="R101" s="27" t="n"/>
    </row>
    <row r="102">
      <c r="A102" t="inlineStr">
        <is>
          <t>ED211841</t>
        </is>
      </c>
      <c r="B102" s="26" t="n">
        <v>45999.53125</v>
      </c>
      <c r="C102" t="inlineStr">
        <is>
          <t>Walk-In</t>
        </is>
      </c>
      <c r="D102" t="n">
        <v>4</v>
      </c>
      <c r="E102" t="inlineStr">
        <is>
          <t>Cough / Fever</t>
        </is>
      </c>
      <c r="F102" s="28" t="n">
        <v>97.7</v>
      </c>
      <c r="G102" t="n">
        <v>80</v>
      </c>
      <c r="H102" t="n">
        <v>16</v>
      </c>
      <c r="I102" t="n">
        <v>143</v>
      </c>
      <c r="J102" t="n">
        <v>99</v>
      </c>
      <c r="K102" t="n">
        <v>3</v>
      </c>
      <c r="L102" t="inlineStr">
        <is>
          <t>Discharged</t>
        </is>
      </c>
      <c r="M102" s="27" t="n"/>
      <c r="N102" s="27" t="n"/>
      <c r="O102" s="27" t="n"/>
      <c r="P102" s="27" t="n"/>
      <c r="Q102" s="29" t="n"/>
      <c r="R102" s="27" t="n"/>
    </row>
    <row r="103">
      <c r="A103" t="inlineStr">
        <is>
          <t>ED211842</t>
        </is>
      </c>
      <c r="B103" s="26" t="n">
        <v>45999.54097222222</v>
      </c>
      <c r="C103" t="inlineStr">
        <is>
          <t>Walk-In</t>
        </is>
      </c>
      <c r="D103" t="n">
        <v>3</v>
      </c>
      <c r="E103" t="inlineStr">
        <is>
          <t>Cough / Fever</t>
        </is>
      </c>
      <c r="F103" s="28" t="n">
        <v>101.7</v>
      </c>
      <c r="G103" t="n">
        <v>106</v>
      </c>
      <c r="H103" t="n">
        <v>19</v>
      </c>
      <c r="I103" t="n">
        <v>158</v>
      </c>
      <c r="J103" t="n">
        <v>91</v>
      </c>
      <c r="K103" t="n">
        <v>1</v>
      </c>
      <c r="L103" t="inlineStr">
        <is>
          <t>Admitted</t>
        </is>
      </c>
      <c r="M103" s="27" t="n"/>
      <c r="N103" s="27" t="n"/>
      <c r="O103" s="27" t="n"/>
      <c r="P103" s="27" t="n"/>
      <c r="Q103" s="29" t="n"/>
      <c r="R103" s="27" t="n"/>
    </row>
    <row r="104">
      <c r="A104" t="inlineStr">
        <is>
          <t>ED211843</t>
        </is>
      </c>
      <c r="B104" s="26" t="n">
        <v>45999.55277777778</v>
      </c>
      <c r="C104" t="inlineStr">
        <is>
          <t>Ambulance</t>
        </is>
      </c>
      <c r="D104" t="n">
        <v>2</v>
      </c>
      <c r="E104" t="inlineStr">
        <is>
          <t>Seizure</t>
        </is>
      </c>
      <c r="F104" s="28" t="n">
        <v>98.2</v>
      </c>
      <c r="G104" t="n">
        <v>88</v>
      </c>
      <c r="H104" t="n">
        <v>15</v>
      </c>
      <c r="I104" t="n">
        <v>158</v>
      </c>
      <c r="J104" t="n">
        <v>98</v>
      </c>
      <c r="K104" t="n">
        <v>3</v>
      </c>
      <c r="L104" t="inlineStr">
        <is>
          <t>Discharged</t>
        </is>
      </c>
      <c r="M104" s="27" t="n"/>
      <c r="N104" s="27" t="n"/>
      <c r="O104" s="27" t="n"/>
      <c r="P104" s="27" t="n"/>
      <c r="Q104" s="29" t="n"/>
      <c r="R104" s="27" t="n"/>
    </row>
    <row r="105">
      <c r="A105" t="inlineStr">
        <is>
          <t>ED211844</t>
        </is>
      </c>
      <c r="B105" s="26" t="n">
        <v>45999.56041666667</v>
      </c>
      <c r="C105" t="inlineStr">
        <is>
          <t>Ambulance</t>
        </is>
      </c>
      <c r="D105" t="n">
        <v>2</v>
      </c>
      <c r="E105" t="inlineStr">
        <is>
          <t>Chest Pain</t>
        </is>
      </c>
      <c r="F105" s="28" t="n">
        <v>98.40000000000001</v>
      </c>
      <c r="G105" t="n">
        <v>82</v>
      </c>
      <c r="H105" t="n">
        <v>17</v>
      </c>
      <c r="I105" t="n">
        <v>185</v>
      </c>
      <c r="J105" t="n">
        <v>98</v>
      </c>
      <c r="K105" t="n">
        <v>4</v>
      </c>
      <c r="L105" t="inlineStr">
        <is>
          <t>Observation</t>
        </is>
      </c>
      <c r="M105" s="27" t="n"/>
      <c r="N105" s="27" t="n"/>
      <c r="O105" s="27" t="n"/>
      <c r="P105" s="27" t="n"/>
      <c r="Q105" s="29" t="n"/>
      <c r="R105" s="27" t="n"/>
    </row>
    <row r="106">
      <c r="A106" t="inlineStr">
        <is>
          <t>ED211845</t>
        </is>
      </c>
      <c r="B106" s="26" t="n">
        <v>45999.58819444444</v>
      </c>
      <c r="C106" t="inlineStr">
        <is>
          <t>Walk-In</t>
        </is>
      </c>
      <c r="D106" t="n">
        <v>5</v>
      </c>
      <c r="E106" t="inlineStr">
        <is>
          <t>Ear Pain / Fever</t>
        </is>
      </c>
      <c r="F106" s="28" t="n">
        <v>101.2</v>
      </c>
      <c r="G106" t="n">
        <v>93</v>
      </c>
      <c r="H106" t="n">
        <v>23</v>
      </c>
      <c r="I106" t="n">
        <v>98</v>
      </c>
      <c r="J106" t="n">
        <v>98</v>
      </c>
      <c r="K106" t="n">
        <v>0</v>
      </c>
      <c r="L106" t="inlineStr">
        <is>
          <t>Discharged</t>
        </is>
      </c>
      <c r="M106" s="27" t="n"/>
      <c r="N106" s="27" t="n"/>
      <c r="O106" s="27" t="n"/>
      <c r="P106" s="27" t="n"/>
      <c r="Q106" s="29" t="n"/>
      <c r="R106" s="27" t="n"/>
    </row>
    <row r="107">
      <c r="A107" t="inlineStr">
        <is>
          <t>ED211847</t>
        </is>
      </c>
      <c r="B107" s="26" t="n">
        <v>45999.60138888889</v>
      </c>
      <c r="C107" t="inlineStr">
        <is>
          <t>Walk-In</t>
        </is>
      </c>
      <c r="D107" t="n">
        <v>3</v>
      </c>
      <c r="E107" t="inlineStr">
        <is>
          <t>Rash</t>
        </is>
      </c>
      <c r="F107" s="28" t="n">
        <v>98.3</v>
      </c>
      <c r="G107" t="n">
        <v>114</v>
      </c>
      <c r="H107" t="n">
        <v>14</v>
      </c>
      <c r="I107" t="n">
        <v>131</v>
      </c>
      <c r="J107" t="n">
        <v>97</v>
      </c>
      <c r="K107" t="n">
        <v>6</v>
      </c>
      <c r="L107" t="inlineStr">
        <is>
          <t>Discharged</t>
        </is>
      </c>
      <c r="M107" s="27" t="n"/>
      <c r="N107" s="27" t="n"/>
      <c r="O107" s="27" t="n"/>
      <c r="P107" s="27" t="n"/>
      <c r="Q107" s="29" t="n"/>
      <c r="R107" s="27" t="n"/>
    </row>
    <row r="108">
      <c r="A108" t="inlineStr">
        <is>
          <t>ED211848</t>
        </is>
      </c>
      <c r="B108" s="26" t="n">
        <v>45999.60694444444</v>
      </c>
      <c r="C108" t="inlineStr">
        <is>
          <t>Walk-In</t>
        </is>
      </c>
      <c r="D108" t="n">
        <v>3</v>
      </c>
      <c r="E108" t="inlineStr">
        <is>
          <t>Cough / Trouble Breathing</t>
        </is>
      </c>
      <c r="F108" s="28" t="n">
        <v>98.40000000000001</v>
      </c>
      <c r="G108" t="n">
        <v>117</v>
      </c>
      <c r="H108" t="n">
        <v>45</v>
      </c>
      <c r="I108" t="n">
        <v>108</v>
      </c>
      <c r="J108" t="n">
        <v>91</v>
      </c>
      <c r="K108" t="n">
        <v>0</v>
      </c>
      <c r="L108" t="inlineStr">
        <is>
          <t>Discharged</t>
        </is>
      </c>
      <c r="M108" s="27" t="n"/>
      <c r="N108" s="27" t="n"/>
      <c r="O108" s="27" t="n"/>
      <c r="P108" s="27" t="n"/>
      <c r="Q108" s="29" t="n"/>
      <c r="R108" s="27" t="n"/>
    </row>
    <row r="109">
      <c r="A109" t="inlineStr">
        <is>
          <t>ED211850</t>
        </is>
      </c>
      <c r="B109" s="26" t="n">
        <v>45999.61388888889</v>
      </c>
      <c r="C109" t="inlineStr">
        <is>
          <t>Walk-In</t>
        </is>
      </c>
      <c r="D109" t="n">
        <v>3</v>
      </c>
      <c r="E109" t="inlineStr">
        <is>
          <t>Chest Pain</t>
        </is>
      </c>
      <c r="F109" s="28" t="n">
        <v>97.90000000000001</v>
      </c>
      <c r="G109" t="n">
        <v>94</v>
      </c>
      <c r="H109" t="n">
        <v>17</v>
      </c>
      <c r="I109" t="n">
        <v>163</v>
      </c>
      <c r="J109" t="n">
        <v>99</v>
      </c>
      <c r="K109" t="n">
        <v>6</v>
      </c>
      <c r="L109" t="inlineStr">
        <is>
          <t>Discharged</t>
        </is>
      </c>
      <c r="M109" s="27" t="n"/>
      <c r="N109" s="27" t="n"/>
      <c r="O109" s="27" t="n"/>
      <c r="P109" s="27" t="n"/>
      <c r="Q109" s="29" t="n"/>
      <c r="R109" s="27" t="n"/>
    </row>
    <row r="110">
      <c r="A110" t="inlineStr">
        <is>
          <t>ED211851</t>
        </is>
      </c>
      <c r="B110" s="26" t="n">
        <v>45999.68055555555</v>
      </c>
      <c r="C110" t="inlineStr">
        <is>
          <t>Walk-In</t>
        </is>
      </c>
      <c r="D110" t="n">
        <v>4</v>
      </c>
      <c r="E110" t="inlineStr">
        <is>
          <t>Anxiety / Palpitations</t>
        </is>
      </c>
      <c r="F110" s="28" t="n">
        <v>99.09999999999999</v>
      </c>
      <c r="G110" t="n">
        <v>66</v>
      </c>
      <c r="H110" t="n">
        <v>15</v>
      </c>
      <c r="I110" t="n">
        <v>132</v>
      </c>
      <c r="J110" t="n">
        <v>97</v>
      </c>
      <c r="K110" t="n">
        <v>0</v>
      </c>
      <c r="L110" t="inlineStr">
        <is>
          <t>Discharged</t>
        </is>
      </c>
      <c r="M110" s="27" t="n"/>
      <c r="N110" s="27" t="n"/>
      <c r="O110" s="27" t="n"/>
      <c r="P110" s="27" t="n"/>
      <c r="Q110" s="29" t="n"/>
      <c r="R110" s="27" t="n"/>
    </row>
    <row r="111">
      <c r="A111" t="inlineStr">
        <is>
          <t>ED211852</t>
        </is>
      </c>
      <c r="B111" s="26" t="n">
        <v>45999.72291666667</v>
      </c>
      <c r="C111" t="inlineStr">
        <is>
          <t>Ambulance</t>
        </is>
      </c>
      <c r="D111" t="n">
        <v>2</v>
      </c>
      <c r="E111" t="inlineStr">
        <is>
          <t>Chest Pain</t>
        </is>
      </c>
      <c r="F111" s="28" t="n">
        <v>97.8</v>
      </c>
      <c r="G111" t="n">
        <v>91</v>
      </c>
      <c r="H111" t="n">
        <v>17</v>
      </c>
      <c r="I111" t="n">
        <v>140</v>
      </c>
      <c r="J111" t="n">
        <v>97</v>
      </c>
      <c r="K111" t="n">
        <v>9</v>
      </c>
      <c r="L111" t="inlineStr">
        <is>
          <t>Observation</t>
        </is>
      </c>
      <c r="M111" s="27" t="n"/>
      <c r="N111" s="27" t="n"/>
      <c r="O111" s="27" t="n"/>
      <c r="P111" s="27" t="n"/>
      <c r="Q111" s="29" t="n"/>
      <c r="R111" s="27" t="n"/>
    </row>
    <row r="112">
      <c r="A112" t="inlineStr">
        <is>
          <t>ED211853</t>
        </is>
      </c>
      <c r="B112" s="26" t="n">
        <v>45999.80069444444</v>
      </c>
      <c r="C112" t="inlineStr">
        <is>
          <t>Walk-In</t>
        </is>
      </c>
      <c r="D112" t="n">
        <v>4</v>
      </c>
      <c r="E112" t="inlineStr">
        <is>
          <t>Vomiting / Dizziness</t>
        </is>
      </c>
      <c r="F112" s="28" t="n">
        <v>98.09999999999999</v>
      </c>
      <c r="G112" t="n">
        <v>109</v>
      </c>
      <c r="H112" t="n">
        <v>13</v>
      </c>
      <c r="I112" t="n">
        <v>134</v>
      </c>
      <c r="J112" t="n">
        <v>98</v>
      </c>
      <c r="K112" t="n">
        <v>3</v>
      </c>
      <c r="L112" t="inlineStr">
        <is>
          <t>Discharged</t>
        </is>
      </c>
      <c r="M112" s="27" t="n"/>
      <c r="N112" s="27" t="n"/>
      <c r="O112" s="27" t="n"/>
      <c r="P112" s="27" t="n"/>
      <c r="Q112" s="29" t="n"/>
      <c r="R112" s="27" t="n"/>
    </row>
    <row r="113">
      <c r="A113" t="inlineStr">
        <is>
          <t>ED211854</t>
        </is>
      </c>
      <c r="B113" s="26" t="n">
        <v>45999.82708333333</v>
      </c>
      <c r="C113" t="inlineStr">
        <is>
          <t>Walk-In</t>
        </is>
      </c>
      <c r="D113" t="n">
        <v>3</v>
      </c>
      <c r="E113" t="inlineStr">
        <is>
          <t>Painful Urination / Fever</t>
        </is>
      </c>
      <c r="F113" s="28" t="n">
        <v>100.6</v>
      </c>
      <c r="G113" t="n">
        <v>84</v>
      </c>
      <c r="H113" t="n">
        <v>11</v>
      </c>
      <c r="I113" t="n">
        <v>129</v>
      </c>
      <c r="J113" t="n">
        <v>96</v>
      </c>
      <c r="K113" t="n">
        <v>3</v>
      </c>
      <c r="L113" t="inlineStr">
        <is>
          <t>Discharged</t>
        </is>
      </c>
      <c r="M113" s="27" t="n"/>
      <c r="N113" s="27" t="n"/>
      <c r="O113" s="27" t="n"/>
      <c r="P113" s="27" t="n"/>
      <c r="Q113" s="29" t="n"/>
      <c r="R113" s="27" t="n"/>
    </row>
    <row r="114">
      <c r="A114" t="inlineStr">
        <is>
          <t>ED211855</t>
        </is>
      </c>
      <c r="B114" s="26" t="n">
        <v>45999.84583333333</v>
      </c>
      <c r="C114" t="inlineStr">
        <is>
          <t>Walk-In</t>
        </is>
      </c>
      <c r="D114" t="n">
        <v>2</v>
      </c>
      <c r="E114" t="inlineStr">
        <is>
          <t>Shortness of Breath</t>
        </is>
      </c>
      <c r="F114" s="28" t="n">
        <v>98.7</v>
      </c>
      <c r="G114" t="n">
        <v>91</v>
      </c>
      <c r="H114" t="n">
        <v>30</v>
      </c>
      <c r="I114" t="n">
        <v>135</v>
      </c>
      <c r="J114" t="n">
        <v>87</v>
      </c>
      <c r="K114" t="n">
        <v>0</v>
      </c>
      <c r="L114" t="inlineStr">
        <is>
          <t>Admitted</t>
        </is>
      </c>
      <c r="M114" s="27" t="n"/>
      <c r="N114" s="27" t="n"/>
      <c r="O114" s="27" t="n"/>
      <c r="P114" s="27" t="n"/>
      <c r="Q114" s="29" t="n"/>
      <c r="R114" s="27" t="n"/>
    </row>
    <row r="115">
      <c r="A115" t="inlineStr">
        <is>
          <t>ED211857</t>
        </is>
      </c>
      <c r="B115" s="26" t="n">
        <v>45999.88263888889</v>
      </c>
      <c r="C115" t="inlineStr">
        <is>
          <t>Walk-In</t>
        </is>
      </c>
      <c r="D115" t="n">
        <v>2</v>
      </c>
      <c r="E115" t="inlineStr">
        <is>
          <t>Depression / Suicidal Thoughts</t>
        </is>
      </c>
      <c r="F115" s="28" t="n">
        <v>98.8</v>
      </c>
      <c r="G115" t="n">
        <v>90</v>
      </c>
      <c r="H115" t="n">
        <v>11</v>
      </c>
      <c r="I115" t="n">
        <v>121</v>
      </c>
      <c r="J115" t="n">
        <v>95</v>
      </c>
      <c r="K115" t="n">
        <v>1</v>
      </c>
      <c r="L115" t="inlineStr">
        <is>
          <t>Discharged</t>
        </is>
      </c>
      <c r="M115" s="27" t="n"/>
      <c r="N115" s="27" t="n"/>
      <c r="O115" s="27" t="n"/>
      <c r="P115" s="27" t="n"/>
      <c r="Q115" s="29" t="n"/>
      <c r="R115" s="27" t="n"/>
    </row>
    <row r="116">
      <c r="A116" t="inlineStr">
        <is>
          <t>ED211859</t>
        </is>
      </c>
      <c r="B116" s="26" t="n">
        <v>45999.99722222222</v>
      </c>
      <c r="C116" t="inlineStr">
        <is>
          <t>Walk-In</t>
        </is>
      </c>
      <c r="D116" t="n">
        <v>4</v>
      </c>
      <c r="E116" t="inlineStr">
        <is>
          <t>Ear Pain / Fever</t>
        </is>
      </c>
      <c r="F116" s="28" t="n">
        <v>100.5</v>
      </c>
      <c r="G116" t="n">
        <v>65</v>
      </c>
      <c r="H116" t="n">
        <v>23</v>
      </c>
      <c r="I116" t="n">
        <v>106</v>
      </c>
      <c r="J116" t="n">
        <v>97</v>
      </c>
      <c r="K116" t="n">
        <v>0</v>
      </c>
      <c r="L116" t="inlineStr">
        <is>
          <t>Discharged</t>
        </is>
      </c>
      <c r="M116" s="27" t="n"/>
      <c r="N116" s="27" t="n"/>
      <c r="O116" s="27" t="n"/>
      <c r="P116" s="27" t="n"/>
      <c r="Q116" s="29" t="n"/>
      <c r="R116" s="27" t="n"/>
    </row>
    <row r="117">
      <c r="A117" t="inlineStr">
        <is>
          <t>ED211861</t>
        </is>
      </c>
      <c r="B117" s="26" t="n">
        <v>46000.12013888889</v>
      </c>
      <c r="C117" t="inlineStr">
        <is>
          <t>Ambulance</t>
        </is>
      </c>
      <c r="D117" t="n">
        <v>2</v>
      </c>
      <c r="E117" t="inlineStr">
        <is>
          <t>Cough / Fever</t>
        </is>
      </c>
      <c r="F117" s="28" t="n">
        <v>100.7</v>
      </c>
      <c r="G117" t="n">
        <v>113</v>
      </c>
      <c r="H117" t="n">
        <v>26</v>
      </c>
      <c r="I117" t="n">
        <v>146</v>
      </c>
      <c r="J117" t="n">
        <v>97</v>
      </c>
      <c r="K117" t="n">
        <v>3</v>
      </c>
      <c r="L117" t="inlineStr">
        <is>
          <t>Discharged</t>
        </is>
      </c>
      <c r="M117" s="27" t="n"/>
      <c r="N117" s="27" t="n"/>
      <c r="O117" s="27" t="n"/>
      <c r="P117" s="27" t="n"/>
      <c r="Q117" s="29" t="n"/>
      <c r="R117" s="27" t="n"/>
    </row>
    <row r="118">
      <c r="A118" t="inlineStr">
        <is>
          <t>ED211862</t>
        </is>
      </c>
      <c r="B118" s="26" t="n">
        <v>46000.2125</v>
      </c>
      <c r="C118" t="inlineStr">
        <is>
          <t>Walk-In</t>
        </is>
      </c>
      <c r="D118" t="n">
        <v>3</v>
      </c>
      <c r="E118" t="inlineStr">
        <is>
          <t>Cough / Fever</t>
        </is>
      </c>
      <c r="F118" s="28" t="n">
        <v>101.4</v>
      </c>
      <c r="G118" t="n">
        <v>92</v>
      </c>
      <c r="H118" t="n">
        <v>25</v>
      </c>
      <c r="I118" t="n">
        <v>113</v>
      </c>
      <c r="J118" t="n">
        <v>86</v>
      </c>
      <c r="K118" t="n">
        <v>0</v>
      </c>
      <c r="L118" t="inlineStr">
        <is>
          <t>Observation</t>
        </is>
      </c>
      <c r="M118" s="27" t="n"/>
      <c r="N118" s="27" t="n"/>
      <c r="O118" s="27" t="n"/>
      <c r="P118" s="27" t="n"/>
      <c r="Q118" s="29" t="n"/>
      <c r="R118" s="27" t="n"/>
    </row>
    <row r="119">
      <c r="A119" t="inlineStr">
        <is>
          <t>ED211863</t>
        </is>
      </c>
      <c r="B119" s="26" t="n">
        <v>46000.36597222222</v>
      </c>
      <c r="C119" t="inlineStr">
        <is>
          <t>Walk-In</t>
        </is>
      </c>
      <c r="D119" t="n">
        <v>2</v>
      </c>
      <c r="E119" t="inlineStr">
        <is>
          <t>Nausea</t>
        </is>
      </c>
      <c r="F119" s="28" t="n">
        <v>103.1</v>
      </c>
      <c r="G119" t="n">
        <v>132</v>
      </c>
      <c r="H119" t="n">
        <v>26</v>
      </c>
      <c r="I119" t="n">
        <v>97</v>
      </c>
      <c r="J119" t="n">
        <v>94</v>
      </c>
      <c r="K119" t="n">
        <v>0</v>
      </c>
      <c r="L119" t="inlineStr">
        <is>
          <t>Admitted</t>
        </is>
      </c>
      <c r="M119" s="27" t="n"/>
      <c r="N119" s="27" t="n"/>
      <c r="O119" s="27" t="n"/>
      <c r="P119" s="27" t="n"/>
      <c r="Q119" s="29" t="n"/>
      <c r="R119" s="27" t="n"/>
    </row>
    <row r="120">
      <c r="A120" t="inlineStr">
        <is>
          <t>ED211865</t>
        </is>
      </c>
      <c r="B120" s="26" t="n">
        <v>46000.39861111111</v>
      </c>
      <c r="C120" t="inlineStr">
        <is>
          <t>Walk-In</t>
        </is>
      </c>
      <c r="D120" t="n">
        <v>4</v>
      </c>
      <c r="E120" t="inlineStr">
        <is>
          <t>Anxiety / Palpitations</t>
        </is>
      </c>
      <c r="F120" s="28" t="n">
        <v>98.3</v>
      </c>
      <c r="G120" t="n">
        <v>100</v>
      </c>
      <c r="H120" t="n">
        <v>16</v>
      </c>
      <c r="I120" t="n">
        <v>151</v>
      </c>
      <c r="J120" t="n">
        <v>99</v>
      </c>
      <c r="K120" t="n">
        <v>0</v>
      </c>
      <c r="L120" t="inlineStr">
        <is>
          <t>Observation</t>
        </is>
      </c>
      <c r="M120" s="27" t="n"/>
      <c r="N120" s="27" t="n"/>
      <c r="O120" s="27" t="n"/>
      <c r="P120" s="27" t="n"/>
      <c r="Q120" s="29" t="n"/>
      <c r="R120" s="27" t="n"/>
    </row>
    <row r="121">
      <c r="A121" t="inlineStr">
        <is>
          <t>ED211867</t>
        </is>
      </c>
      <c r="B121" s="26" t="n">
        <v>46000.42708333334</v>
      </c>
      <c r="C121" t="inlineStr">
        <is>
          <t>Ambulance</t>
        </is>
      </c>
      <c r="D121" t="n">
        <v>2</v>
      </c>
      <c r="E121" t="inlineStr">
        <is>
          <t>Shortness of Breath</t>
        </is>
      </c>
      <c r="F121" s="28" t="n">
        <v>98.3</v>
      </c>
      <c r="G121" t="n">
        <v>99</v>
      </c>
      <c r="H121" t="n">
        <v>17</v>
      </c>
      <c r="I121" t="n">
        <v>133</v>
      </c>
      <c r="J121" t="n">
        <v>89</v>
      </c>
      <c r="K121" t="n">
        <v>2</v>
      </c>
      <c r="L121" t="inlineStr">
        <is>
          <t>Discharged</t>
        </is>
      </c>
      <c r="M121" s="27" t="n"/>
      <c r="N121" s="27" t="n"/>
      <c r="O121" s="27" t="n"/>
      <c r="P121" s="27" t="n"/>
      <c r="Q121" s="29" t="n"/>
      <c r="R121" s="27" t="n"/>
    </row>
    <row r="122">
      <c r="A122" t="inlineStr">
        <is>
          <t>ED211868</t>
        </is>
      </c>
      <c r="B122" s="26" t="n">
        <v>46000.42847222222</v>
      </c>
      <c r="C122" t="inlineStr">
        <is>
          <t>Walk-In</t>
        </is>
      </c>
      <c r="D122" t="n">
        <v>3</v>
      </c>
      <c r="E122" t="inlineStr">
        <is>
          <t>Vomiting / Dizziness</t>
        </is>
      </c>
      <c r="F122" s="28" t="n">
        <v>97.90000000000001</v>
      </c>
      <c r="G122" t="n">
        <v>90</v>
      </c>
      <c r="H122" t="n">
        <v>16</v>
      </c>
      <c r="I122" t="n">
        <v>128</v>
      </c>
      <c r="J122" t="n">
        <v>98</v>
      </c>
      <c r="K122" t="n">
        <v>2</v>
      </c>
      <c r="L122" t="inlineStr">
        <is>
          <t>Discharged</t>
        </is>
      </c>
      <c r="M122" s="27" t="n"/>
      <c r="N122" s="27" t="n"/>
      <c r="O122" s="27" t="n"/>
      <c r="P122" s="27" t="n"/>
      <c r="Q122" s="29" t="n"/>
      <c r="R122" s="27" t="n"/>
    </row>
    <row r="123">
      <c r="A123" t="inlineStr">
        <is>
          <t>ED211869</t>
        </is>
      </c>
      <c r="B123" s="26" t="n">
        <v>46000.45138888889</v>
      </c>
      <c r="C123" t="inlineStr">
        <is>
          <t>Walk-In</t>
        </is>
      </c>
      <c r="D123" t="n">
        <v>3</v>
      </c>
      <c r="E123" t="inlineStr">
        <is>
          <t>Painful Urination / Fever</t>
        </is>
      </c>
      <c r="F123" s="28" t="n">
        <v>100.5</v>
      </c>
      <c r="G123" t="n">
        <v>82</v>
      </c>
      <c r="H123" t="n">
        <v>16</v>
      </c>
      <c r="I123" t="n">
        <v>97</v>
      </c>
      <c r="J123" t="n">
        <v>98</v>
      </c>
      <c r="K123" t="n">
        <v>2</v>
      </c>
      <c r="L123" t="inlineStr">
        <is>
          <t>Discharged</t>
        </is>
      </c>
      <c r="M123" s="27" t="n"/>
      <c r="N123" s="27" t="n"/>
      <c r="O123" s="27" t="n"/>
      <c r="P123" s="27" t="n"/>
      <c r="Q123" s="29" t="n"/>
      <c r="R123" s="27" t="n"/>
    </row>
    <row r="124">
      <c r="A124" t="inlineStr">
        <is>
          <t>ED211870</t>
        </is>
      </c>
      <c r="B124" s="26" t="n">
        <v>46000.45277777778</v>
      </c>
      <c r="C124" t="inlineStr">
        <is>
          <t>Walk-In</t>
        </is>
      </c>
      <c r="D124" t="n">
        <v>2</v>
      </c>
      <c r="E124" t="inlineStr">
        <is>
          <t>Fever / Altered Mental Status</t>
        </is>
      </c>
      <c r="F124" s="28" t="n">
        <v>103.8</v>
      </c>
      <c r="G124" t="n">
        <v>142</v>
      </c>
      <c r="H124" t="n">
        <v>19</v>
      </c>
      <c r="J124" t="n">
        <v>96</v>
      </c>
      <c r="K124" t="n">
        <v>1</v>
      </c>
      <c r="L124" t="inlineStr">
        <is>
          <t>Admitted</t>
        </is>
      </c>
      <c r="M124" s="27" t="n"/>
      <c r="N124" s="27" t="n"/>
      <c r="O124" s="27" t="n"/>
      <c r="P124" s="27" t="n"/>
      <c r="Q124" s="29" t="n"/>
      <c r="R124" s="27" t="n"/>
    </row>
    <row r="125">
      <c r="A125" t="inlineStr">
        <is>
          <t>ED211871</t>
        </is>
      </c>
      <c r="B125" s="26" t="n">
        <v>46000.45347222222</v>
      </c>
      <c r="C125" t="inlineStr">
        <is>
          <t>Ambulance</t>
        </is>
      </c>
      <c r="D125" t="n">
        <v>3</v>
      </c>
      <c r="E125" t="inlineStr">
        <is>
          <t>Labor</t>
        </is>
      </c>
      <c r="F125" s="28" t="n">
        <v>99</v>
      </c>
      <c r="G125" t="n">
        <v>83</v>
      </c>
      <c r="H125" t="n">
        <v>17</v>
      </c>
      <c r="I125" t="n">
        <v>130</v>
      </c>
      <c r="J125" t="n">
        <v>97</v>
      </c>
      <c r="K125" t="n">
        <v>0</v>
      </c>
      <c r="L125" t="inlineStr">
        <is>
          <t>Admitted</t>
        </is>
      </c>
      <c r="M125" s="27" t="n"/>
      <c r="N125" s="27" t="n"/>
      <c r="O125" s="27" t="n"/>
      <c r="P125" s="27" t="n"/>
      <c r="Q125" s="29" t="n"/>
      <c r="R125" s="27" t="n"/>
    </row>
    <row r="126">
      <c r="A126" t="inlineStr">
        <is>
          <t>ED211872</t>
        </is>
      </c>
      <c r="B126" s="26" t="n">
        <v>46000.48402777778</v>
      </c>
      <c r="C126" t="inlineStr">
        <is>
          <t>Walk-In</t>
        </is>
      </c>
      <c r="D126" t="n">
        <v>3</v>
      </c>
      <c r="E126" t="inlineStr">
        <is>
          <t>Shortness of Breath</t>
        </is>
      </c>
      <c r="F126" s="28" t="n">
        <v>98.5</v>
      </c>
      <c r="G126" t="n">
        <v>99</v>
      </c>
      <c r="H126" t="n">
        <v>23</v>
      </c>
      <c r="I126" t="n">
        <v>126</v>
      </c>
      <c r="J126" t="n">
        <v>97</v>
      </c>
      <c r="K126" t="n">
        <v>1</v>
      </c>
      <c r="L126" t="inlineStr">
        <is>
          <t>Discharged</t>
        </is>
      </c>
      <c r="M126" s="27" t="n"/>
      <c r="N126" s="27" t="n"/>
      <c r="O126" s="27" t="n"/>
      <c r="P126" s="27" t="n"/>
      <c r="Q126" s="29" t="n"/>
      <c r="R126" s="27" t="n"/>
    </row>
    <row r="127">
      <c r="A127" t="inlineStr">
        <is>
          <t>ED211873</t>
        </is>
      </c>
      <c r="B127" s="26" t="n">
        <v>46000.53263888889</v>
      </c>
      <c r="C127" t="inlineStr">
        <is>
          <t>Walk-In</t>
        </is>
      </c>
      <c r="D127" t="n">
        <v>4</v>
      </c>
      <c r="E127" t="inlineStr">
        <is>
          <t>Headache</t>
        </is>
      </c>
      <c r="F127" s="28" t="n">
        <v>98</v>
      </c>
      <c r="G127" t="n">
        <v>90</v>
      </c>
      <c r="H127" t="n">
        <v>14</v>
      </c>
      <c r="I127" t="n">
        <v>129</v>
      </c>
      <c r="J127" t="n">
        <v>98</v>
      </c>
      <c r="K127" t="n">
        <v>7</v>
      </c>
      <c r="L127" t="inlineStr">
        <is>
          <t>Discharged</t>
        </is>
      </c>
      <c r="M127" s="27" t="n"/>
      <c r="N127" s="27" t="n"/>
      <c r="O127" s="27" t="n"/>
      <c r="P127" s="27" t="n"/>
      <c r="Q127" s="29" t="n"/>
      <c r="R127" s="27" t="n"/>
    </row>
    <row r="128">
      <c r="A128" t="inlineStr">
        <is>
          <t>ED211875</t>
        </is>
      </c>
      <c r="B128" s="26" t="n">
        <v>46000.62152777778</v>
      </c>
      <c r="C128" t="inlineStr">
        <is>
          <t>Walk-In</t>
        </is>
      </c>
      <c r="D128" t="n">
        <v>4</v>
      </c>
      <c r="E128" t="inlineStr">
        <is>
          <t>Vomiting / Dizziness</t>
        </is>
      </c>
      <c r="F128" s="28" t="n">
        <v>98.59999999999999</v>
      </c>
      <c r="G128" t="n">
        <v>111</v>
      </c>
      <c r="H128" t="n">
        <v>15</v>
      </c>
      <c r="I128" t="n">
        <v>130</v>
      </c>
      <c r="J128" t="n">
        <v>98</v>
      </c>
      <c r="K128" t="n">
        <v>0</v>
      </c>
      <c r="L128" t="inlineStr">
        <is>
          <t>Admitted</t>
        </is>
      </c>
      <c r="M128" s="27" t="n"/>
      <c r="N128" s="27" t="n"/>
      <c r="O128" s="27" t="n"/>
      <c r="P128" s="27" t="n"/>
      <c r="Q128" s="29" t="n"/>
      <c r="R128" s="27" t="n"/>
    </row>
    <row r="129">
      <c r="A129" t="inlineStr">
        <is>
          <t>ED211876</t>
        </is>
      </c>
      <c r="B129" s="26" t="n">
        <v>46000.65069444444</v>
      </c>
      <c r="C129" t="inlineStr">
        <is>
          <t>Walk-In</t>
        </is>
      </c>
      <c r="D129" t="n">
        <v>3</v>
      </c>
      <c r="E129" t="inlineStr">
        <is>
          <t>Cough / Trouble Breathing</t>
        </is>
      </c>
      <c r="F129" s="28" t="n">
        <v>98</v>
      </c>
      <c r="G129" t="n">
        <v>137</v>
      </c>
      <c r="H129" t="n">
        <v>28</v>
      </c>
      <c r="I129" t="n">
        <v>100</v>
      </c>
      <c r="J129" t="n">
        <v>86</v>
      </c>
      <c r="K129" t="n">
        <v>1</v>
      </c>
      <c r="L129" t="inlineStr">
        <is>
          <t>Discharged</t>
        </is>
      </c>
      <c r="M129" s="27" t="n"/>
      <c r="N129" s="27" t="n"/>
      <c r="O129" s="27" t="n"/>
      <c r="P129" s="27" t="n"/>
      <c r="Q129" s="29" t="n"/>
      <c r="R129" s="27" t="n"/>
    </row>
    <row r="130">
      <c r="A130" t="inlineStr">
        <is>
          <t>ED211877</t>
        </is>
      </c>
      <c r="B130" s="26" t="n">
        <v>46000.67916666667</v>
      </c>
      <c r="C130" t="inlineStr">
        <is>
          <t>Ambulance</t>
        </is>
      </c>
      <c r="D130" t="n">
        <v>2</v>
      </c>
      <c r="E130" t="inlineStr">
        <is>
          <t>Fever / Altered Mental Status</t>
        </is>
      </c>
      <c r="F130" s="28" t="n">
        <v>100.4</v>
      </c>
      <c r="G130" t="n">
        <v>115</v>
      </c>
      <c r="H130" t="n">
        <v>17</v>
      </c>
      <c r="I130" t="n">
        <v>113</v>
      </c>
      <c r="J130" t="n">
        <v>94</v>
      </c>
      <c r="K130" t="n">
        <v>0</v>
      </c>
      <c r="L130" t="inlineStr">
        <is>
          <t>Admitted</t>
        </is>
      </c>
      <c r="M130" s="27" t="n"/>
      <c r="N130" s="27" t="n"/>
      <c r="O130" s="27" t="n"/>
      <c r="P130" s="27" t="n"/>
      <c r="Q130" s="29" t="n"/>
      <c r="R130" s="27" t="n"/>
    </row>
    <row r="131">
      <c r="A131" t="inlineStr">
        <is>
          <t>ED211879</t>
        </is>
      </c>
      <c r="B131" s="26" t="n">
        <v>46000.70208333333</v>
      </c>
      <c r="C131" t="inlineStr">
        <is>
          <t>Walk-In</t>
        </is>
      </c>
      <c r="D131" t="n">
        <v>4</v>
      </c>
      <c r="E131" t="inlineStr">
        <is>
          <t>Abdominal Pain</t>
        </is>
      </c>
      <c r="F131" s="28" t="n">
        <v>98.8</v>
      </c>
      <c r="G131" t="n">
        <v>76</v>
      </c>
      <c r="H131" t="n">
        <v>13</v>
      </c>
      <c r="I131" t="n">
        <v>131</v>
      </c>
      <c r="J131" t="n">
        <v>97</v>
      </c>
      <c r="K131" t="n">
        <v>5</v>
      </c>
      <c r="L131" t="inlineStr">
        <is>
          <t>Discharged</t>
        </is>
      </c>
      <c r="M131" s="27" t="n"/>
      <c r="N131" s="27" t="n"/>
      <c r="O131" s="27" t="n"/>
      <c r="P131" s="27" t="n"/>
      <c r="Q131" s="29" t="n"/>
      <c r="R131" s="27" t="n"/>
    </row>
    <row r="132">
      <c r="A132" t="inlineStr">
        <is>
          <t>ED211880</t>
        </is>
      </c>
      <c r="B132" s="26" t="n">
        <v>46000.72013888889</v>
      </c>
      <c r="C132" t="inlineStr">
        <is>
          <t>Ambulance</t>
        </is>
      </c>
      <c r="D132" t="n">
        <v>2</v>
      </c>
      <c r="E132" t="inlineStr">
        <is>
          <t>Confusion</t>
        </is>
      </c>
      <c r="F132" s="28" t="n">
        <v>97.8</v>
      </c>
      <c r="G132" t="n">
        <v>74</v>
      </c>
      <c r="H132" t="n">
        <v>16</v>
      </c>
      <c r="I132" t="n">
        <v>118</v>
      </c>
      <c r="J132" t="n">
        <v>97</v>
      </c>
      <c r="K132" t="n">
        <v>0</v>
      </c>
      <c r="L132" t="inlineStr">
        <is>
          <t>Admitted</t>
        </is>
      </c>
      <c r="M132" s="27" t="n"/>
      <c r="N132" s="27" t="n"/>
      <c r="O132" s="27" t="n"/>
      <c r="P132" s="27" t="n"/>
      <c r="Q132" s="29" t="n"/>
      <c r="R132" s="27" t="n"/>
    </row>
    <row r="133">
      <c r="A133" t="inlineStr">
        <is>
          <t>ED211881</t>
        </is>
      </c>
      <c r="B133" s="26" t="n">
        <v>46000.72638888889</v>
      </c>
      <c r="C133" t="inlineStr">
        <is>
          <t>Ambulance</t>
        </is>
      </c>
      <c r="D133" t="n">
        <v>4</v>
      </c>
      <c r="E133" t="inlineStr">
        <is>
          <t>Skin Redness / Swelling</t>
        </is>
      </c>
      <c r="F133" s="28" t="n">
        <v>99</v>
      </c>
      <c r="G133" t="n">
        <v>95</v>
      </c>
      <c r="H133" t="n">
        <v>15</v>
      </c>
      <c r="I133" t="n">
        <v>153</v>
      </c>
      <c r="J133" t="n">
        <v>98</v>
      </c>
      <c r="K133" t="n">
        <v>3</v>
      </c>
      <c r="L133" t="inlineStr">
        <is>
          <t>Discharged</t>
        </is>
      </c>
      <c r="M133" s="27" t="n"/>
      <c r="N133" s="27" t="n"/>
      <c r="O133" s="27" t="n"/>
      <c r="P133" s="27" t="n"/>
      <c r="Q133" s="29" t="n"/>
      <c r="R133" s="27" t="n"/>
    </row>
    <row r="134">
      <c r="A134" t="inlineStr">
        <is>
          <t>ED211882</t>
        </is>
      </c>
      <c r="B134" s="26" t="n">
        <v>46000.74930555555</v>
      </c>
      <c r="C134" t="inlineStr">
        <is>
          <t>Walk-In</t>
        </is>
      </c>
      <c r="D134" t="n">
        <v>3</v>
      </c>
      <c r="E134" t="inlineStr">
        <is>
          <t>Abdominal Pain</t>
        </is>
      </c>
      <c r="F134" s="28" t="n">
        <v>98.3</v>
      </c>
      <c r="G134" t="n">
        <v>82</v>
      </c>
      <c r="H134" t="n">
        <v>16</v>
      </c>
      <c r="I134" t="n">
        <v>136</v>
      </c>
      <c r="J134" t="n">
        <v>98</v>
      </c>
      <c r="K134" t="n">
        <v>10</v>
      </c>
      <c r="L134" t="inlineStr">
        <is>
          <t>Discharged</t>
        </is>
      </c>
      <c r="M134" s="27" t="n"/>
      <c r="N134" s="27" t="n"/>
      <c r="O134" s="27" t="n"/>
      <c r="P134" s="27" t="n"/>
      <c r="Q134" s="29" t="n"/>
      <c r="R134" s="27" t="n"/>
    </row>
    <row r="135">
      <c r="A135" t="inlineStr">
        <is>
          <t>ED211884</t>
        </is>
      </c>
      <c r="B135" s="26" t="n">
        <v>46000.96041666667</v>
      </c>
      <c r="C135" t="inlineStr">
        <is>
          <t>Walk-In</t>
        </is>
      </c>
      <c r="D135" t="n">
        <v>3</v>
      </c>
      <c r="E135" t="inlineStr">
        <is>
          <t>Labor</t>
        </is>
      </c>
      <c r="F135" s="28" t="n">
        <v>98.3</v>
      </c>
      <c r="G135" t="n">
        <v>68</v>
      </c>
      <c r="H135" t="n">
        <v>17</v>
      </c>
      <c r="I135" t="n">
        <v>121</v>
      </c>
      <c r="J135" t="n">
        <v>96</v>
      </c>
      <c r="K135" t="n">
        <v>0</v>
      </c>
      <c r="L135" t="inlineStr">
        <is>
          <t>Admitted</t>
        </is>
      </c>
      <c r="M135" s="27" t="n"/>
      <c r="N135" s="27" t="n"/>
      <c r="O135" s="27" t="n"/>
      <c r="P135" s="27" t="n"/>
      <c r="Q135" s="29" t="n"/>
      <c r="R135" s="27" t="n"/>
    </row>
    <row r="136">
      <c r="A136" t="inlineStr">
        <is>
          <t>ED211885</t>
        </is>
      </c>
      <c r="B136" s="26" t="n">
        <v>46001.17777777778</v>
      </c>
      <c r="C136" t="inlineStr">
        <is>
          <t>Walk-In</t>
        </is>
      </c>
      <c r="D136" t="n">
        <v>3</v>
      </c>
      <c r="E136" t="inlineStr">
        <is>
          <t>Psychiatric Evaluation</t>
        </is>
      </c>
      <c r="F136" s="28" t="n">
        <v>97.90000000000001</v>
      </c>
      <c r="G136" t="n">
        <v>97</v>
      </c>
      <c r="H136" t="n">
        <v>14</v>
      </c>
      <c r="I136" t="n">
        <v>128</v>
      </c>
      <c r="J136" t="n">
        <v>96</v>
      </c>
      <c r="K136" t="n">
        <v>3</v>
      </c>
      <c r="L136" t="inlineStr">
        <is>
          <t>Admitted</t>
        </is>
      </c>
      <c r="M136" s="27" t="n"/>
      <c r="N136" s="27" t="n"/>
      <c r="O136" s="27" t="n"/>
      <c r="P136" s="27" t="n"/>
      <c r="Q136" s="29" t="n"/>
      <c r="R136" s="27" t="n"/>
    </row>
    <row r="137">
      <c r="A137" t="inlineStr">
        <is>
          <t>ED211889</t>
        </is>
      </c>
      <c r="B137" s="26" t="n">
        <v>46001.50972222222</v>
      </c>
      <c r="C137" t="inlineStr">
        <is>
          <t>Walk-In</t>
        </is>
      </c>
      <c r="D137" t="n">
        <v>4</v>
      </c>
      <c r="E137" t="inlineStr">
        <is>
          <t>Cough / Fever</t>
        </is>
      </c>
      <c r="F137" s="28" t="n">
        <v>102.6</v>
      </c>
      <c r="G137" t="n">
        <v>98</v>
      </c>
      <c r="H137" t="n">
        <v>26</v>
      </c>
      <c r="I137" t="n">
        <v>115</v>
      </c>
      <c r="J137" t="n">
        <v>89</v>
      </c>
      <c r="K137" t="n">
        <v>0</v>
      </c>
      <c r="L137" t="inlineStr">
        <is>
          <t>LWBS</t>
        </is>
      </c>
      <c r="M137" s="27" t="n"/>
      <c r="N137" s="27" t="n"/>
      <c r="O137" s="27" t="n"/>
      <c r="P137" s="27" t="n"/>
      <c r="Q137" s="29" t="n"/>
      <c r="R137" s="27" t="n"/>
    </row>
    <row r="138">
      <c r="A138" t="inlineStr">
        <is>
          <t>ED211890</t>
        </is>
      </c>
      <c r="B138" s="26" t="n">
        <v>46001.5625</v>
      </c>
      <c r="C138" t="inlineStr">
        <is>
          <t>Walk-In</t>
        </is>
      </c>
      <c r="D138" t="n">
        <v>4</v>
      </c>
      <c r="E138" t="inlineStr">
        <is>
          <t>Cough / Fever</t>
        </is>
      </c>
      <c r="F138" s="28" t="n">
        <v>98.3</v>
      </c>
      <c r="G138" t="n">
        <v>90</v>
      </c>
      <c r="H138" t="n">
        <v>16</v>
      </c>
      <c r="I138" t="n">
        <v>109</v>
      </c>
      <c r="J138" t="n">
        <v>97</v>
      </c>
      <c r="K138" t="n">
        <v>3</v>
      </c>
      <c r="L138" t="inlineStr">
        <is>
          <t>Discharged</t>
        </is>
      </c>
      <c r="M138" s="27" t="n"/>
      <c r="N138" s="27" t="n"/>
      <c r="O138" s="27" t="n"/>
      <c r="P138" s="27" t="n"/>
      <c r="Q138" s="29" t="n"/>
      <c r="R138" s="27" t="n"/>
    </row>
    <row r="139">
      <c r="A139" t="inlineStr">
        <is>
          <t>ED211892</t>
        </is>
      </c>
      <c r="B139" s="26" t="n">
        <v>46001.60763888889</v>
      </c>
      <c r="C139" t="inlineStr">
        <is>
          <t>Walk-In</t>
        </is>
      </c>
      <c r="D139" t="n">
        <v>3</v>
      </c>
      <c r="E139" t="inlineStr">
        <is>
          <t>Vomiting / Dizziness</t>
        </is>
      </c>
      <c r="F139" s="28" t="n">
        <v>98.3</v>
      </c>
      <c r="G139" t="n">
        <v>100</v>
      </c>
      <c r="H139" t="n">
        <v>15</v>
      </c>
      <c r="I139" t="n">
        <v>111</v>
      </c>
      <c r="J139" t="n">
        <v>96</v>
      </c>
      <c r="K139" t="n">
        <v>2</v>
      </c>
      <c r="L139" t="inlineStr">
        <is>
          <t>Admitted</t>
        </is>
      </c>
      <c r="M139" s="27" t="n"/>
      <c r="N139" s="27" t="n"/>
      <c r="O139" s="27" t="n"/>
      <c r="P139" s="27" t="n"/>
      <c r="Q139" s="29" t="n"/>
      <c r="R139" s="27" t="n"/>
    </row>
    <row r="140">
      <c r="A140" t="inlineStr">
        <is>
          <t>ED211895</t>
        </is>
      </c>
      <c r="B140" s="26" t="n">
        <v>46001.66319444445</v>
      </c>
      <c r="C140" t="inlineStr">
        <is>
          <t>Walk-In</t>
        </is>
      </c>
      <c r="D140" t="n">
        <v>4</v>
      </c>
      <c r="E140" t="inlineStr">
        <is>
          <t>Anxiety / Palpitations</t>
        </is>
      </c>
      <c r="F140" s="28" t="n">
        <v>98.3</v>
      </c>
      <c r="G140" t="n">
        <v>79</v>
      </c>
      <c r="H140" t="n">
        <v>14</v>
      </c>
      <c r="I140" t="n">
        <v>129</v>
      </c>
      <c r="J140" t="n">
        <v>98</v>
      </c>
      <c r="K140" t="n">
        <v>3</v>
      </c>
      <c r="L140" t="inlineStr">
        <is>
          <t>Discharged</t>
        </is>
      </c>
      <c r="M140" s="27" t="n"/>
      <c r="N140" s="27" t="n"/>
      <c r="O140" s="27" t="n"/>
      <c r="P140" s="27" t="n"/>
      <c r="Q140" s="29" t="n"/>
      <c r="R140" s="27" t="n"/>
    </row>
    <row r="141">
      <c r="A141" t="inlineStr">
        <is>
          <t>ED211896</t>
        </is>
      </c>
      <c r="B141" s="26" t="n">
        <v>46001.66736111111</v>
      </c>
      <c r="C141" t="inlineStr">
        <is>
          <t>Walk-In</t>
        </is>
      </c>
      <c r="D141" t="n">
        <v>3</v>
      </c>
      <c r="E141" t="inlineStr">
        <is>
          <t>Fainting</t>
        </is>
      </c>
      <c r="F141" s="28" t="n">
        <v>98.40000000000001</v>
      </c>
      <c r="G141" t="n">
        <v>85</v>
      </c>
      <c r="H141" t="n">
        <v>20</v>
      </c>
      <c r="I141" t="n">
        <v>136</v>
      </c>
      <c r="J141" t="n">
        <v>96</v>
      </c>
      <c r="K141" t="n">
        <v>0</v>
      </c>
      <c r="L141" t="inlineStr">
        <is>
          <t>Discharged</t>
        </is>
      </c>
      <c r="M141" s="27" t="n"/>
      <c r="N141" s="27" t="n"/>
      <c r="O141" s="27" t="n"/>
      <c r="P141" s="27" t="n"/>
      <c r="Q141" s="29" t="n"/>
      <c r="R141" s="27" t="n"/>
    </row>
    <row r="142">
      <c r="A142" t="inlineStr">
        <is>
          <t>ED211898</t>
        </is>
      </c>
      <c r="B142" s="26" t="n">
        <v>46001.68402777778</v>
      </c>
      <c r="C142" t="inlineStr">
        <is>
          <t>Walk-In</t>
        </is>
      </c>
      <c r="D142" t="n">
        <v>4</v>
      </c>
      <c r="E142" t="inlineStr">
        <is>
          <t>Headache</t>
        </is>
      </c>
      <c r="F142" s="28" t="n">
        <v>98.2</v>
      </c>
      <c r="G142" t="n">
        <v>78</v>
      </c>
      <c r="H142" t="n">
        <v>15</v>
      </c>
      <c r="I142" t="n">
        <v>117</v>
      </c>
      <c r="J142" t="n">
        <v>98</v>
      </c>
      <c r="K142" t="n">
        <v>9</v>
      </c>
      <c r="L142" t="inlineStr">
        <is>
          <t>Discharged</t>
        </is>
      </c>
      <c r="M142" s="27" t="n"/>
      <c r="N142" s="27" t="n"/>
      <c r="O142" s="27" t="n"/>
      <c r="P142" s="27" t="n"/>
      <c r="Q142" s="29" t="n"/>
      <c r="R142" s="27" t="n"/>
    </row>
    <row r="143">
      <c r="A143" t="inlineStr">
        <is>
          <t>ED211899</t>
        </is>
      </c>
      <c r="B143" s="26" t="n">
        <v>46001.7125</v>
      </c>
      <c r="C143" t="inlineStr">
        <is>
          <t>Walk-In</t>
        </is>
      </c>
      <c r="D143" t="n">
        <v>4</v>
      </c>
      <c r="E143" t="inlineStr">
        <is>
          <t>Back Pain</t>
        </is>
      </c>
      <c r="F143" s="28" t="n">
        <v>98.5</v>
      </c>
      <c r="G143" t="n">
        <v>71</v>
      </c>
      <c r="H143" t="n">
        <v>16</v>
      </c>
      <c r="I143" t="n">
        <v>136</v>
      </c>
      <c r="J143" t="n">
        <v>99</v>
      </c>
      <c r="K143" t="n">
        <v>8</v>
      </c>
      <c r="L143" t="inlineStr">
        <is>
          <t>LWBS</t>
        </is>
      </c>
      <c r="M143" s="27" t="n"/>
      <c r="N143" s="27" t="n"/>
      <c r="O143" s="27" t="n"/>
      <c r="P143" s="27" t="n"/>
      <c r="Q143" s="29" t="n"/>
      <c r="R143" s="27" t="n"/>
    </row>
    <row r="144">
      <c r="A144" t="inlineStr">
        <is>
          <t>ED211900</t>
        </is>
      </c>
      <c r="B144" s="26" t="n">
        <v>46001.81180555555</v>
      </c>
      <c r="C144" t="inlineStr">
        <is>
          <t>Walk-In</t>
        </is>
      </c>
      <c r="D144" t="n">
        <v>4</v>
      </c>
      <c r="E144" t="inlineStr">
        <is>
          <t>Ankle Injury</t>
        </is>
      </c>
      <c r="F144" s="28" t="n">
        <v>97.7</v>
      </c>
      <c r="G144" t="n">
        <v>89</v>
      </c>
      <c r="H144" t="n">
        <v>16</v>
      </c>
      <c r="I144" t="n">
        <v>126</v>
      </c>
      <c r="J144" t="n">
        <v>99</v>
      </c>
      <c r="K144" t="n">
        <v>7</v>
      </c>
      <c r="L144" t="inlineStr">
        <is>
          <t>Discharged</t>
        </is>
      </c>
      <c r="M144" s="27" t="n"/>
      <c r="N144" s="27" t="n"/>
      <c r="O144" s="27" t="n"/>
      <c r="P144" s="27" t="n"/>
      <c r="Q144" s="29" t="n"/>
      <c r="R144" s="27" t="n"/>
    </row>
    <row r="145">
      <c r="A145" t="inlineStr">
        <is>
          <t>ED211902</t>
        </is>
      </c>
      <c r="B145" s="26" t="n">
        <v>46001.82638888889</v>
      </c>
      <c r="C145" t="inlineStr">
        <is>
          <t>Walk-In</t>
        </is>
      </c>
      <c r="D145" t="n">
        <v>3</v>
      </c>
      <c r="E145" t="inlineStr">
        <is>
          <t>Shortness of Breath</t>
        </is>
      </c>
      <c r="F145" s="28" t="n">
        <v>97.8</v>
      </c>
      <c r="G145" t="n">
        <v>96</v>
      </c>
      <c r="H145" t="n">
        <v>21</v>
      </c>
      <c r="I145" t="n">
        <v>100</v>
      </c>
      <c r="J145" t="n">
        <v>98</v>
      </c>
      <c r="K145" t="n">
        <v>1</v>
      </c>
      <c r="L145" t="inlineStr">
        <is>
          <t>Admitted</t>
        </is>
      </c>
      <c r="M145" s="27" t="n"/>
      <c r="N145" s="27" t="n"/>
      <c r="O145" s="27" t="n"/>
      <c r="P145" s="27" t="n"/>
      <c r="Q145" s="29" t="n"/>
      <c r="R145" s="27" t="n"/>
    </row>
    <row r="146">
      <c r="A146" t="inlineStr">
        <is>
          <t>ED211903</t>
        </is>
      </c>
      <c r="B146" s="26" t="n">
        <v>46001.83472222222</v>
      </c>
      <c r="C146" t="inlineStr">
        <is>
          <t>Ambulance</t>
        </is>
      </c>
      <c r="D146" t="n">
        <v>1</v>
      </c>
      <c r="E146" t="inlineStr">
        <is>
          <t>Fever / Altered Mental Status</t>
        </is>
      </c>
      <c r="F146" s="28" t="n">
        <v>95.59999999999999</v>
      </c>
      <c r="G146" t="n">
        <v>108</v>
      </c>
      <c r="H146" t="n">
        <v>26</v>
      </c>
      <c r="I146" t="n">
        <v>110</v>
      </c>
      <c r="J146" t="n">
        <v>94</v>
      </c>
      <c r="K146" t="n">
        <v>1</v>
      </c>
      <c r="L146" t="inlineStr">
        <is>
          <t>Admitted</t>
        </is>
      </c>
      <c r="M146" s="27" t="n"/>
      <c r="N146" s="27" t="n"/>
      <c r="O146" s="27" t="n"/>
      <c r="P146" s="27" t="n"/>
      <c r="Q146" s="29" t="n"/>
      <c r="R146" s="27" t="n"/>
    </row>
    <row r="147">
      <c r="A147" t="inlineStr">
        <is>
          <t>ED211904</t>
        </is>
      </c>
      <c r="B147" s="26" t="n">
        <v>46001.93472222222</v>
      </c>
      <c r="C147" t="inlineStr">
        <is>
          <t>Walk-In</t>
        </is>
      </c>
      <c r="D147" t="n">
        <v>4</v>
      </c>
      <c r="E147" t="inlineStr">
        <is>
          <t>Cough / Fever</t>
        </is>
      </c>
      <c r="F147" s="28" t="n">
        <v>98.2</v>
      </c>
      <c r="G147" t="n">
        <v>84</v>
      </c>
      <c r="H147" t="n">
        <v>15</v>
      </c>
      <c r="I147" t="n">
        <v>151</v>
      </c>
      <c r="J147" t="n">
        <v>98</v>
      </c>
      <c r="K147" t="n">
        <v>0</v>
      </c>
      <c r="L147" t="inlineStr">
        <is>
          <t>Left AMA</t>
        </is>
      </c>
      <c r="M147" s="27" t="n"/>
      <c r="N147" s="27" t="n"/>
      <c r="O147" s="27" t="n"/>
      <c r="P147" s="27" t="n"/>
      <c r="Q147" s="29" t="n"/>
      <c r="R147" s="27" t="n"/>
    </row>
    <row r="148">
      <c r="A148" t="inlineStr">
        <is>
          <t>ED211906</t>
        </is>
      </c>
      <c r="B148" s="26" t="n">
        <v>46002.38333333333</v>
      </c>
      <c r="C148" t="inlineStr">
        <is>
          <t>Ambulance</t>
        </is>
      </c>
      <c r="D148" t="n">
        <v>1</v>
      </c>
      <c r="E148" t="inlineStr">
        <is>
          <t>Shortness of Breath</t>
        </is>
      </c>
      <c r="F148" s="28" t="n">
        <v>98.5</v>
      </c>
      <c r="G148" t="n">
        <v>101</v>
      </c>
      <c r="H148" t="n">
        <v>28</v>
      </c>
      <c r="I148" t="n">
        <v>87</v>
      </c>
      <c r="J148" t="n">
        <v>80</v>
      </c>
      <c r="K148" t="n">
        <v>0</v>
      </c>
      <c r="L148" t="inlineStr">
        <is>
          <t>Admitted</t>
        </is>
      </c>
      <c r="M148" s="27" t="n"/>
      <c r="N148" s="27" t="n"/>
      <c r="O148" s="27" t="n"/>
      <c r="P148" s="27" t="n"/>
      <c r="Q148" s="29" t="n"/>
      <c r="R148" s="27" t="n"/>
    </row>
    <row r="149">
      <c r="A149" t="inlineStr">
        <is>
          <t>ED211907</t>
        </is>
      </c>
      <c r="B149" s="26" t="n">
        <v>46002.39027777778</v>
      </c>
      <c r="C149" t="inlineStr">
        <is>
          <t>Walk-In</t>
        </is>
      </c>
      <c r="D149" t="n">
        <v>4</v>
      </c>
      <c r="E149" t="inlineStr">
        <is>
          <t>Fainting</t>
        </is>
      </c>
      <c r="F149" s="28" t="n">
        <v>98.2</v>
      </c>
      <c r="G149" t="n">
        <v>83</v>
      </c>
      <c r="H149" t="n">
        <v>17</v>
      </c>
      <c r="I149" t="n">
        <v>155</v>
      </c>
      <c r="J149" t="n">
        <v>98</v>
      </c>
      <c r="K149" t="n">
        <v>3</v>
      </c>
      <c r="L149" t="inlineStr">
        <is>
          <t>Discharged</t>
        </is>
      </c>
      <c r="M149" s="27" t="n"/>
      <c r="N149" s="27" t="n"/>
      <c r="O149" s="27" t="n"/>
      <c r="P149" s="27" t="n"/>
      <c r="Q149" s="29" t="n"/>
      <c r="R149" s="27" t="n"/>
    </row>
    <row r="150">
      <c r="A150" t="inlineStr">
        <is>
          <t>ED211910</t>
        </is>
      </c>
      <c r="B150" s="26" t="n">
        <v>46002.4625</v>
      </c>
      <c r="C150" t="inlineStr">
        <is>
          <t>Walk-In</t>
        </is>
      </c>
      <c r="D150" t="n">
        <v>4</v>
      </c>
      <c r="E150" t="inlineStr">
        <is>
          <t>Shortness of Breath</t>
        </is>
      </c>
      <c r="F150" s="28" t="n">
        <v>97.90000000000001</v>
      </c>
      <c r="G150" t="n">
        <v>105</v>
      </c>
      <c r="H150" t="n">
        <v>28</v>
      </c>
      <c r="I150" t="n">
        <v>130</v>
      </c>
      <c r="J150" t="n">
        <v>86</v>
      </c>
      <c r="K150" t="n">
        <v>0</v>
      </c>
      <c r="L150" t="inlineStr">
        <is>
          <t>Admitted</t>
        </is>
      </c>
      <c r="M150" s="27" t="n"/>
      <c r="N150" s="27" t="n"/>
      <c r="O150" s="27" t="n"/>
      <c r="P150" s="27" t="n"/>
      <c r="Q150" s="29" t="n"/>
      <c r="R150" s="27" t="n"/>
    </row>
    <row r="151">
      <c r="A151" t="inlineStr">
        <is>
          <t>ED211911</t>
        </is>
      </c>
      <c r="B151" s="26" t="n">
        <v>46002.55625</v>
      </c>
      <c r="C151" t="inlineStr">
        <is>
          <t>Walk-In</t>
        </is>
      </c>
      <c r="D151" t="n">
        <v>4</v>
      </c>
      <c r="E151" t="inlineStr">
        <is>
          <t>Painful Urination / Fever</t>
        </is>
      </c>
      <c r="F151" s="28" t="n">
        <v>100.6</v>
      </c>
      <c r="G151" t="n">
        <v>95</v>
      </c>
      <c r="H151" t="n">
        <v>16</v>
      </c>
      <c r="I151" t="n">
        <v>142</v>
      </c>
      <c r="J151" t="n">
        <v>99</v>
      </c>
      <c r="K151" t="n">
        <v>3</v>
      </c>
      <c r="L151" t="inlineStr">
        <is>
          <t>LWBS</t>
        </is>
      </c>
      <c r="M151" s="27" t="n"/>
      <c r="N151" s="27" t="n"/>
      <c r="O151" s="27" t="n"/>
      <c r="P151" s="27" t="n"/>
      <c r="Q151" s="29" t="n"/>
      <c r="R151" s="27" t="n"/>
    </row>
    <row r="152">
      <c r="A152" t="inlineStr">
        <is>
          <t>ED211912</t>
        </is>
      </c>
      <c r="B152" s="26" t="n">
        <v>46002.62569444445</v>
      </c>
      <c r="C152" t="inlineStr">
        <is>
          <t>Air Transport</t>
        </is>
      </c>
      <c r="D152" t="n">
        <v>1</v>
      </c>
      <c r="E152" t="inlineStr">
        <is>
          <t>Fever / Altered Mental Status</t>
        </is>
      </c>
      <c r="F152" s="28" t="n">
        <v>95.8</v>
      </c>
      <c r="G152" t="n">
        <v>122</v>
      </c>
      <c r="H152" t="n">
        <v>18</v>
      </c>
      <c r="I152" t="n">
        <v>101</v>
      </c>
      <c r="J152" t="n">
        <v>91</v>
      </c>
      <c r="K152" t="n">
        <v>0</v>
      </c>
      <c r="L152" t="inlineStr">
        <is>
          <t>Admitted</t>
        </is>
      </c>
      <c r="M152" s="27" t="n"/>
      <c r="N152" s="27" t="n"/>
      <c r="O152" s="27" t="n"/>
      <c r="P152" s="27" t="n"/>
      <c r="Q152" s="29" t="n"/>
      <c r="R152" s="27" t="n"/>
    </row>
    <row r="153">
      <c r="A153" t="inlineStr">
        <is>
          <t>ED211913</t>
        </is>
      </c>
      <c r="B153" s="26" t="n">
        <v>46002.65069444444</v>
      </c>
      <c r="C153" t="inlineStr">
        <is>
          <t>Walk-In</t>
        </is>
      </c>
      <c r="D153" t="n">
        <v>5</v>
      </c>
      <c r="E153" t="inlineStr">
        <is>
          <t>Ear Pain / Fever</t>
        </is>
      </c>
      <c r="F153" s="28" t="n">
        <v>98.3</v>
      </c>
      <c r="G153" t="n">
        <v>102</v>
      </c>
      <c r="H153" t="n">
        <v>20</v>
      </c>
      <c r="I153" t="n">
        <v>112</v>
      </c>
      <c r="J153" t="n">
        <v>98</v>
      </c>
      <c r="K153" t="n">
        <v>0</v>
      </c>
      <c r="L153" t="inlineStr">
        <is>
          <t>Discharged</t>
        </is>
      </c>
      <c r="M153" s="27" t="n"/>
      <c r="N153" s="27" t="n"/>
      <c r="O153" s="27" t="n"/>
      <c r="P153" s="27" t="n"/>
      <c r="Q153" s="29" t="n"/>
      <c r="R153" s="27" t="n"/>
    </row>
    <row r="154">
      <c r="A154" t="inlineStr">
        <is>
          <t>ED211914</t>
        </is>
      </c>
      <c r="B154" s="26" t="n">
        <v>46002.71736111111</v>
      </c>
      <c r="C154" t="inlineStr">
        <is>
          <t>Walk-In</t>
        </is>
      </c>
      <c r="D154" t="n">
        <v>4</v>
      </c>
      <c r="E154" t="inlineStr">
        <is>
          <t>Shortness of Breath</t>
        </is>
      </c>
      <c r="F154" s="28" t="n">
        <v>98.3</v>
      </c>
      <c r="G154" t="n">
        <v>82</v>
      </c>
      <c r="H154" t="n">
        <v>24</v>
      </c>
      <c r="I154" t="n">
        <v>121</v>
      </c>
      <c r="J154" t="n">
        <v>89</v>
      </c>
      <c r="K154" t="n">
        <v>0</v>
      </c>
      <c r="L154" t="inlineStr">
        <is>
          <t>Admitted</t>
        </is>
      </c>
      <c r="M154" s="27" t="n"/>
      <c r="N154" s="27" t="n"/>
      <c r="O154" s="27" t="n"/>
      <c r="P154" s="27" t="n"/>
      <c r="Q154" s="29" t="n"/>
      <c r="R154" s="27" t="n"/>
    </row>
    <row r="155">
      <c r="A155" t="inlineStr">
        <is>
          <t>ED211915</t>
        </is>
      </c>
      <c r="B155" s="26" t="n">
        <v>46002.73333333333</v>
      </c>
      <c r="C155" t="inlineStr">
        <is>
          <t>Walk-In</t>
        </is>
      </c>
      <c r="D155" t="n">
        <v>3</v>
      </c>
      <c r="E155" t="inlineStr">
        <is>
          <t>Skin Redness / Swelling</t>
        </is>
      </c>
      <c r="F155" s="28" t="n">
        <v>100</v>
      </c>
      <c r="G155" t="n">
        <v>80</v>
      </c>
      <c r="H155" t="n">
        <v>16</v>
      </c>
      <c r="I155" t="n">
        <v>131</v>
      </c>
      <c r="J155" t="n">
        <v>97</v>
      </c>
      <c r="K155" t="n">
        <v>0</v>
      </c>
      <c r="L155" t="inlineStr">
        <is>
          <t>Discharged</t>
        </is>
      </c>
      <c r="M155" s="27" t="n"/>
      <c r="N155" s="27" t="n"/>
      <c r="O155" s="27" t="n"/>
      <c r="P155" s="27" t="n"/>
      <c r="Q155" s="29" t="n"/>
      <c r="R155" s="27" t="n"/>
    </row>
    <row r="156">
      <c r="A156" t="inlineStr">
        <is>
          <t>ED211916</t>
        </is>
      </c>
      <c r="B156" s="26" t="n">
        <v>46002.84444444445</v>
      </c>
      <c r="C156" t="inlineStr">
        <is>
          <t>Ambulance</t>
        </is>
      </c>
      <c r="D156" t="n">
        <v>3</v>
      </c>
      <c r="E156" t="inlineStr">
        <is>
          <t>Shortness of Breath</t>
        </is>
      </c>
      <c r="F156" s="28" t="n">
        <v>98.3</v>
      </c>
      <c r="G156" t="n">
        <v>72</v>
      </c>
      <c r="H156" t="n">
        <v>21</v>
      </c>
      <c r="I156" t="n">
        <v>140</v>
      </c>
      <c r="J156" t="n">
        <v>96</v>
      </c>
      <c r="K156" t="n">
        <v>3</v>
      </c>
      <c r="L156" t="inlineStr">
        <is>
          <t>Discharged</t>
        </is>
      </c>
      <c r="M156" s="27" t="n"/>
      <c r="N156" s="27" t="n"/>
      <c r="O156" s="27" t="n"/>
      <c r="P156" s="27" t="n"/>
      <c r="Q156" s="29" t="n"/>
      <c r="R156" s="27" t="n"/>
    </row>
    <row r="157">
      <c r="A157" t="inlineStr">
        <is>
          <t>ED211917</t>
        </is>
      </c>
      <c r="B157" s="26" t="n">
        <v>46002.90555555555</v>
      </c>
      <c r="C157" t="inlineStr">
        <is>
          <t>Walk-In</t>
        </is>
      </c>
      <c r="D157" t="n">
        <v>3</v>
      </c>
      <c r="E157" t="inlineStr">
        <is>
          <t>Skin Redness / Swelling</t>
        </is>
      </c>
      <c r="F157" s="28" t="n">
        <v>100.5</v>
      </c>
      <c r="G157" t="n">
        <v>90</v>
      </c>
      <c r="H157" t="n">
        <v>15</v>
      </c>
      <c r="I157" t="n">
        <v>138</v>
      </c>
      <c r="J157" t="n">
        <v>97</v>
      </c>
      <c r="K157" t="n">
        <v>0</v>
      </c>
      <c r="L157" t="inlineStr">
        <is>
          <t>Admitted</t>
        </is>
      </c>
      <c r="M157" s="27" t="n"/>
      <c r="N157" s="27" t="n"/>
      <c r="O157" s="27" t="n"/>
      <c r="P157" s="27" t="n"/>
      <c r="Q157" s="29" t="n"/>
      <c r="R157" s="27" t="n"/>
    </row>
    <row r="158">
      <c r="A158" t="inlineStr">
        <is>
          <t>ED211920</t>
        </is>
      </c>
      <c r="B158" s="26" t="n">
        <v>46003.33819444444</v>
      </c>
      <c r="C158" t="inlineStr">
        <is>
          <t>Ambulance</t>
        </is>
      </c>
      <c r="D158" t="n">
        <v>3</v>
      </c>
      <c r="E158" t="inlineStr">
        <is>
          <t>Chest Pain</t>
        </is>
      </c>
      <c r="F158" s="28" t="n">
        <v>98.8</v>
      </c>
      <c r="G158" t="n">
        <v>93</v>
      </c>
      <c r="H158" t="n">
        <v>23</v>
      </c>
      <c r="I158" t="n">
        <v>164</v>
      </c>
      <c r="J158" t="n">
        <v>98</v>
      </c>
      <c r="K158" t="n">
        <v>6</v>
      </c>
      <c r="L158" t="inlineStr">
        <is>
          <t>Discharged</t>
        </is>
      </c>
      <c r="M158" s="27" t="n"/>
      <c r="N158" s="27" t="n"/>
      <c r="O158" s="27" t="n"/>
      <c r="P158" s="27" t="n"/>
      <c r="Q158" s="29" t="n"/>
      <c r="R158" s="27" t="n"/>
    </row>
    <row r="159">
      <c r="A159" t="inlineStr">
        <is>
          <t>ED211921</t>
        </is>
      </c>
      <c r="B159" s="26" t="n">
        <v>46003.46319444444</v>
      </c>
      <c r="C159" t="inlineStr">
        <is>
          <t>Walk-In</t>
        </is>
      </c>
      <c r="D159" t="n">
        <v>3</v>
      </c>
      <c r="E159" t="inlineStr">
        <is>
          <t>Abdominal Pain</t>
        </is>
      </c>
      <c r="F159" s="28" t="n">
        <v>97.40000000000001</v>
      </c>
      <c r="G159" t="n">
        <v>83</v>
      </c>
      <c r="H159" t="n">
        <v>18</v>
      </c>
      <c r="I159" t="n">
        <v>132</v>
      </c>
      <c r="J159" t="n">
        <v>98</v>
      </c>
      <c r="K159" t="n">
        <v>7</v>
      </c>
      <c r="L159" t="inlineStr">
        <is>
          <t>Discharged</t>
        </is>
      </c>
      <c r="M159" s="27" t="n"/>
      <c r="N159" s="27" t="n"/>
      <c r="O159" s="27" t="n"/>
      <c r="P159" s="27" t="n"/>
      <c r="Q159" s="29" t="n"/>
      <c r="R159" s="27" t="n"/>
    </row>
    <row r="160">
      <c r="A160" t="inlineStr">
        <is>
          <t>ED211923</t>
        </is>
      </c>
      <c r="B160" s="26" t="n">
        <v>46003.52569444444</v>
      </c>
      <c r="C160" t="inlineStr">
        <is>
          <t>Walk-In</t>
        </is>
      </c>
      <c r="D160" t="n">
        <v>4</v>
      </c>
      <c r="E160" t="inlineStr">
        <is>
          <t>Cough / Fever</t>
        </is>
      </c>
      <c r="F160" s="28" t="n">
        <v>98.3</v>
      </c>
      <c r="G160" t="n">
        <v>76</v>
      </c>
      <c r="H160" t="n">
        <v>14</v>
      </c>
      <c r="I160" t="n">
        <v>153</v>
      </c>
      <c r="J160" t="n">
        <v>100</v>
      </c>
      <c r="K160" t="n">
        <v>0</v>
      </c>
      <c r="L160" t="inlineStr">
        <is>
          <t>Discharged</t>
        </is>
      </c>
      <c r="M160" s="27" t="n"/>
      <c r="N160" s="27" t="n"/>
      <c r="O160" s="27" t="n"/>
      <c r="P160" s="27" t="n"/>
      <c r="Q160" s="29" t="n"/>
      <c r="R160" s="27" t="n"/>
    </row>
    <row r="161">
      <c r="A161" t="inlineStr">
        <is>
          <t>ED211924</t>
        </is>
      </c>
      <c r="B161" s="26" t="n">
        <v>46003.54652777778</v>
      </c>
      <c r="C161" t="inlineStr">
        <is>
          <t>Walk-In</t>
        </is>
      </c>
      <c r="D161" t="n">
        <v>2</v>
      </c>
      <c r="E161" t="inlineStr">
        <is>
          <t>Cough / Fever</t>
        </is>
      </c>
      <c r="F161" s="28" t="n">
        <v>104.9</v>
      </c>
      <c r="G161" t="n">
        <v>96</v>
      </c>
      <c r="H161" t="n">
        <v>22</v>
      </c>
      <c r="J161" t="n">
        <v>93</v>
      </c>
      <c r="K161" t="n">
        <v>3</v>
      </c>
      <c r="L161" t="inlineStr">
        <is>
          <t>Admitted</t>
        </is>
      </c>
      <c r="M161" s="27" t="n"/>
      <c r="N161" s="27" t="n"/>
      <c r="O161" s="27" t="n"/>
      <c r="P161" s="27" t="n"/>
      <c r="Q161" s="29" t="n"/>
      <c r="R161" s="27" t="n"/>
    </row>
    <row r="162">
      <c r="A162" t="inlineStr">
        <is>
          <t>ED211925</t>
        </is>
      </c>
      <c r="B162" s="26" t="n">
        <v>46003.625</v>
      </c>
      <c r="C162" t="inlineStr">
        <is>
          <t>Walk-In</t>
        </is>
      </c>
      <c r="D162" t="n">
        <v>4</v>
      </c>
      <c r="E162" t="inlineStr">
        <is>
          <t>Cough / Fever</t>
        </is>
      </c>
      <c r="F162" s="28" t="n">
        <v>98.5</v>
      </c>
      <c r="G162" t="n">
        <v>91</v>
      </c>
      <c r="H162" t="n">
        <v>14</v>
      </c>
      <c r="I162" t="n">
        <v>147</v>
      </c>
      <c r="J162" t="n">
        <v>99</v>
      </c>
      <c r="K162" t="n">
        <v>2</v>
      </c>
      <c r="L162" t="inlineStr">
        <is>
          <t>Discharged</t>
        </is>
      </c>
      <c r="M162" s="27" t="n"/>
      <c r="N162" s="27" t="n"/>
      <c r="O162" s="27" t="n"/>
      <c r="P162" s="27" t="n"/>
      <c r="Q162" s="29" t="n"/>
      <c r="R162" s="27" t="n"/>
    </row>
    <row r="163">
      <c r="A163" t="inlineStr">
        <is>
          <t>ED211926</t>
        </is>
      </c>
      <c r="B163" s="26" t="n">
        <v>46003.62569444445</v>
      </c>
      <c r="C163" t="inlineStr">
        <is>
          <t>Walk-In</t>
        </is>
      </c>
      <c r="D163" t="n">
        <v>2</v>
      </c>
      <c r="E163" t="inlineStr">
        <is>
          <t>Cough / Trouble Breathing</t>
        </is>
      </c>
      <c r="F163" s="28" t="n">
        <v>98.3</v>
      </c>
      <c r="G163" t="n">
        <v>141</v>
      </c>
      <c r="H163" t="n">
        <v>43</v>
      </c>
      <c r="I163" t="n">
        <v>96</v>
      </c>
      <c r="J163" t="n">
        <v>92</v>
      </c>
      <c r="K163" t="n">
        <v>0</v>
      </c>
      <c r="L163" t="inlineStr">
        <is>
          <t>Admitted</t>
        </is>
      </c>
      <c r="M163" s="27" t="n"/>
      <c r="N163" s="27" t="n"/>
      <c r="O163" s="27" t="n"/>
      <c r="P163" s="27" t="n"/>
      <c r="Q163" s="29" t="n"/>
      <c r="R163" s="27" t="n"/>
    </row>
    <row r="164">
      <c r="A164" t="inlineStr">
        <is>
          <t>ED211927</t>
        </is>
      </c>
      <c r="B164" s="26" t="n">
        <v>46003.62708333333</v>
      </c>
      <c r="C164" t="inlineStr">
        <is>
          <t>Walk-In</t>
        </is>
      </c>
      <c r="D164" t="n">
        <v>3</v>
      </c>
      <c r="E164" t="inlineStr">
        <is>
          <t>Shortness of Breath</t>
        </is>
      </c>
      <c r="F164" s="28" t="n">
        <v>97.3</v>
      </c>
      <c r="G164" t="n">
        <v>99</v>
      </c>
      <c r="H164" t="n">
        <v>29</v>
      </c>
      <c r="I164" t="n">
        <v>163</v>
      </c>
      <c r="J164" t="n">
        <v>85</v>
      </c>
      <c r="K164" t="n">
        <v>0</v>
      </c>
      <c r="L164" t="inlineStr">
        <is>
          <t>Admitted</t>
        </is>
      </c>
      <c r="M164" s="27" t="n"/>
      <c r="N164" s="27" t="n"/>
      <c r="O164" s="27" t="n"/>
      <c r="P164" s="27" t="n"/>
      <c r="Q164" s="29" t="n"/>
      <c r="R164" s="27" t="n"/>
    </row>
    <row r="165">
      <c r="A165" t="inlineStr">
        <is>
          <t>ED211930</t>
        </is>
      </c>
      <c r="B165" s="26" t="n">
        <v>46003.74930555555</v>
      </c>
      <c r="C165" t="inlineStr">
        <is>
          <t>Police</t>
        </is>
      </c>
      <c r="D165" t="n">
        <v>3</v>
      </c>
      <c r="E165" t="inlineStr">
        <is>
          <t>Nausea</t>
        </is>
      </c>
      <c r="F165" s="28" t="n">
        <v>98.8</v>
      </c>
      <c r="G165" t="n">
        <v>75</v>
      </c>
      <c r="H165" t="n">
        <v>17</v>
      </c>
      <c r="I165" t="n">
        <v>134</v>
      </c>
      <c r="J165" t="n">
        <v>98</v>
      </c>
      <c r="K165" t="n">
        <v>0</v>
      </c>
      <c r="L165" t="inlineStr">
        <is>
          <t>Observation</t>
        </is>
      </c>
      <c r="M165" s="27" t="n"/>
      <c r="N165" s="27" t="n"/>
      <c r="O165" s="27" t="n"/>
      <c r="P165" s="27" t="n"/>
      <c r="Q165" s="29" t="n"/>
      <c r="R165" s="27" t="n"/>
    </row>
    <row r="166">
      <c r="A166" t="inlineStr">
        <is>
          <t>ED211931</t>
        </is>
      </c>
      <c r="B166" s="26" t="n">
        <v>46003.75902777778</v>
      </c>
      <c r="C166" t="inlineStr">
        <is>
          <t>Walk-In</t>
        </is>
      </c>
      <c r="D166" t="n">
        <v>4</v>
      </c>
      <c r="E166" t="inlineStr">
        <is>
          <t>Ankle Injury</t>
        </is>
      </c>
      <c r="F166" s="28" t="n">
        <v>98.8</v>
      </c>
      <c r="G166" t="n">
        <v>80</v>
      </c>
      <c r="H166" t="n">
        <v>20</v>
      </c>
      <c r="I166" t="n">
        <v>95</v>
      </c>
      <c r="J166" t="n">
        <v>97</v>
      </c>
      <c r="K166" t="n">
        <v>9</v>
      </c>
      <c r="L166" t="inlineStr">
        <is>
          <t>Discharged</t>
        </is>
      </c>
      <c r="M166" s="27" t="n"/>
      <c r="N166" s="27" t="n"/>
      <c r="O166" s="27" t="n"/>
      <c r="P166" s="27" t="n"/>
      <c r="Q166" s="29" t="n"/>
      <c r="R166" s="27" t="n"/>
    </row>
    <row r="167">
      <c r="A167" t="inlineStr">
        <is>
          <t>ED211932</t>
        </is>
      </c>
      <c r="B167" s="26" t="n">
        <v>46003.78125</v>
      </c>
      <c r="C167" t="inlineStr">
        <is>
          <t>Walk-In</t>
        </is>
      </c>
      <c r="D167" t="n">
        <v>3</v>
      </c>
      <c r="E167" t="inlineStr">
        <is>
          <t>Cough / Trouble Breathing</t>
        </is>
      </c>
      <c r="F167" s="28" t="n">
        <v>98.40000000000001</v>
      </c>
      <c r="G167" t="n">
        <v>143</v>
      </c>
      <c r="H167" t="n">
        <v>26</v>
      </c>
      <c r="I167" t="n">
        <v>110</v>
      </c>
      <c r="J167" t="n">
        <v>89</v>
      </c>
      <c r="K167" t="n">
        <v>1</v>
      </c>
      <c r="L167" t="inlineStr">
        <is>
          <t>Observation</t>
        </is>
      </c>
      <c r="M167" s="27" t="n"/>
      <c r="N167" s="27" t="n"/>
      <c r="O167" s="27" t="n"/>
      <c r="P167" s="27" t="n"/>
      <c r="Q167" s="29" t="n"/>
      <c r="R167" s="27" t="n"/>
    </row>
    <row r="168">
      <c r="A168" t="inlineStr">
        <is>
          <t>ED211933</t>
        </is>
      </c>
      <c r="B168" s="26" t="n">
        <v>46003.85138888889</v>
      </c>
      <c r="C168" t="inlineStr">
        <is>
          <t>Walk-In</t>
        </is>
      </c>
      <c r="D168" t="n">
        <v>5</v>
      </c>
      <c r="E168" t="inlineStr">
        <is>
          <t>Back Pain</t>
        </is>
      </c>
      <c r="F168" s="28" t="n">
        <v>98.5</v>
      </c>
      <c r="G168" t="n">
        <v>67</v>
      </c>
      <c r="H168" t="n">
        <v>16</v>
      </c>
      <c r="I168" t="n">
        <v>121</v>
      </c>
      <c r="J168" t="n">
        <v>99</v>
      </c>
      <c r="K168" t="n">
        <v>10</v>
      </c>
      <c r="L168" t="inlineStr">
        <is>
          <t>Discharged</t>
        </is>
      </c>
      <c r="M168" s="27" t="n"/>
      <c r="N168" s="27" t="n"/>
      <c r="O168" s="27" t="n"/>
      <c r="P168" s="27" t="n"/>
      <c r="Q168" s="29" t="n"/>
      <c r="R168" s="27" t="n"/>
    </row>
    <row r="169">
      <c r="A169" t="inlineStr">
        <is>
          <t>ED211934</t>
        </is>
      </c>
      <c r="B169" s="26" t="n">
        <v>46003.85694444444</v>
      </c>
      <c r="C169" t="inlineStr">
        <is>
          <t>Ambulance</t>
        </is>
      </c>
      <c r="D169" t="n">
        <v>2</v>
      </c>
      <c r="E169" t="inlineStr">
        <is>
          <t>Chest Pain</t>
        </is>
      </c>
      <c r="F169" s="28" t="n">
        <v>98.3</v>
      </c>
      <c r="G169" t="n">
        <v>73</v>
      </c>
      <c r="H169" t="n">
        <v>16</v>
      </c>
      <c r="I169" t="n">
        <v>127</v>
      </c>
      <c r="J169" t="n">
        <v>98</v>
      </c>
      <c r="K169" t="n">
        <v>3</v>
      </c>
      <c r="L169" t="inlineStr">
        <is>
          <t>Admitted</t>
        </is>
      </c>
      <c r="M169" s="27" t="n"/>
      <c r="N169" s="27" t="n"/>
      <c r="O169" s="27" t="n"/>
      <c r="P169" s="27" t="n"/>
      <c r="Q169" s="29" t="n"/>
      <c r="R169" s="27" t="n"/>
    </row>
    <row r="170">
      <c r="A170" t="inlineStr">
        <is>
          <t>ED211935</t>
        </is>
      </c>
      <c r="B170" s="26" t="n">
        <v>46004.17013888889</v>
      </c>
      <c r="C170" t="inlineStr">
        <is>
          <t>Walk-In</t>
        </is>
      </c>
      <c r="D170" t="n">
        <v>5</v>
      </c>
      <c r="E170" t="inlineStr">
        <is>
          <t>Shortness of Breath</t>
        </is>
      </c>
      <c r="F170" s="28" t="n">
        <v>98.8</v>
      </c>
      <c r="G170" t="n">
        <v>85</v>
      </c>
      <c r="H170" t="n">
        <v>20</v>
      </c>
      <c r="I170" t="n">
        <v>139</v>
      </c>
      <c r="J170" t="n">
        <v>98</v>
      </c>
      <c r="K170" t="n">
        <v>3</v>
      </c>
      <c r="L170" t="inlineStr">
        <is>
          <t>Discharged</t>
        </is>
      </c>
      <c r="M170" s="27" t="n"/>
      <c r="N170" s="27" t="n"/>
      <c r="O170" s="27" t="n"/>
      <c r="P170" s="27" t="n"/>
      <c r="Q170" s="29" t="n"/>
      <c r="R170" s="27" t="n"/>
    </row>
    <row r="171">
      <c r="A171" t="inlineStr">
        <is>
          <t>ED211936</t>
        </is>
      </c>
      <c r="B171" s="26" t="n">
        <v>46004.20277777778</v>
      </c>
      <c r="C171" t="inlineStr">
        <is>
          <t>Ambulance</t>
        </is>
      </c>
      <c r="D171" t="n">
        <v>2</v>
      </c>
      <c r="E171" t="inlineStr">
        <is>
          <t>Cough / Fever</t>
        </is>
      </c>
      <c r="F171" s="28" t="n">
        <v>99.40000000000001</v>
      </c>
      <c r="G171" t="n">
        <v>107</v>
      </c>
      <c r="H171" t="n">
        <v>24</v>
      </c>
      <c r="I171" t="n">
        <v>125</v>
      </c>
      <c r="J171" t="n">
        <v>90</v>
      </c>
      <c r="K171" t="n">
        <v>1</v>
      </c>
      <c r="L171" t="inlineStr">
        <is>
          <t>Discharged</t>
        </is>
      </c>
      <c r="M171" s="27" t="n"/>
      <c r="N171" s="27" t="n"/>
      <c r="O171" s="27" t="n"/>
      <c r="P171" s="27" t="n"/>
      <c r="Q171" s="29" t="n"/>
      <c r="R171" s="27" t="n"/>
    </row>
    <row r="172">
      <c r="A172" t="inlineStr">
        <is>
          <t>ED211938</t>
        </is>
      </c>
      <c r="B172" s="26" t="n">
        <v>46004.31875</v>
      </c>
      <c r="C172" t="inlineStr">
        <is>
          <t>Ambulance</t>
        </is>
      </c>
      <c r="D172" t="n">
        <v>2</v>
      </c>
      <c r="E172" t="inlineStr">
        <is>
          <t>Shortness of Breath</t>
        </is>
      </c>
      <c r="F172" s="28" t="n">
        <v>98.3</v>
      </c>
      <c r="G172" t="n">
        <v>82</v>
      </c>
      <c r="H172" t="n">
        <v>28</v>
      </c>
      <c r="I172" t="n">
        <v>175</v>
      </c>
      <c r="J172" t="n">
        <v>90</v>
      </c>
      <c r="K172" t="n">
        <v>0</v>
      </c>
      <c r="L172" t="inlineStr">
        <is>
          <t>Admitted</t>
        </is>
      </c>
      <c r="M172" s="27" t="n"/>
      <c r="N172" s="27" t="n"/>
      <c r="O172" s="27" t="n"/>
      <c r="P172" s="27" t="n"/>
      <c r="Q172" s="29" t="n"/>
      <c r="R172" s="27" t="n"/>
    </row>
    <row r="173">
      <c r="A173" t="inlineStr">
        <is>
          <t>ED211939</t>
        </is>
      </c>
      <c r="B173" s="26" t="n">
        <v>46004.41458333333</v>
      </c>
      <c r="C173" t="inlineStr">
        <is>
          <t>Walk-In</t>
        </is>
      </c>
      <c r="D173" t="n">
        <v>5</v>
      </c>
      <c r="E173" t="inlineStr">
        <is>
          <t>Vomiting / Diarrhea</t>
        </is>
      </c>
      <c r="F173" s="28" t="n">
        <v>98.40000000000001</v>
      </c>
      <c r="G173" t="n">
        <v>89</v>
      </c>
      <c r="H173" t="n">
        <v>17</v>
      </c>
      <c r="I173" t="n">
        <v>164</v>
      </c>
      <c r="J173" t="n">
        <v>99</v>
      </c>
      <c r="K173" t="n">
        <v>0</v>
      </c>
      <c r="L173" t="inlineStr">
        <is>
          <t>Discharged</t>
        </is>
      </c>
      <c r="M173" s="27" t="n"/>
      <c r="N173" s="27" t="n"/>
      <c r="O173" s="27" t="n"/>
      <c r="P173" s="27" t="n"/>
      <c r="Q173" s="29" t="n"/>
      <c r="R173" s="27" t="n"/>
    </row>
    <row r="174">
      <c r="A174" t="inlineStr">
        <is>
          <t>ED211940</t>
        </is>
      </c>
      <c r="B174" s="26" t="n">
        <v>46004.42916666667</v>
      </c>
      <c r="C174" t="inlineStr">
        <is>
          <t>Police</t>
        </is>
      </c>
      <c r="D174" t="n">
        <v>2</v>
      </c>
      <c r="E174" t="inlineStr">
        <is>
          <t>Depression / Suicidal Thoughts</t>
        </is>
      </c>
      <c r="F174" s="28" t="n">
        <v>98.3</v>
      </c>
      <c r="G174" t="n">
        <v>78</v>
      </c>
      <c r="H174" t="n">
        <v>15</v>
      </c>
      <c r="I174" t="n">
        <v>138</v>
      </c>
      <c r="J174" t="n">
        <v>99</v>
      </c>
      <c r="K174" t="n">
        <v>0</v>
      </c>
      <c r="L174" t="inlineStr">
        <is>
          <t>Discharged</t>
        </is>
      </c>
      <c r="M174" s="27" t="n"/>
      <c r="N174" s="27" t="n"/>
      <c r="O174" s="27" t="n"/>
      <c r="P174" s="27" t="n"/>
      <c r="Q174" s="29" t="n"/>
      <c r="R174" s="27" t="n"/>
    </row>
    <row r="175">
      <c r="A175" t="inlineStr">
        <is>
          <t>ED211942</t>
        </is>
      </c>
      <c r="B175" s="26" t="n">
        <v>46004.48055555556</v>
      </c>
      <c r="C175" t="inlineStr">
        <is>
          <t>Ambulance</t>
        </is>
      </c>
      <c r="D175" t="n">
        <v>2</v>
      </c>
      <c r="E175" t="inlineStr">
        <is>
          <t>Shortness of Breath</t>
        </is>
      </c>
      <c r="F175" s="28" t="n">
        <v>98.09999999999999</v>
      </c>
      <c r="G175" t="n">
        <v>82</v>
      </c>
      <c r="H175" t="n">
        <v>23</v>
      </c>
      <c r="I175" t="n">
        <v>134</v>
      </c>
      <c r="J175" t="n">
        <v>92</v>
      </c>
      <c r="K175" t="n">
        <v>1</v>
      </c>
      <c r="L175" t="inlineStr">
        <is>
          <t>Admitted</t>
        </is>
      </c>
      <c r="M175" s="27" t="n"/>
      <c r="N175" s="27" t="n"/>
      <c r="O175" s="27" t="n"/>
      <c r="P175" s="27" t="n"/>
      <c r="Q175" s="29" t="n"/>
      <c r="R175" s="27" t="n"/>
    </row>
    <row r="176">
      <c r="A176" t="inlineStr">
        <is>
          <t>ED211944</t>
        </is>
      </c>
      <c r="B176" s="26" t="n">
        <v>46004.56944444445</v>
      </c>
      <c r="C176" t="inlineStr">
        <is>
          <t>Walk-In</t>
        </is>
      </c>
      <c r="D176" t="n">
        <v>4</v>
      </c>
      <c r="E176" t="inlineStr">
        <is>
          <t>Painful Urination / Fever</t>
        </is>
      </c>
      <c r="F176" s="28" t="n">
        <v>101.8</v>
      </c>
      <c r="G176" t="n">
        <v>77</v>
      </c>
      <c r="H176" t="n">
        <v>18</v>
      </c>
      <c r="I176" t="n">
        <v>131</v>
      </c>
      <c r="J176" t="n">
        <v>97</v>
      </c>
      <c r="K176" t="n">
        <v>0</v>
      </c>
      <c r="L176" t="inlineStr">
        <is>
          <t>Admitted</t>
        </is>
      </c>
      <c r="M176" s="27" t="n"/>
      <c r="N176" s="27" t="n"/>
      <c r="O176" s="27" t="n"/>
      <c r="P176" s="27" t="n"/>
      <c r="Q176" s="29" t="n"/>
      <c r="R176" s="27" t="n"/>
    </row>
    <row r="177">
      <c r="A177" t="inlineStr">
        <is>
          <t>ED211947</t>
        </is>
      </c>
      <c r="B177" s="26" t="n">
        <v>46004.72430555556</v>
      </c>
      <c r="C177" t="inlineStr">
        <is>
          <t>Walk-In</t>
        </is>
      </c>
      <c r="D177" t="n">
        <v>5</v>
      </c>
      <c r="E177" t="inlineStr">
        <is>
          <t>Cough / Fever</t>
        </is>
      </c>
      <c r="F177" s="28" t="n">
        <v>98.09999999999999</v>
      </c>
      <c r="G177" t="n">
        <v>74</v>
      </c>
      <c r="H177" t="n">
        <v>17</v>
      </c>
      <c r="I177" t="n">
        <v>122</v>
      </c>
      <c r="J177" t="n">
        <v>98</v>
      </c>
      <c r="K177" t="n">
        <v>1</v>
      </c>
      <c r="L177" t="inlineStr">
        <is>
          <t>Discharged</t>
        </is>
      </c>
      <c r="M177" s="27" t="n"/>
      <c r="N177" s="27" t="n"/>
      <c r="O177" s="27" t="n"/>
      <c r="P177" s="27" t="n"/>
      <c r="Q177" s="29" t="n"/>
      <c r="R177" s="27" t="n"/>
    </row>
    <row r="178">
      <c r="A178" t="inlineStr">
        <is>
          <t>ED211948</t>
        </is>
      </c>
      <c r="B178" s="26" t="n">
        <v>46004.72916666666</v>
      </c>
      <c r="C178" t="inlineStr">
        <is>
          <t>Walk-In</t>
        </is>
      </c>
      <c r="D178" t="n">
        <v>5</v>
      </c>
      <c r="E178" t="inlineStr">
        <is>
          <t>Laceration</t>
        </is>
      </c>
      <c r="F178" s="28" t="n">
        <v>101.2</v>
      </c>
      <c r="G178" t="n">
        <v>111</v>
      </c>
      <c r="H178" t="n">
        <v>34</v>
      </c>
      <c r="I178" t="n">
        <v>99</v>
      </c>
      <c r="J178" t="n">
        <v>99</v>
      </c>
      <c r="K178" t="n">
        <v>0</v>
      </c>
      <c r="L178" t="inlineStr">
        <is>
          <t>Discharged</t>
        </is>
      </c>
      <c r="M178" s="27" t="n"/>
      <c r="N178" s="27" t="n"/>
      <c r="O178" s="27" t="n"/>
      <c r="P178" s="27" t="n"/>
      <c r="Q178" s="29" t="n"/>
      <c r="R178" s="27" t="n"/>
    </row>
    <row r="179">
      <c r="A179" t="inlineStr">
        <is>
          <t>ED211950</t>
        </is>
      </c>
      <c r="B179" s="26" t="n">
        <v>46004.88541666666</v>
      </c>
      <c r="C179" t="inlineStr">
        <is>
          <t>Walk-In</t>
        </is>
      </c>
      <c r="D179" t="n">
        <v>2</v>
      </c>
      <c r="E179" t="inlineStr">
        <is>
          <t>Cough / Fever</t>
        </is>
      </c>
      <c r="F179" s="28" t="n">
        <v>100.6</v>
      </c>
      <c r="G179" t="n">
        <v>108</v>
      </c>
      <c r="H179" t="n">
        <v>26</v>
      </c>
      <c r="I179" t="n">
        <v>167</v>
      </c>
      <c r="J179" t="n">
        <v>93</v>
      </c>
      <c r="K179" t="n">
        <v>1</v>
      </c>
      <c r="L179" t="inlineStr">
        <is>
          <t>Discharged</t>
        </is>
      </c>
      <c r="M179" s="27" t="n"/>
      <c r="N179" s="27" t="n"/>
      <c r="O179" s="27" t="n"/>
      <c r="P179" s="27" t="n"/>
      <c r="Q179" s="29" t="n"/>
      <c r="R179" s="27" t="n"/>
    </row>
    <row r="180">
      <c r="A180" t="inlineStr">
        <is>
          <t>ED211951</t>
        </is>
      </c>
      <c r="B180" s="26" t="n">
        <v>46004.90486111111</v>
      </c>
      <c r="C180" t="inlineStr">
        <is>
          <t>Ambulance</t>
        </is>
      </c>
      <c r="D180" t="n">
        <v>2</v>
      </c>
      <c r="E180" t="inlineStr">
        <is>
          <t>Bloody Stool / Vomiting Blood</t>
        </is>
      </c>
      <c r="F180" s="28" t="n">
        <v>98.3</v>
      </c>
      <c r="G180" t="n">
        <v>111</v>
      </c>
      <c r="H180" t="n">
        <v>16</v>
      </c>
      <c r="I180" t="n">
        <v>115</v>
      </c>
      <c r="J180" t="n">
        <v>100</v>
      </c>
      <c r="K180" t="n">
        <v>0</v>
      </c>
      <c r="L180" t="inlineStr">
        <is>
          <t>Admitted</t>
        </is>
      </c>
      <c r="M180" s="27" t="n"/>
      <c r="N180" s="27" t="n"/>
      <c r="O180" s="27" t="n"/>
      <c r="P180" s="27" t="n"/>
      <c r="Q180" s="29" t="n"/>
      <c r="R180" s="27" t="n"/>
    </row>
    <row r="181">
      <c r="A181" t="inlineStr">
        <is>
          <t>ED211952</t>
        </is>
      </c>
      <c r="B181" s="26" t="n">
        <v>46004.93402777778</v>
      </c>
      <c r="C181" t="inlineStr">
        <is>
          <t>Ambulance</t>
        </is>
      </c>
      <c r="D181" t="n">
        <v>2</v>
      </c>
      <c r="E181" t="inlineStr">
        <is>
          <t>Cough / Fever</t>
        </is>
      </c>
      <c r="F181" s="28" t="n">
        <v>101.3</v>
      </c>
      <c r="G181" t="n">
        <v>114</v>
      </c>
      <c r="H181" t="n">
        <v>25</v>
      </c>
      <c r="I181" t="n">
        <v>143</v>
      </c>
      <c r="J181" t="n">
        <v>94</v>
      </c>
      <c r="K181" t="n">
        <v>1</v>
      </c>
      <c r="L181" t="inlineStr">
        <is>
          <t>Discharged</t>
        </is>
      </c>
      <c r="M181" s="27" t="n"/>
      <c r="N181" s="27" t="n"/>
      <c r="O181" s="27" t="n"/>
      <c r="P181" s="27" t="n"/>
      <c r="Q181" s="29" t="n"/>
      <c r="R181" s="27" t="n"/>
    </row>
    <row r="182">
      <c r="A182" t="inlineStr">
        <is>
          <t>ED211953</t>
        </is>
      </c>
      <c r="B182" s="26" t="n">
        <v>46005.31111111111</v>
      </c>
      <c r="C182" t="inlineStr">
        <is>
          <t>Walk-In</t>
        </is>
      </c>
      <c r="D182" t="n">
        <v>3</v>
      </c>
      <c r="E182" t="inlineStr">
        <is>
          <t>Chest Pain</t>
        </is>
      </c>
      <c r="F182" s="28" t="n">
        <v>98.40000000000001</v>
      </c>
      <c r="G182" t="n">
        <v>90</v>
      </c>
      <c r="H182" t="n">
        <v>16</v>
      </c>
      <c r="I182" t="n">
        <v>149</v>
      </c>
      <c r="J182" t="n">
        <v>99</v>
      </c>
      <c r="K182" t="n">
        <v>4</v>
      </c>
      <c r="L182" t="inlineStr">
        <is>
          <t>Discharged</t>
        </is>
      </c>
      <c r="M182" s="27" t="n"/>
      <c r="N182" s="27" t="n"/>
      <c r="O182" s="27" t="n"/>
      <c r="P182" s="27" t="n"/>
      <c r="Q182" s="29" t="n"/>
      <c r="R182" s="27" t="n"/>
    </row>
    <row r="183">
      <c r="A183" t="inlineStr">
        <is>
          <t>ED211954</t>
        </is>
      </c>
      <c r="B183" s="26" t="n">
        <v>46005.39375</v>
      </c>
      <c r="C183" t="inlineStr">
        <is>
          <t>Walk-In</t>
        </is>
      </c>
      <c r="D183" t="n">
        <v>3</v>
      </c>
      <c r="E183" t="inlineStr">
        <is>
          <t>Shortness of Breath</t>
        </is>
      </c>
      <c r="F183" s="28" t="n">
        <v>99</v>
      </c>
      <c r="G183" t="n">
        <v>108</v>
      </c>
      <c r="H183" t="n">
        <v>17</v>
      </c>
      <c r="I183" t="n">
        <v>126</v>
      </c>
      <c r="J183" t="n">
        <v>93</v>
      </c>
      <c r="K183" t="n">
        <v>0</v>
      </c>
      <c r="L183" t="inlineStr">
        <is>
          <t>Admitted</t>
        </is>
      </c>
      <c r="M183" s="27" t="n"/>
      <c r="N183" s="27" t="n"/>
      <c r="O183" s="27" t="n"/>
      <c r="P183" s="27" t="n"/>
      <c r="Q183" s="29" t="n"/>
      <c r="R183" s="27" t="n"/>
    </row>
    <row r="184">
      <c r="A184" t="inlineStr">
        <is>
          <t>ED211955</t>
        </is>
      </c>
      <c r="B184" s="26" t="n">
        <v>46005.40416666667</v>
      </c>
      <c r="C184" t="inlineStr">
        <is>
          <t>Ambulance</t>
        </is>
      </c>
      <c r="D184" t="n">
        <v>2</v>
      </c>
      <c r="E184" t="inlineStr">
        <is>
          <t>Fever / Altered Mental Status</t>
        </is>
      </c>
      <c r="F184" s="28" t="n">
        <v>102.3</v>
      </c>
      <c r="G184" t="n">
        <v>118</v>
      </c>
      <c r="H184" t="n">
        <v>22</v>
      </c>
      <c r="I184" t="n">
        <v>81</v>
      </c>
      <c r="J184" t="n">
        <v>99</v>
      </c>
      <c r="K184" t="n">
        <v>3</v>
      </c>
      <c r="L184" t="inlineStr">
        <is>
          <t>Admitted</t>
        </is>
      </c>
      <c r="M184" s="27" t="n"/>
      <c r="N184" s="27" t="n"/>
      <c r="O184" s="27" t="n"/>
      <c r="P184" s="27" t="n"/>
      <c r="Q184" s="29" t="n"/>
      <c r="R184" s="27" t="n"/>
    </row>
    <row r="185">
      <c r="A185" t="inlineStr">
        <is>
          <t>ED211956</t>
        </is>
      </c>
      <c r="B185" s="26" t="n">
        <v>46005.48888888889</v>
      </c>
      <c r="C185" t="inlineStr">
        <is>
          <t>Walk-In</t>
        </is>
      </c>
      <c r="D185" t="n">
        <v>3</v>
      </c>
      <c r="E185" t="inlineStr">
        <is>
          <t>Cough / Trouble Breathing</t>
        </is>
      </c>
      <c r="F185" s="28" t="n">
        <v>99.09999999999999</v>
      </c>
      <c r="G185" t="n">
        <v>123</v>
      </c>
      <c r="H185" t="n">
        <v>31</v>
      </c>
      <c r="I185" t="n">
        <v>92</v>
      </c>
      <c r="J185" t="n">
        <v>88</v>
      </c>
      <c r="K185" t="n">
        <v>0</v>
      </c>
      <c r="L185" t="inlineStr">
        <is>
          <t>Discharged</t>
        </is>
      </c>
      <c r="M185" s="27" t="n"/>
      <c r="N185" s="27" t="n"/>
      <c r="O185" s="27" t="n"/>
      <c r="P185" s="27" t="n"/>
      <c r="Q185" s="29" t="n"/>
      <c r="R185" s="27" t="n"/>
    </row>
    <row r="186">
      <c r="A186" t="inlineStr">
        <is>
          <t>ED211957</t>
        </is>
      </c>
      <c r="B186" s="26" t="n">
        <v>46005.57222222222</v>
      </c>
      <c r="C186" t="inlineStr">
        <is>
          <t>Ambulance</t>
        </is>
      </c>
      <c r="D186" t="n">
        <v>3</v>
      </c>
      <c r="E186" t="inlineStr">
        <is>
          <t>Shortness of Breath</t>
        </is>
      </c>
      <c r="F186" s="28" t="n">
        <v>98.40000000000001</v>
      </c>
      <c r="G186" t="n">
        <v>109</v>
      </c>
      <c r="H186" t="n">
        <v>26</v>
      </c>
      <c r="I186" t="n">
        <v>116</v>
      </c>
      <c r="J186" t="n">
        <v>92</v>
      </c>
      <c r="K186" t="n">
        <v>0</v>
      </c>
      <c r="L186" t="inlineStr">
        <is>
          <t>Discharged</t>
        </is>
      </c>
      <c r="M186" s="27" t="n"/>
      <c r="N186" s="27" t="n"/>
      <c r="O186" s="27" t="n"/>
      <c r="P186" s="27" t="n"/>
      <c r="Q186" s="29" t="n"/>
      <c r="R186" s="27" t="n"/>
    </row>
    <row r="187">
      <c r="A187" t="inlineStr">
        <is>
          <t>ED211959</t>
        </is>
      </c>
      <c r="B187" s="26" t="n">
        <v>46005.65208333333</v>
      </c>
      <c r="C187" t="inlineStr">
        <is>
          <t>Ambulance</t>
        </is>
      </c>
      <c r="D187" t="n">
        <v>2</v>
      </c>
      <c r="E187" t="inlineStr">
        <is>
          <t>Fainting</t>
        </is>
      </c>
      <c r="F187" s="28" t="n">
        <v>98.7</v>
      </c>
      <c r="G187" t="n">
        <v>85</v>
      </c>
      <c r="H187" t="n">
        <v>20</v>
      </c>
      <c r="I187" t="n">
        <v>137</v>
      </c>
      <c r="J187" t="n">
        <v>99</v>
      </c>
      <c r="K187" t="n">
        <v>2</v>
      </c>
      <c r="L187" t="inlineStr">
        <is>
          <t>Discharged</t>
        </is>
      </c>
      <c r="M187" s="27" t="n"/>
      <c r="N187" s="27" t="n"/>
      <c r="O187" s="27" t="n"/>
      <c r="P187" s="27" t="n"/>
      <c r="Q187" s="29" t="n"/>
      <c r="R187" s="27" t="n"/>
    </row>
    <row r="188">
      <c r="A188" t="inlineStr">
        <is>
          <t>ED211961</t>
        </is>
      </c>
      <c r="B188" s="26" t="n">
        <v>46005.79166666666</v>
      </c>
      <c r="C188" t="inlineStr">
        <is>
          <t>Walk-In</t>
        </is>
      </c>
      <c r="D188" t="n">
        <v>4</v>
      </c>
      <c r="E188" t="inlineStr">
        <is>
          <t>Headache</t>
        </is>
      </c>
      <c r="F188" s="28" t="n">
        <v>98.2</v>
      </c>
      <c r="G188" t="n">
        <v>79</v>
      </c>
      <c r="H188" t="n">
        <v>18</v>
      </c>
      <c r="I188" t="n">
        <v>181</v>
      </c>
      <c r="J188" t="n">
        <v>97</v>
      </c>
      <c r="K188" t="n">
        <v>1</v>
      </c>
      <c r="L188" t="inlineStr">
        <is>
          <t>Discharged</t>
        </is>
      </c>
      <c r="M188" s="27" t="n"/>
      <c r="N188" s="27" t="n"/>
      <c r="O188" s="27" t="n"/>
      <c r="P188" s="27" t="n"/>
      <c r="Q188" s="29" t="n"/>
      <c r="R188" s="27" t="n"/>
    </row>
    <row r="189">
      <c r="A189" t="inlineStr">
        <is>
          <t>ED211962</t>
        </is>
      </c>
      <c r="B189" s="26" t="n">
        <v>46005.84791666667</v>
      </c>
      <c r="C189" t="inlineStr">
        <is>
          <t>Walk-In</t>
        </is>
      </c>
      <c r="D189" t="n">
        <v>4</v>
      </c>
      <c r="E189" t="inlineStr">
        <is>
          <t>Chest Pain</t>
        </is>
      </c>
      <c r="F189" s="28" t="n">
        <v>97.5</v>
      </c>
      <c r="G189" t="n">
        <v>93</v>
      </c>
      <c r="H189" t="n">
        <v>18</v>
      </c>
      <c r="I189" t="n">
        <v>195</v>
      </c>
      <c r="J189" t="n">
        <v>98</v>
      </c>
      <c r="K189" t="n">
        <v>5</v>
      </c>
      <c r="L189" t="inlineStr">
        <is>
          <t>Discharged</t>
        </is>
      </c>
      <c r="M189" s="27" t="n"/>
      <c r="N189" s="27" t="n"/>
      <c r="O189" s="27" t="n"/>
      <c r="P189" s="27" t="n"/>
      <c r="Q189" s="29" t="n"/>
      <c r="R189" s="27" t="n"/>
    </row>
    <row r="190">
      <c r="A190" t="inlineStr">
        <is>
          <t>ED211963</t>
        </is>
      </c>
      <c r="B190" s="26" t="n">
        <v>46005.87083333333</v>
      </c>
      <c r="C190" t="inlineStr">
        <is>
          <t>Ambulance</t>
        </is>
      </c>
      <c r="D190" t="n">
        <v>1</v>
      </c>
      <c r="E190" t="inlineStr">
        <is>
          <t>Weakness / Numbness</t>
        </is>
      </c>
      <c r="F190" s="28" t="n">
        <v>97.90000000000001</v>
      </c>
      <c r="G190" t="n">
        <v>74</v>
      </c>
      <c r="H190" t="n">
        <v>14</v>
      </c>
      <c r="I190" t="n">
        <v>171</v>
      </c>
      <c r="J190" t="n">
        <v>89</v>
      </c>
      <c r="K190" t="n">
        <v>0</v>
      </c>
      <c r="L190" t="inlineStr">
        <is>
          <t>Admitted</t>
        </is>
      </c>
      <c r="M190" s="27" t="n"/>
      <c r="N190" s="27" t="n"/>
      <c r="O190" s="27" t="n"/>
      <c r="P190" s="27" t="n"/>
      <c r="Q190" s="29" t="n"/>
      <c r="R190" s="27" t="n"/>
    </row>
    <row r="191">
      <c r="A191" t="inlineStr">
        <is>
          <t>ED211964</t>
        </is>
      </c>
      <c r="B191" s="26" t="n">
        <v>46005.96111111111</v>
      </c>
      <c r="C191" t="inlineStr">
        <is>
          <t>Walk-In</t>
        </is>
      </c>
      <c r="D191" t="n">
        <v>2</v>
      </c>
      <c r="E191" t="inlineStr">
        <is>
          <t>Shortness of Breath</t>
        </is>
      </c>
      <c r="F191" s="28" t="n">
        <v>97.7</v>
      </c>
      <c r="G191" t="n">
        <v>101</v>
      </c>
      <c r="H191" t="n">
        <v>24</v>
      </c>
      <c r="I191" t="n">
        <v>151</v>
      </c>
      <c r="J191" t="n">
        <v>89</v>
      </c>
      <c r="K191" t="n">
        <v>0</v>
      </c>
      <c r="L191" t="inlineStr">
        <is>
          <t>Admitted</t>
        </is>
      </c>
      <c r="M191" s="27" t="n"/>
      <c r="N191" s="27" t="n"/>
      <c r="O191" s="27" t="n"/>
      <c r="P191" s="27" t="n"/>
      <c r="Q191" s="29" t="n"/>
      <c r="R191" s="27" t="n"/>
    </row>
    <row r="192">
      <c r="A192" t="inlineStr">
        <is>
          <t>ED211965</t>
        </is>
      </c>
      <c r="B192" s="26" t="n">
        <v>46005.97222222222</v>
      </c>
      <c r="C192" t="inlineStr">
        <is>
          <t>Walk-In</t>
        </is>
      </c>
      <c r="D192" t="n">
        <v>4</v>
      </c>
      <c r="E192" t="inlineStr">
        <is>
          <t>Painful Urination / Fever</t>
        </is>
      </c>
      <c r="F192" s="28" t="n">
        <v>100</v>
      </c>
      <c r="G192" t="n">
        <v>82</v>
      </c>
      <c r="H192" t="n">
        <v>14</v>
      </c>
      <c r="I192" t="n">
        <v>127</v>
      </c>
      <c r="J192" t="n">
        <v>96</v>
      </c>
      <c r="K192" t="n">
        <v>0</v>
      </c>
      <c r="L192" t="inlineStr">
        <is>
          <t>Discharged</t>
        </is>
      </c>
      <c r="M192" s="27" t="n"/>
      <c r="N192" s="27" t="n"/>
      <c r="O192" s="27" t="n"/>
      <c r="P192" s="27" t="n"/>
      <c r="Q192" s="29" t="n"/>
      <c r="R192" s="27" t="n"/>
    </row>
    <row r="193">
      <c r="A193" t="inlineStr">
        <is>
          <t>ED211966</t>
        </is>
      </c>
      <c r="B193" s="26" t="n">
        <v>46006.10625</v>
      </c>
      <c r="C193" t="inlineStr">
        <is>
          <t>Police</t>
        </is>
      </c>
      <c r="D193" t="n">
        <v>3</v>
      </c>
      <c r="E193" t="inlineStr">
        <is>
          <t>Psychiatric Evaluation</t>
        </is>
      </c>
      <c r="F193" s="28" t="n">
        <v>97.59999999999999</v>
      </c>
      <c r="G193" t="n">
        <v>96</v>
      </c>
      <c r="H193" t="n">
        <v>13</v>
      </c>
      <c r="I193" t="n">
        <v>158</v>
      </c>
      <c r="J193" t="n">
        <v>98</v>
      </c>
      <c r="K193" t="n">
        <v>2</v>
      </c>
      <c r="L193" t="inlineStr">
        <is>
          <t>Discharged</t>
        </is>
      </c>
      <c r="M193" s="27" t="n"/>
      <c r="N193" s="27" t="n"/>
      <c r="O193" s="27" t="n"/>
      <c r="P193" s="27" t="n"/>
      <c r="Q193" s="29" t="n"/>
      <c r="R193" s="27" t="n"/>
    </row>
    <row r="194">
      <c r="A194" t="inlineStr">
        <is>
          <t>ED211967</t>
        </is>
      </c>
      <c r="B194" s="26" t="n">
        <v>46006.10694444444</v>
      </c>
      <c r="C194" t="inlineStr">
        <is>
          <t>Walk-In</t>
        </is>
      </c>
      <c r="D194" t="n">
        <v>5</v>
      </c>
      <c r="E194" t="inlineStr">
        <is>
          <t>Ear Pain / Fever</t>
        </is>
      </c>
      <c r="F194" s="28" t="n">
        <v>100.6</v>
      </c>
      <c r="G194" t="n">
        <v>100</v>
      </c>
      <c r="H194" t="n">
        <v>26</v>
      </c>
      <c r="I194" t="n">
        <v>89</v>
      </c>
      <c r="J194" t="n">
        <v>98</v>
      </c>
      <c r="K194" t="n">
        <v>2</v>
      </c>
      <c r="L194" t="inlineStr">
        <is>
          <t>Discharged</t>
        </is>
      </c>
      <c r="M194" s="27" t="n"/>
      <c r="N194" s="27" t="n"/>
      <c r="O194" s="27" t="n"/>
      <c r="P194" s="27" t="n"/>
      <c r="Q194" s="29" t="n"/>
      <c r="R194" s="27" t="n"/>
    </row>
    <row r="195">
      <c r="A195" t="inlineStr">
        <is>
          <t>ED211968</t>
        </is>
      </c>
      <c r="B195" s="26" t="n">
        <v>46006.13333333333</v>
      </c>
      <c r="C195" t="inlineStr">
        <is>
          <t>Walk-In</t>
        </is>
      </c>
      <c r="D195" t="n">
        <v>3</v>
      </c>
      <c r="E195" t="inlineStr">
        <is>
          <t>Chest Pain</t>
        </is>
      </c>
      <c r="F195" s="28" t="n">
        <v>97.90000000000001</v>
      </c>
      <c r="G195" t="n">
        <v>96</v>
      </c>
      <c r="H195" t="n">
        <v>12</v>
      </c>
      <c r="I195" t="n">
        <v>164</v>
      </c>
      <c r="J195" t="n">
        <v>98</v>
      </c>
      <c r="K195" t="n">
        <v>4</v>
      </c>
      <c r="L195" t="inlineStr">
        <is>
          <t>Discharged</t>
        </is>
      </c>
      <c r="M195" s="27" t="n"/>
      <c r="N195" s="27" t="n"/>
      <c r="O195" s="27" t="n"/>
      <c r="P195" s="27" t="n"/>
      <c r="Q195" s="29" t="n"/>
      <c r="R195" s="27" t="n"/>
    </row>
    <row r="196">
      <c r="A196" t="inlineStr">
        <is>
          <t>ED211969</t>
        </is>
      </c>
      <c r="B196" s="26" t="n">
        <v>46006.19444444445</v>
      </c>
      <c r="C196" t="inlineStr">
        <is>
          <t>Walk-In</t>
        </is>
      </c>
      <c r="D196" t="n">
        <v>2</v>
      </c>
      <c r="E196" t="inlineStr">
        <is>
          <t>Cough / Fever</t>
        </is>
      </c>
      <c r="F196" s="28" t="n">
        <v>101</v>
      </c>
      <c r="G196" t="n">
        <v>101</v>
      </c>
      <c r="H196" t="n">
        <v>23</v>
      </c>
      <c r="I196" t="n">
        <v>123</v>
      </c>
      <c r="J196" t="n">
        <v>90</v>
      </c>
      <c r="K196" t="n">
        <v>2</v>
      </c>
      <c r="L196" t="inlineStr">
        <is>
          <t>Admitted</t>
        </is>
      </c>
      <c r="M196" s="27" t="n"/>
      <c r="N196" s="27" t="n"/>
      <c r="O196" s="27" t="n"/>
      <c r="P196" s="27" t="n"/>
      <c r="Q196" s="29" t="n"/>
      <c r="R196" s="27" t="n"/>
    </row>
    <row r="197">
      <c r="A197" t="inlineStr">
        <is>
          <t>ED211970</t>
        </is>
      </c>
      <c r="B197" s="26" t="n">
        <v>46006.22569444445</v>
      </c>
      <c r="C197" t="inlineStr">
        <is>
          <t>Walk-In</t>
        </is>
      </c>
      <c r="D197" t="n">
        <v>4</v>
      </c>
      <c r="E197" t="inlineStr">
        <is>
          <t>Cough / Fever</t>
        </is>
      </c>
      <c r="F197" s="28" t="n">
        <v>98.59999999999999</v>
      </c>
      <c r="G197" t="n">
        <v>81</v>
      </c>
      <c r="H197" t="n">
        <v>16</v>
      </c>
      <c r="I197" t="n">
        <v>123</v>
      </c>
      <c r="J197" t="n">
        <v>96</v>
      </c>
      <c r="K197" t="n">
        <v>0</v>
      </c>
      <c r="L197" t="inlineStr">
        <is>
          <t>Discharged</t>
        </is>
      </c>
      <c r="M197" s="27" t="n"/>
      <c r="N197" s="27" t="n"/>
      <c r="O197" s="27" t="n"/>
      <c r="P197" s="27" t="n"/>
      <c r="Q197" s="29" t="n"/>
      <c r="R197" s="27" t="n"/>
    </row>
    <row r="198">
      <c r="A198" t="inlineStr">
        <is>
          <t>ED211971</t>
        </is>
      </c>
      <c r="B198" s="26" t="n">
        <v>46006.30625</v>
      </c>
      <c r="C198" t="inlineStr">
        <is>
          <t>Walk-In</t>
        </is>
      </c>
      <c r="D198" t="n">
        <v>3</v>
      </c>
      <c r="E198" t="inlineStr">
        <is>
          <t>Shortness of Breath</t>
        </is>
      </c>
      <c r="F198" s="28" t="n">
        <v>98.40000000000001</v>
      </c>
      <c r="G198" t="n">
        <v>105</v>
      </c>
      <c r="H198" t="n">
        <v>17</v>
      </c>
      <c r="J198" t="n">
        <v>84</v>
      </c>
      <c r="K198" t="n">
        <v>3</v>
      </c>
      <c r="L198" t="inlineStr">
        <is>
          <t>Admitted</t>
        </is>
      </c>
      <c r="M198" s="27" t="n"/>
      <c r="N198" s="27" t="n"/>
      <c r="O198" s="27" t="n"/>
      <c r="P198" s="27" t="n"/>
      <c r="Q198" s="29" t="n"/>
      <c r="R198" s="27" t="n"/>
    </row>
    <row r="199">
      <c r="A199" t="inlineStr">
        <is>
          <t>ED211973</t>
        </is>
      </c>
      <c r="B199" s="26" t="n">
        <v>46006.37222222222</v>
      </c>
      <c r="C199" t="inlineStr">
        <is>
          <t>Walk-In</t>
        </is>
      </c>
      <c r="D199" t="n">
        <v>3</v>
      </c>
      <c r="E199" t="inlineStr">
        <is>
          <t>Headache</t>
        </is>
      </c>
      <c r="F199" s="28" t="n">
        <v>98.2</v>
      </c>
      <c r="G199" t="n">
        <v>86</v>
      </c>
      <c r="H199" t="n">
        <v>15</v>
      </c>
      <c r="I199" t="n">
        <v>207</v>
      </c>
      <c r="J199" t="n">
        <v>99</v>
      </c>
      <c r="K199" t="n">
        <v>0</v>
      </c>
      <c r="L199" t="inlineStr">
        <is>
          <t>LWBS</t>
        </is>
      </c>
      <c r="M199" s="27" t="n"/>
      <c r="N199" s="27" t="n"/>
      <c r="O199" s="27" t="n"/>
      <c r="P199" s="27" t="n"/>
      <c r="Q199" s="29" t="n"/>
      <c r="R199" s="27" t="n"/>
    </row>
    <row r="200">
      <c r="A200" t="inlineStr">
        <is>
          <t>ED211974</t>
        </is>
      </c>
      <c r="B200" s="26" t="n">
        <v>46006.40416666667</v>
      </c>
      <c r="C200" t="inlineStr">
        <is>
          <t>Walk-In</t>
        </is>
      </c>
      <c r="D200" t="n">
        <v>5</v>
      </c>
      <c r="E200" t="inlineStr">
        <is>
          <t>Vomiting / Dizziness</t>
        </is>
      </c>
      <c r="F200" s="28" t="n">
        <v>98.2</v>
      </c>
      <c r="G200" t="n">
        <v>100</v>
      </c>
      <c r="H200" t="n">
        <v>18</v>
      </c>
      <c r="I200" t="n">
        <v>148</v>
      </c>
      <c r="J200" t="n">
        <v>98</v>
      </c>
      <c r="K200" t="n">
        <v>3</v>
      </c>
      <c r="L200" t="inlineStr">
        <is>
          <t>LWBS</t>
        </is>
      </c>
      <c r="M200" s="27" t="n"/>
      <c r="N200" s="27" t="n"/>
      <c r="O200" s="27" t="n"/>
      <c r="P200" s="27" t="n"/>
      <c r="Q200" s="29" t="n"/>
      <c r="R200" s="27" t="n"/>
    </row>
    <row r="201">
      <c r="A201" t="inlineStr">
        <is>
          <t>ED211976</t>
        </is>
      </c>
      <c r="B201" s="26" t="n">
        <v>46006.42986111111</v>
      </c>
      <c r="C201" t="inlineStr">
        <is>
          <t>Walk-In</t>
        </is>
      </c>
      <c r="D201" t="n">
        <v>3</v>
      </c>
      <c r="E201" t="inlineStr">
        <is>
          <t>Ear Pain / Fever</t>
        </is>
      </c>
      <c r="F201" s="28" t="n">
        <v>100</v>
      </c>
      <c r="G201" t="n">
        <v>128</v>
      </c>
      <c r="H201" t="n">
        <v>23</v>
      </c>
      <c r="I201" t="n">
        <v>97</v>
      </c>
      <c r="J201" t="n">
        <v>98</v>
      </c>
      <c r="K201" t="n">
        <v>2</v>
      </c>
      <c r="L201" t="inlineStr">
        <is>
          <t>Discharged</t>
        </is>
      </c>
      <c r="M201" s="27" t="n"/>
      <c r="N201" s="27" t="n"/>
      <c r="O201" s="27" t="n"/>
      <c r="P201" s="27" t="n"/>
      <c r="Q201" s="29" t="n"/>
      <c r="R201" s="27" t="n"/>
    </row>
    <row r="202">
      <c r="A202" t="inlineStr">
        <is>
          <t>ED211978</t>
        </is>
      </c>
      <c r="B202" s="26" t="n">
        <v>46006.45416666667</v>
      </c>
      <c r="C202" t="inlineStr">
        <is>
          <t>Ambulance</t>
        </is>
      </c>
      <c r="D202" t="n">
        <v>1</v>
      </c>
      <c r="E202" t="inlineStr">
        <is>
          <t>Shortness of Breath</t>
        </is>
      </c>
      <c r="F202" s="28" t="n">
        <v>98.2</v>
      </c>
      <c r="G202" t="n">
        <v>123</v>
      </c>
      <c r="H202" t="n">
        <v>26</v>
      </c>
      <c r="I202" t="n">
        <v>142</v>
      </c>
      <c r="J202" t="n">
        <v>88</v>
      </c>
      <c r="K202" t="n">
        <v>1</v>
      </c>
      <c r="L202" t="inlineStr">
        <is>
          <t>Admitted</t>
        </is>
      </c>
      <c r="M202" s="27" t="n"/>
      <c r="N202" s="27" t="n"/>
      <c r="O202" s="27" t="n"/>
      <c r="P202" s="27" t="n"/>
      <c r="Q202" s="29" t="n"/>
      <c r="R202" s="27" t="n"/>
    </row>
    <row r="203">
      <c r="A203" t="inlineStr">
        <is>
          <t>ED211979</t>
        </is>
      </c>
      <c r="B203" s="26" t="n">
        <v>46006.46875</v>
      </c>
      <c r="C203" t="inlineStr">
        <is>
          <t>Walk-In</t>
        </is>
      </c>
      <c r="D203" t="n">
        <v>5</v>
      </c>
      <c r="E203" t="inlineStr">
        <is>
          <t>Cough / Fever</t>
        </is>
      </c>
      <c r="F203" s="28" t="n">
        <v>98.2</v>
      </c>
      <c r="G203" t="n">
        <v>74</v>
      </c>
      <c r="H203" t="n">
        <v>18</v>
      </c>
      <c r="I203" t="n">
        <v>147</v>
      </c>
      <c r="J203" t="n">
        <v>98</v>
      </c>
      <c r="K203" t="n">
        <v>2</v>
      </c>
      <c r="L203" t="inlineStr">
        <is>
          <t>Discharged</t>
        </is>
      </c>
      <c r="M203" s="27" t="n"/>
      <c r="N203" s="27" t="n"/>
      <c r="O203" s="27" t="n"/>
      <c r="P203" s="27" t="n"/>
      <c r="Q203" s="29" t="n"/>
      <c r="R203" s="27" t="n"/>
    </row>
    <row r="204">
      <c r="A204" t="inlineStr">
        <is>
          <t>ED211980</t>
        </is>
      </c>
      <c r="B204" s="26" t="n">
        <v>46006.50972222222</v>
      </c>
      <c r="C204" t="inlineStr">
        <is>
          <t>Walk-In</t>
        </is>
      </c>
      <c r="D204" t="n">
        <v>3</v>
      </c>
      <c r="E204" t="inlineStr">
        <is>
          <t>Abdominal Pain</t>
        </is>
      </c>
      <c r="F204" s="28" t="n">
        <v>98.7</v>
      </c>
      <c r="G204" t="n">
        <v>83</v>
      </c>
      <c r="H204" t="n">
        <v>12</v>
      </c>
      <c r="I204" t="n">
        <v>135</v>
      </c>
      <c r="J204" t="n">
        <v>96</v>
      </c>
      <c r="K204" t="n">
        <v>10</v>
      </c>
      <c r="L204" t="inlineStr">
        <is>
          <t>Discharged</t>
        </is>
      </c>
      <c r="M204" s="27" t="n"/>
      <c r="N204" s="27" t="n"/>
      <c r="O204" s="27" t="n"/>
      <c r="P204" s="27" t="n"/>
      <c r="Q204" s="29" t="n"/>
      <c r="R204" s="27" t="n"/>
    </row>
    <row r="205">
      <c r="A205" t="inlineStr">
        <is>
          <t>ED211984</t>
        </is>
      </c>
      <c r="B205" s="26" t="n">
        <v>46006.73194444444</v>
      </c>
      <c r="C205" t="inlineStr">
        <is>
          <t>Walk-In</t>
        </is>
      </c>
      <c r="D205" t="n">
        <v>5</v>
      </c>
      <c r="E205" t="inlineStr">
        <is>
          <t>Cough / Fever</t>
        </is>
      </c>
      <c r="F205" s="28" t="n">
        <v>98.5</v>
      </c>
      <c r="G205" t="n">
        <v>109</v>
      </c>
      <c r="H205" t="n">
        <v>19</v>
      </c>
      <c r="I205" t="n">
        <v>162</v>
      </c>
      <c r="J205" t="n">
        <v>96</v>
      </c>
      <c r="K205" t="n">
        <v>3</v>
      </c>
      <c r="L205" t="inlineStr">
        <is>
          <t>Discharged</t>
        </is>
      </c>
      <c r="M205" s="27" t="n"/>
      <c r="N205" s="27" t="n"/>
      <c r="O205" s="27" t="n"/>
      <c r="P205" s="27" t="n"/>
      <c r="Q205" s="29" t="n"/>
      <c r="R205" s="27" t="n"/>
    </row>
    <row r="206">
      <c r="A206" t="inlineStr">
        <is>
          <t>ED211986</t>
        </is>
      </c>
      <c r="B206" s="26" t="n">
        <v>46006.79722222222</v>
      </c>
      <c r="C206" t="inlineStr">
        <is>
          <t>Walk-In</t>
        </is>
      </c>
      <c r="D206" t="n">
        <v>3</v>
      </c>
      <c r="E206" t="inlineStr">
        <is>
          <t>Cough / Fever</t>
        </is>
      </c>
      <c r="F206" s="28" t="n">
        <v>102.1</v>
      </c>
      <c r="G206" t="n">
        <v>100</v>
      </c>
      <c r="H206" t="n">
        <v>24</v>
      </c>
      <c r="I206" t="n">
        <v>96</v>
      </c>
      <c r="J206" t="n">
        <v>90</v>
      </c>
      <c r="K206" t="n">
        <v>1</v>
      </c>
      <c r="L206" t="inlineStr">
        <is>
          <t>Discharged</t>
        </is>
      </c>
      <c r="M206" s="27" t="n"/>
      <c r="N206" s="27" t="n"/>
      <c r="O206" s="27" t="n"/>
      <c r="P206" s="27" t="n"/>
      <c r="Q206" s="29" t="n"/>
      <c r="R206" s="27" t="n"/>
    </row>
    <row r="207">
      <c r="A207" t="inlineStr">
        <is>
          <t>ED211987</t>
        </is>
      </c>
      <c r="B207" s="26" t="n">
        <v>46006.80208333334</v>
      </c>
      <c r="C207" t="inlineStr">
        <is>
          <t>Ambulance</t>
        </is>
      </c>
      <c r="D207" t="n">
        <v>1</v>
      </c>
      <c r="E207" t="inlineStr">
        <is>
          <t>Shortness of Breath</t>
        </is>
      </c>
      <c r="F207" s="28" t="n">
        <v>98.2</v>
      </c>
      <c r="G207" t="n">
        <v>113</v>
      </c>
      <c r="H207" t="n">
        <v>27</v>
      </c>
      <c r="I207" t="n">
        <v>122</v>
      </c>
      <c r="J207" t="n">
        <v>89</v>
      </c>
      <c r="K207" t="n">
        <v>0</v>
      </c>
      <c r="L207" t="inlineStr">
        <is>
          <t>Admitted</t>
        </is>
      </c>
      <c r="M207" s="27" t="n"/>
      <c r="N207" s="27" t="n"/>
      <c r="O207" s="27" t="n"/>
      <c r="P207" s="27" t="n"/>
      <c r="Q207" s="29" t="n"/>
      <c r="R207" s="27" t="n"/>
    </row>
    <row r="208">
      <c r="A208" t="inlineStr">
        <is>
          <t>ED211989</t>
        </is>
      </c>
      <c r="B208" s="26" t="n">
        <v>46006.95486111111</v>
      </c>
      <c r="C208" t="inlineStr">
        <is>
          <t>Walk-In</t>
        </is>
      </c>
      <c r="D208" t="n">
        <v>3</v>
      </c>
      <c r="E208" t="inlineStr">
        <is>
          <t>Vomiting / Diarrhea</t>
        </is>
      </c>
      <c r="F208" s="28" t="n">
        <v>99.3</v>
      </c>
      <c r="G208" t="n">
        <v>109</v>
      </c>
      <c r="H208" t="n">
        <v>15</v>
      </c>
      <c r="I208" t="n">
        <v>115</v>
      </c>
      <c r="J208" t="n">
        <v>97</v>
      </c>
      <c r="K208" t="n">
        <v>0</v>
      </c>
      <c r="L208" t="inlineStr">
        <is>
          <t>Admitted</t>
        </is>
      </c>
      <c r="M208" s="27" t="n"/>
      <c r="N208" s="27" t="n"/>
      <c r="O208" s="27" t="n"/>
      <c r="P208" s="27" t="n"/>
      <c r="Q208" s="29" t="n"/>
      <c r="R208" s="27" t="n"/>
    </row>
    <row r="209">
      <c r="A209" t="inlineStr">
        <is>
          <t>ED211990</t>
        </is>
      </c>
      <c r="B209" s="26" t="n">
        <v>46007.09166666667</v>
      </c>
      <c r="C209" t="inlineStr">
        <is>
          <t>Ambulance</t>
        </is>
      </c>
      <c r="D209" t="n">
        <v>2</v>
      </c>
      <c r="E209" t="inlineStr">
        <is>
          <t>Palpitations</t>
        </is>
      </c>
      <c r="F209" s="28" t="n">
        <v>98.2</v>
      </c>
      <c r="G209" t="n">
        <v>111</v>
      </c>
      <c r="H209" t="n">
        <v>15</v>
      </c>
      <c r="I209" t="n">
        <v>101</v>
      </c>
      <c r="J209" t="n">
        <v>98</v>
      </c>
      <c r="K209" t="n">
        <v>0</v>
      </c>
      <c r="L209" t="inlineStr">
        <is>
          <t>Admitted</t>
        </is>
      </c>
      <c r="M209" s="27" t="n"/>
      <c r="N209" s="27" t="n"/>
      <c r="O209" s="27" t="n"/>
      <c r="P209" s="27" t="n"/>
      <c r="Q209" s="29" t="n"/>
      <c r="R209" s="27" t="n"/>
    </row>
    <row r="210">
      <c r="A210" t="inlineStr">
        <is>
          <t>ED211991</t>
        </is>
      </c>
      <c r="B210" s="26" t="n">
        <v>46007.19722222222</v>
      </c>
      <c r="C210" t="inlineStr">
        <is>
          <t>Walk-In</t>
        </is>
      </c>
      <c r="D210" t="n">
        <v>5</v>
      </c>
      <c r="E210" t="inlineStr">
        <is>
          <t>Ankle Injury</t>
        </is>
      </c>
      <c r="F210" s="28" t="n">
        <v>97.8</v>
      </c>
      <c r="G210" t="n">
        <v>78</v>
      </c>
      <c r="H210" t="n">
        <v>13</v>
      </c>
      <c r="I210" t="n">
        <v>129</v>
      </c>
      <c r="J210" t="n">
        <v>97</v>
      </c>
      <c r="K210" t="n">
        <v>10</v>
      </c>
      <c r="L210" t="inlineStr">
        <is>
          <t>Discharged</t>
        </is>
      </c>
      <c r="M210" s="27" t="n"/>
      <c r="N210" s="27" t="n"/>
      <c r="O210" s="27" t="n"/>
      <c r="P210" s="27" t="n"/>
      <c r="Q210" s="29" t="n"/>
      <c r="R210" s="27" t="n"/>
    </row>
    <row r="211">
      <c r="A211" t="inlineStr">
        <is>
          <t>ED211992</t>
        </is>
      </c>
      <c r="B211" s="26" t="n">
        <v>46007.24861111111</v>
      </c>
      <c r="C211" t="inlineStr">
        <is>
          <t>Ambulance</t>
        </is>
      </c>
      <c r="D211" t="n">
        <v>2</v>
      </c>
      <c r="E211" t="inlineStr">
        <is>
          <t>Tremors / Alcohol Withdrawal</t>
        </is>
      </c>
      <c r="F211" s="28" t="n">
        <v>99</v>
      </c>
      <c r="G211" t="n">
        <v>76</v>
      </c>
      <c r="H211" t="n">
        <v>16</v>
      </c>
      <c r="I211" t="n">
        <v>139</v>
      </c>
      <c r="J211" t="n">
        <v>98</v>
      </c>
      <c r="K211" t="n">
        <v>0</v>
      </c>
      <c r="L211" t="inlineStr">
        <is>
          <t>Admitted</t>
        </is>
      </c>
      <c r="M211" s="27" t="n"/>
      <c r="N211" s="27" t="n"/>
      <c r="O211" s="27" t="n"/>
      <c r="P211" s="27" t="n"/>
      <c r="Q211" s="29" t="n"/>
      <c r="R211" s="27" t="n"/>
    </row>
    <row r="212">
      <c r="A212" t="inlineStr">
        <is>
          <t>ED211993</t>
        </is>
      </c>
      <c r="B212" s="26" t="n">
        <v>46007.35347222222</v>
      </c>
      <c r="C212" t="inlineStr">
        <is>
          <t>Walk-In</t>
        </is>
      </c>
      <c r="D212" t="n">
        <v>4</v>
      </c>
      <c r="E212" t="inlineStr">
        <is>
          <t>Shortness of Breath</t>
        </is>
      </c>
      <c r="F212" s="28" t="n">
        <v>98.8</v>
      </c>
      <c r="G212" t="n">
        <v>137</v>
      </c>
      <c r="H212" t="n">
        <v>26</v>
      </c>
      <c r="I212" t="n">
        <v>131</v>
      </c>
      <c r="J212" t="n">
        <v>83</v>
      </c>
      <c r="K212" t="n">
        <v>0</v>
      </c>
      <c r="L212" t="inlineStr">
        <is>
          <t>Admitted</t>
        </is>
      </c>
      <c r="M212" s="27" t="n"/>
      <c r="N212" s="27" t="n"/>
      <c r="O212" s="27" t="n"/>
      <c r="P212" s="27" t="n"/>
      <c r="Q212" s="29" t="n"/>
      <c r="R212" s="27" t="n"/>
    </row>
    <row r="213">
      <c r="A213" t="inlineStr">
        <is>
          <t>ED211995</t>
        </is>
      </c>
      <c r="B213" s="26" t="n">
        <v>46007.42152777778</v>
      </c>
      <c r="C213" t="inlineStr">
        <is>
          <t>Ambulance</t>
        </is>
      </c>
      <c r="D213" t="n">
        <v>3</v>
      </c>
      <c r="E213" t="inlineStr">
        <is>
          <t>Breast Mass</t>
        </is>
      </c>
      <c r="F213" s="28" t="n">
        <v>97.8</v>
      </c>
      <c r="G213" t="n">
        <v>92</v>
      </c>
      <c r="H213" t="n">
        <v>16</v>
      </c>
      <c r="I213" t="n">
        <v>111</v>
      </c>
      <c r="J213" t="n">
        <v>99</v>
      </c>
      <c r="K213" t="n">
        <v>0</v>
      </c>
      <c r="L213" t="inlineStr">
        <is>
          <t>Admitted</t>
        </is>
      </c>
      <c r="M213" s="27" t="n"/>
      <c r="N213" s="27" t="n"/>
      <c r="O213" s="27" t="n"/>
      <c r="P213" s="27" t="n"/>
      <c r="Q213" s="29" t="n"/>
      <c r="R213" s="27" t="n"/>
    </row>
    <row r="214">
      <c r="A214" t="inlineStr">
        <is>
          <t>ED211996</t>
        </is>
      </c>
      <c r="B214" s="26" t="n">
        <v>46007.43958333333</v>
      </c>
      <c r="C214" t="inlineStr">
        <is>
          <t>Walk-In</t>
        </is>
      </c>
      <c r="D214" t="n">
        <v>4</v>
      </c>
      <c r="E214" t="inlineStr">
        <is>
          <t>Back Pain</t>
        </is>
      </c>
      <c r="F214" s="28" t="n">
        <v>98</v>
      </c>
      <c r="G214" t="n">
        <v>105</v>
      </c>
      <c r="H214" t="n">
        <v>14</v>
      </c>
      <c r="I214" t="n">
        <v>106</v>
      </c>
      <c r="J214" t="n">
        <v>97</v>
      </c>
      <c r="K214" t="n">
        <v>6</v>
      </c>
      <c r="L214" t="inlineStr">
        <is>
          <t>Discharged</t>
        </is>
      </c>
      <c r="M214" s="27" t="n"/>
      <c r="N214" s="27" t="n"/>
      <c r="O214" s="27" t="n"/>
      <c r="P214" s="27" t="n"/>
      <c r="Q214" s="29" t="n"/>
      <c r="R214" s="27" t="n"/>
    </row>
    <row r="215">
      <c r="A215" t="inlineStr">
        <is>
          <t>ED211998</t>
        </is>
      </c>
      <c r="B215" s="26" t="n">
        <v>46007.46597222222</v>
      </c>
      <c r="C215" t="inlineStr">
        <is>
          <t>Walk-In</t>
        </is>
      </c>
      <c r="D215" t="n">
        <v>2</v>
      </c>
      <c r="E215" t="inlineStr">
        <is>
          <t>Seizure</t>
        </is>
      </c>
      <c r="F215" s="28" t="n">
        <v>98.59999999999999</v>
      </c>
      <c r="G215" t="n">
        <v>82</v>
      </c>
      <c r="H215" t="n">
        <v>16</v>
      </c>
      <c r="I215" t="n">
        <v>147</v>
      </c>
      <c r="J215" t="n">
        <v>98</v>
      </c>
      <c r="K215" t="n">
        <v>2</v>
      </c>
      <c r="L215" t="inlineStr">
        <is>
          <t>Discharged</t>
        </is>
      </c>
      <c r="M215" s="27" t="n"/>
      <c r="N215" s="27" t="n"/>
      <c r="O215" s="27" t="n"/>
      <c r="P215" s="27" t="n"/>
      <c r="Q215" s="29" t="n"/>
      <c r="R215" s="27" t="n"/>
    </row>
    <row r="216">
      <c r="A216" t="inlineStr">
        <is>
          <t>ED212000</t>
        </is>
      </c>
      <c r="B216" s="26" t="n">
        <v>46007.57083333333</v>
      </c>
      <c r="C216" t="inlineStr">
        <is>
          <t>Walk-In</t>
        </is>
      </c>
      <c r="D216" t="n">
        <v>3</v>
      </c>
      <c r="E216" t="inlineStr">
        <is>
          <t>Cough / Fever</t>
        </is>
      </c>
      <c r="F216" s="28" t="n">
        <v>97.40000000000001</v>
      </c>
      <c r="G216" t="n">
        <v>86</v>
      </c>
      <c r="H216" t="n">
        <v>19</v>
      </c>
      <c r="I216" t="n">
        <v>148</v>
      </c>
      <c r="J216" t="n">
        <v>98</v>
      </c>
      <c r="K216" t="n">
        <v>2</v>
      </c>
      <c r="L216" t="inlineStr">
        <is>
          <t>Discharged</t>
        </is>
      </c>
      <c r="M216" s="27" t="n"/>
      <c r="N216" s="27" t="n"/>
      <c r="O216" s="27" t="n"/>
      <c r="P216" s="27" t="n"/>
      <c r="Q216" s="29" t="n"/>
      <c r="R216" s="27" t="n"/>
    </row>
    <row r="217">
      <c r="A217" t="inlineStr">
        <is>
          <t>ED212001</t>
        </is>
      </c>
      <c r="B217" s="26" t="n">
        <v>46007.675</v>
      </c>
      <c r="C217" t="inlineStr">
        <is>
          <t>Ambulance</t>
        </is>
      </c>
      <c r="D217" t="n">
        <v>2</v>
      </c>
      <c r="E217" t="inlineStr">
        <is>
          <t>Weakness / Numbness</t>
        </is>
      </c>
      <c r="F217" s="28" t="n">
        <v>97.59999999999999</v>
      </c>
      <c r="G217" t="n">
        <v>97</v>
      </c>
      <c r="H217" t="n">
        <v>14</v>
      </c>
      <c r="I217" t="n">
        <v>182</v>
      </c>
      <c r="J217" t="n">
        <v>99</v>
      </c>
      <c r="K217" t="n">
        <v>0</v>
      </c>
      <c r="L217" t="inlineStr">
        <is>
          <t>Admitted</t>
        </is>
      </c>
      <c r="M217" s="27" t="n"/>
      <c r="N217" s="27" t="n"/>
      <c r="O217" s="27" t="n"/>
      <c r="P217" s="27" t="n"/>
      <c r="Q217" s="29" t="n"/>
      <c r="R217" s="27" t="n"/>
    </row>
    <row r="218">
      <c r="A218" t="inlineStr">
        <is>
          <t>ED212003</t>
        </is>
      </c>
      <c r="B218" s="26" t="n">
        <v>46007.74027777778</v>
      </c>
      <c r="C218" t="inlineStr">
        <is>
          <t>Ambulance</t>
        </is>
      </c>
      <c r="D218" t="n">
        <v>2</v>
      </c>
      <c r="E218" t="inlineStr">
        <is>
          <t>Nausea</t>
        </is>
      </c>
      <c r="F218" s="28" t="n">
        <v>97.90000000000001</v>
      </c>
      <c r="G218" t="n">
        <v>127</v>
      </c>
      <c r="H218" t="n">
        <v>17</v>
      </c>
      <c r="I218" t="n">
        <v>112</v>
      </c>
      <c r="J218" t="n">
        <v>97</v>
      </c>
      <c r="K218" t="n">
        <v>1</v>
      </c>
      <c r="L218" t="inlineStr">
        <is>
          <t>Admitted</t>
        </is>
      </c>
      <c r="M218" s="27" t="n"/>
      <c r="N218" s="27" t="n"/>
      <c r="O218" s="27" t="n"/>
      <c r="P218" s="27" t="n"/>
      <c r="Q218" s="29" t="n"/>
      <c r="R218" s="27" t="n"/>
    </row>
    <row r="219">
      <c r="A219" t="inlineStr">
        <is>
          <t>ED212004</t>
        </is>
      </c>
      <c r="B219" s="26" t="n">
        <v>46007.74791666667</v>
      </c>
      <c r="C219" t="inlineStr">
        <is>
          <t>Walk-In</t>
        </is>
      </c>
      <c r="D219" t="n">
        <v>3</v>
      </c>
      <c r="E219" t="inlineStr">
        <is>
          <t>Cough / Fever</t>
        </is>
      </c>
      <c r="F219" s="28" t="n">
        <v>100.5</v>
      </c>
      <c r="G219" t="n">
        <v>98</v>
      </c>
      <c r="H219" t="n">
        <v>22</v>
      </c>
      <c r="I219" t="n">
        <v>107</v>
      </c>
      <c r="J219" t="n">
        <v>91</v>
      </c>
      <c r="K219" t="n">
        <v>0</v>
      </c>
      <c r="L219" t="inlineStr">
        <is>
          <t>Admitted</t>
        </is>
      </c>
      <c r="M219" s="27" t="n"/>
      <c r="N219" s="27" t="n"/>
      <c r="O219" s="27" t="n"/>
      <c r="P219" s="27" t="n"/>
      <c r="Q219" s="29" t="n"/>
      <c r="R219" s="27" t="n"/>
    </row>
    <row r="220">
      <c r="A220" t="inlineStr">
        <is>
          <t>ED212005</t>
        </is>
      </c>
      <c r="B220" s="26" t="n">
        <v>46007.75277777778</v>
      </c>
      <c r="C220" t="inlineStr">
        <is>
          <t>Walk-In</t>
        </is>
      </c>
      <c r="D220" t="n">
        <v>3</v>
      </c>
      <c r="E220" t="inlineStr">
        <is>
          <t>Cough / Fever</t>
        </is>
      </c>
      <c r="F220" s="28" t="n">
        <v>97.90000000000001</v>
      </c>
      <c r="G220" t="n">
        <v>90</v>
      </c>
      <c r="H220" t="n">
        <v>18</v>
      </c>
      <c r="I220" t="n">
        <v>95</v>
      </c>
      <c r="J220" t="n">
        <v>99</v>
      </c>
      <c r="K220" t="n">
        <v>0</v>
      </c>
      <c r="L220" t="inlineStr">
        <is>
          <t>Discharged</t>
        </is>
      </c>
      <c r="M220" s="27" t="n"/>
      <c r="N220" s="27" t="n"/>
      <c r="O220" s="27" t="n"/>
      <c r="P220" s="27" t="n"/>
      <c r="Q220" s="29" t="n"/>
      <c r="R220" s="27" t="n"/>
    </row>
    <row r="221">
      <c r="A221" t="inlineStr">
        <is>
          <t>ED212006</t>
        </is>
      </c>
      <c r="B221" s="26" t="n">
        <v>46007.75277777778</v>
      </c>
      <c r="C221" t="inlineStr">
        <is>
          <t>Walk-In</t>
        </is>
      </c>
      <c r="D221" t="n">
        <v>2</v>
      </c>
      <c r="E221" t="inlineStr">
        <is>
          <t>Weakness / Numbness</t>
        </is>
      </c>
      <c r="F221" s="28" t="n">
        <v>98.40000000000001</v>
      </c>
      <c r="G221" t="n">
        <v>92</v>
      </c>
      <c r="H221" t="n">
        <v>12</v>
      </c>
      <c r="I221" t="n">
        <v>186</v>
      </c>
      <c r="J221" t="n">
        <v>97</v>
      </c>
      <c r="K221" t="n">
        <v>0</v>
      </c>
      <c r="L221" t="inlineStr">
        <is>
          <t>Admitted</t>
        </is>
      </c>
      <c r="M221" s="27" t="n"/>
      <c r="N221" s="27" t="n"/>
      <c r="O221" s="27" t="n"/>
      <c r="P221" s="27" t="n"/>
      <c r="Q221" s="29" t="n"/>
      <c r="R221" s="27" t="n"/>
    </row>
    <row r="222">
      <c r="A222" t="inlineStr">
        <is>
          <t>ED212007</t>
        </is>
      </c>
      <c r="B222" s="26" t="n">
        <v>46007.76319444444</v>
      </c>
      <c r="C222" t="inlineStr">
        <is>
          <t>Walk-In</t>
        </is>
      </c>
      <c r="D222" t="n">
        <v>4</v>
      </c>
      <c r="E222" t="inlineStr">
        <is>
          <t>Vomiting / Diarrhea</t>
        </is>
      </c>
      <c r="F222" s="28" t="n">
        <v>98.8</v>
      </c>
      <c r="G222" t="n">
        <v>102</v>
      </c>
      <c r="H222" t="n">
        <v>11</v>
      </c>
      <c r="I222" t="n">
        <v>127</v>
      </c>
      <c r="J222" t="n">
        <v>96</v>
      </c>
      <c r="K222" t="n">
        <v>0</v>
      </c>
      <c r="L222" t="inlineStr">
        <is>
          <t>Discharged</t>
        </is>
      </c>
      <c r="M222" s="27" t="n"/>
      <c r="N222" s="27" t="n"/>
      <c r="O222" s="27" t="n"/>
      <c r="P222" s="27" t="n"/>
      <c r="Q222" s="29" t="n"/>
      <c r="R222" s="27" t="n"/>
    </row>
    <row r="223">
      <c r="A223" t="inlineStr">
        <is>
          <t>ED212008</t>
        </is>
      </c>
      <c r="B223" s="26" t="n">
        <v>46007.76527777778</v>
      </c>
      <c r="C223" t="inlineStr">
        <is>
          <t>Walk-In</t>
        </is>
      </c>
      <c r="D223" t="n">
        <v>4</v>
      </c>
      <c r="E223" t="inlineStr">
        <is>
          <t>Cough / Fever</t>
        </is>
      </c>
      <c r="F223" s="28" t="n">
        <v>98.09999999999999</v>
      </c>
      <c r="G223" t="n">
        <v>99</v>
      </c>
      <c r="H223" t="n">
        <v>15</v>
      </c>
      <c r="I223" t="n">
        <v>163</v>
      </c>
      <c r="J223" t="n">
        <v>98</v>
      </c>
      <c r="K223" t="n">
        <v>1</v>
      </c>
      <c r="L223" t="inlineStr">
        <is>
          <t>Discharged</t>
        </is>
      </c>
      <c r="M223" s="27" t="n"/>
      <c r="N223" s="27" t="n"/>
      <c r="O223" s="27" t="n"/>
      <c r="P223" s="27" t="n"/>
      <c r="Q223" s="29" t="n"/>
      <c r="R223" s="27" t="n"/>
    </row>
    <row r="224">
      <c r="A224" t="inlineStr">
        <is>
          <t>ED212011</t>
        </is>
      </c>
      <c r="B224" s="26" t="n">
        <v>46007.80902777778</v>
      </c>
      <c r="C224" t="inlineStr">
        <is>
          <t>Walk-In</t>
        </is>
      </c>
      <c r="D224" t="n">
        <v>3</v>
      </c>
      <c r="E224" t="inlineStr">
        <is>
          <t>Abdominal Pain</t>
        </is>
      </c>
      <c r="F224" s="28" t="n">
        <v>98.40000000000001</v>
      </c>
      <c r="G224" t="n">
        <v>77</v>
      </c>
      <c r="H224" t="n">
        <v>19</v>
      </c>
      <c r="I224" t="n">
        <v>152</v>
      </c>
      <c r="J224" t="n">
        <v>97</v>
      </c>
      <c r="K224" t="n">
        <v>6</v>
      </c>
      <c r="L224" t="inlineStr">
        <is>
          <t>Discharged</t>
        </is>
      </c>
      <c r="M224" s="27" t="n"/>
      <c r="N224" s="27" t="n"/>
      <c r="O224" s="27" t="n"/>
      <c r="P224" s="27" t="n"/>
      <c r="Q224" s="29" t="n"/>
      <c r="R224" s="27" t="n"/>
    </row>
    <row r="225">
      <c r="A225" t="inlineStr">
        <is>
          <t>ED212013</t>
        </is>
      </c>
      <c r="B225" s="26" t="n">
        <v>46007.86180555556</v>
      </c>
      <c r="C225" t="inlineStr">
        <is>
          <t>Walk-In</t>
        </is>
      </c>
      <c r="D225" t="n">
        <v>4</v>
      </c>
      <c r="E225" t="inlineStr">
        <is>
          <t>Back Pain</t>
        </is>
      </c>
      <c r="F225" s="28" t="n">
        <v>97.5</v>
      </c>
      <c r="G225" t="n">
        <v>93</v>
      </c>
      <c r="H225" t="n">
        <v>12</v>
      </c>
      <c r="I225" t="n">
        <v>136</v>
      </c>
      <c r="J225" t="n">
        <v>96</v>
      </c>
      <c r="K225" t="n">
        <v>7</v>
      </c>
      <c r="L225" t="inlineStr">
        <is>
          <t>Discharged</t>
        </is>
      </c>
      <c r="M225" s="27" t="n"/>
      <c r="N225" s="27" t="n"/>
      <c r="O225" s="27" t="n"/>
      <c r="P225" s="27" t="n"/>
      <c r="Q225" s="29" t="n"/>
      <c r="R225" s="27" t="n"/>
    </row>
    <row r="226">
      <c r="A226" t="inlineStr">
        <is>
          <t>ED212015</t>
        </is>
      </c>
      <c r="B226" s="26" t="n">
        <v>46007.90138888889</v>
      </c>
      <c r="C226" t="inlineStr">
        <is>
          <t>Walk-In</t>
        </is>
      </c>
      <c r="D226" t="n">
        <v>3</v>
      </c>
      <c r="E226" t="inlineStr">
        <is>
          <t>Chest Pain</t>
        </is>
      </c>
      <c r="F226" s="28" t="n">
        <v>98.09999999999999</v>
      </c>
      <c r="G226" t="n">
        <v>118</v>
      </c>
      <c r="H226" t="n">
        <v>17</v>
      </c>
      <c r="I226" t="n">
        <v>142</v>
      </c>
      <c r="J226" t="n">
        <v>100</v>
      </c>
      <c r="K226" t="n">
        <v>7</v>
      </c>
      <c r="L226" t="inlineStr">
        <is>
          <t>Discharged</t>
        </is>
      </c>
      <c r="M226" s="27" t="n"/>
      <c r="N226" s="27" t="n"/>
      <c r="O226" s="27" t="n"/>
      <c r="P226" s="27" t="n"/>
      <c r="Q226" s="29" t="n"/>
      <c r="R226" s="27" t="n"/>
    </row>
    <row r="227">
      <c r="A227" t="inlineStr">
        <is>
          <t>ED212017</t>
        </is>
      </c>
      <c r="B227" s="26" t="n">
        <v>46008.10902777778</v>
      </c>
      <c r="C227" t="inlineStr">
        <is>
          <t>Ambulance</t>
        </is>
      </c>
      <c r="D227" t="n">
        <v>1</v>
      </c>
      <c r="E227" t="inlineStr">
        <is>
          <t>Chest Pain</t>
        </is>
      </c>
      <c r="F227" s="28" t="n">
        <v>97.40000000000001</v>
      </c>
      <c r="G227" t="n">
        <v>95</v>
      </c>
      <c r="H227" t="n">
        <v>17</v>
      </c>
      <c r="I227" t="n">
        <v>136</v>
      </c>
      <c r="J227" t="n">
        <v>84</v>
      </c>
      <c r="K227" t="n">
        <v>5</v>
      </c>
      <c r="L227" t="inlineStr">
        <is>
          <t>Observation</t>
        </is>
      </c>
      <c r="M227" s="27" t="n"/>
      <c r="N227" s="27" t="n"/>
      <c r="O227" s="27" t="n"/>
      <c r="P227" s="27" t="n"/>
      <c r="Q227" s="29" t="n"/>
      <c r="R227" s="27" t="n"/>
    </row>
    <row r="228">
      <c r="A228" t="inlineStr">
        <is>
          <t>ED212018</t>
        </is>
      </c>
      <c r="B228" s="26" t="n">
        <v>46008.38402777778</v>
      </c>
      <c r="C228" t="inlineStr">
        <is>
          <t>Walk-In</t>
        </is>
      </c>
      <c r="D228" t="n">
        <v>5</v>
      </c>
      <c r="E228" t="inlineStr">
        <is>
          <t>Ankle Injury</t>
        </is>
      </c>
      <c r="F228" s="28" t="n">
        <v>97.90000000000001</v>
      </c>
      <c r="G228" t="n">
        <v>92</v>
      </c>
      <c r="H228" t="n">
        <v>15</v>
      </c>
      <c r="I228" t="n">
        <v>135</v>
      </c>
      <c r="J228" t="n">
        <v>98</v>
      </c>
      <c r="K228" t="n">
        <v>10</v>
      </c>
      <c r="L228" t="inlineStr">
        <is>
          <t>Discharged</t>
        </is>
      </c>
      <c r="M228" s="27" t="n"/>
      <c r="N228" s="27" t="n"/>
      <c r="O228" s="27" t="n"/>
      <c r="P228" s="27" t="n"/>
      <c r="Q228" s="29" t="n"/>
      <c r="R228" s="27" t="n"/>
    </row>
    <row r="229">
      <c r="A229" t="inlineStr">
        <is>
          <t>ED212019</t>
        </is>
      </c>
      <c r="B229" s="26" t="n">
        <v>46008.38472222222</v>
      </c>
      <c r="C229" t="inlineStr">
        <is>
          <t>Walk-In</t>
        </is>
      </c>
      <c r="D229" t="n">
        <v>3</v>
      </c>
      <c r="E229" t="inlineStr">
        <is>
          <t>Fall</t>
        </is>
      </c>
      <c r="F229" s="28" t="n">
        <v>99.09999999999999</v>
      </c>
      <c r="G229" t="n">
        <v>84</v>
      </c>
      <c r="H229" t="n">
        <v>15</v>
      </c>
      <c r="I229" t="n">
        <v>120</v>
      </c>
      <c r="J229" t="n">
        <v>99</v>
      </c>
      <c r="K229" t="n">
        <v>0</v>
      </c>
      <c r="L229" t="inlineStr">
        <is>
          <t>Admitted</t>
        </is>
      </c>
      <c r="M229" s="27" t="n"/>
      <c r="N229" s="27" t="n"/>
      <c r="O229" s="27" t="n"/>
      <c r="P229" s="27" t="n"/>
      <c r="Q229" s="29" t="n"/>
      <c r="R229" s="27" t="n"/>
    </row>
    <row r="230">
      <c r="A230" t="inlineStr">
        <is>
          <t>ED212020</t>
        </is>
      </c>
      <c r="B230" s="26" t="n">
        <v>46008.43541666667</v>
      </c>
      <c r="C230" t="inlineStr">
        <is>
          <t>Walk-In</t>
        </is>
      </c>
      <c r="D230" t="n">
        <v>3</v>
      </c>
      <c r="E230" t="inlineStr">
        <is>
          <t>Cough / Fever</t>
        </is>
      </c>
      <c r="F230" s="28" t="n">
        <v>99.3</v>
      </c>
      <c r="G230" t="n">
        <v>113</v>
      </c>
      <c r="H230" t="n">
        <v>26</v>
      </c>
      <c r="I230" t="n">
        <v>115</v>
      </c>
      <c r="J230" t="n">
        <v>91</v>
      </c>
      <c r="K230" t="n">
        <v>0</v>
      </c>
      <c r="L230" t="inlineStr">
        <is>
          <t>Admitted</t>
        </is>
      </c>
      <c r="M230" s="27" t="n"/>
      <c r="N230" s="27" t="n"/>
      <c r="O230" s="27" t="n"/>
      <c r="P230" s="27" t="n"/>
      <c r="Q230" s="29" t="n"/>
      <c r="R230" s="27" t="n"/>
    </row>
    <row r="231">
      <c r="A231" t="inlineStr">
        <is>
          <t>ED212021</t>
        </is>
      </c>
      <c r="B231" s="26" t="n">
        <v>46008.45069444444</v>
      </c>
      <c r="C231" t="inlineStr">
        <is>
          <t>Ambulance</t>
        </is>
      </c>
      <c r="D231" t="n">
        <v>3</v>
      </c>
      <c r="E231" t="inlineStr">
        <is>
          <t>Palpitations</t>
        </is>
      </c>
      <c r="F231" s="28" t="n">
        <v>99</v>
      </c>
      <c r="G231" t="n">
        <v>146</v>
      </c>
      <c r="H231" t="n">
        <v>15</v>
      </c>
      <c r="I231" t="n">
        <v>145</v>
      </c>
      <c r="J231" t="n">
        <v>97</v>
      </c>
      <c r="K231" t="n">
        <v>0</v>
      </c>
      <c r="L231" t="inlineStr">
        <is>
          <t>Observation</t>
        </is>
      </c>
      <c r="M231" s="27" t="n"/>
      <c r="N231" s="27" t="n"/>
      <c r="O231" s="27" t="n"/>
      <c r="P231" s="27" t="n"/>
      <c r="Q231" s="29" t="n"/>
      <c r="R231" s="27" t="n"/>
    </row>
    <row r="232">
      <c r="A232" t="inlineStr">
        <is>
          <t>ED212022</t>
        </is>
      </c>
      <c r="B232" s="26" t="n">
        <v>46008.46527777778</v>
      </c>
      <c r="C232" t="inlineStr">
        <is>
          <t>Walk-In</t>
        </is>
      </c>
      <c r="D232" t="n">
        <v>4</v>
      </c>
      <c r="E232" t="inlineStr">
        <is>
          <t>Anxiety / Palpitations</t>
        </is>
      </c>
      <c r="F232" s="28" t="n">
        <v>97.8</v>
      </c>
      <c r="G232" t="n">
        <v>87</v>
      </c>
      <c r="H232" t="n">
        <v>16</v>
      </c>
      <c r="I232" t="n">
        <v>147</v>
      </c>
      <c r="J232" t="n">
        <v>96</v>
      </c>
      <c r="K232" t="n">
        <v>0</v>
      </c>
      <c r="L232" t="inlineStr">
        <is>
          <t>Discharged</t>
        </is>
      </c>
      <c r="M232" s="27" t="n"/>
      <c r="N232" s="27" t="n"/>
      <c r="O232" s="27" t="n"/>
      <c r="P232" s="27" t="n"/>
      <c r="Q232" s="29" t="n"/>
      <c r="R232" s="27" t="n"/>
    </row>
    <row r="233">
      <c r="A233" t="inlineStr">
        <is>
          <t>ED212023</t>
        </is>
      </c>
      <c r="B233" s="26" t="n">
        <v>46008.48958333334</v>
      </c>
      <c r="C233" t="inlineStr">
        <is>
          <t>Walk-In</t>
        </is>
      </c>
      <c r="D233" t="n">
        <v>4</v>
      </c>
      <c r="E233" t="inlineStr">
        <is>
          <t>Anxiety / Palpitations</t>
        </is>
      </c>
      <c r="F233" s="28" t="n">
        <v>98.59999999999999</v>
      </c>
      <c r="G233" t="n">
        <v>82</v>
      </c>
      <c r="H233" t="n">
        <v>19</v>
      </c>
      <c r="I233" t="n">
        <v>141</v>
      </c>
      <c r="J233" t="n">
        <v>100</v>
      </c>
      <c r="K233" t="n">
        <v>0</v>
      </c>
      <c r="L233" t="inlineStr">
        <is>
          <t>Discharged</t>
        </is>
      </c>
      <c r="M233" s="27" t="n"/>
      <c r="N233" s="27" t="n"/>
      <c r="O233" s="27" t="n"/>
      <c r="P233" s="27" t="n"/>
      <c r="Q233" s="29" t="n"/>
      <c r="R233" s="27" t="n"/>
    </row>
    <row r="234">
      <c r="A234" t="inlineStr">
        <is>
          <t>ED212024</t>
        </is>
      </c>
      <c r="B234" s="26" t="n">
        <v>46008.49444444444</v>
      </c>
      <c r="C234" t="inlineStr">
        <is>
          <t>Walk-In</t>
        </is>
      </c>
      <c r="D234" t="n">
        <v>3</v>
      </c>
      <c r="E234" t="inlineStr">
        <is>
          <t>Laceration</t>
        </is>
      </c>
      <c r="F234" s="28" t="n">
        <v>101.5</v>
      </c>
      <c r="G234" t="n">
        <v>85</v>
      </c>
      <c r="H234" t="n">
        <v>25</v>
      </c>
      <c r="I234" t="n">
        <v>149</v>
      </c>
      <c r="J234" t="n">
        <v>92</v>
      </c>
      <c r="K234" t="n">
        <v>0</v>
      </c>
      <c r="L234" t="inlineStr">
        <is>
          <t>Admitted</t>
        </is>
      </c>
      <c r="M234" s="27" t="n"/>
      <c r="N234" s="27" t="n"/>
      <c r="O234" s="27" t="n"/>
      <c r="P234" s="27" t="n"/>
      <c r="Q234" s="29" t="n"/>
      <c r="R234" s="27" t="n"/>
    </row>
    <row r="235">
      <c r="A235" t="inlineStr">
        <is>
          <t>ED212025</t>
        </is>
      </c>
      <c r="B235" s="26" t="n">
        <v>46008.52291666667</v>
      </c>
      <c r="C235" t="inlineStr">
        <is>
          <t>Walk-In</t>
        </is>
      </c>
      <c r="D235" t="n">
        <v>4</v>
      </c>
      <c r="E235" t="inlineStr">
        <is>
          <t>Vomiting / Dizziness</t>
        </is>
      </c>
      <c r="F235" s="28" t="n">
        <v>97.8</v>
      </c>
      <c r="G235" t="n">
        <v>102</v>
      </c>
      <c r="H235" t="n">
        <v>15</v>
      </c>
      <c r="J235" t="n">
        <v>96</v>
      </c>
      <c r="K235" t="n">
        <v>1</v>
      </c>
      <c r="L235" t="inlineStr">
        <is>
          <t>Discharged</t>
        </is>
      </c>
      <c r="M235" s="27" t="n"/>
      <c r="N235" s="27" t="n"/>
      <c r="O235" s="27" t="n"/>
      <c r="P235" s="27" t="n"/>
      <c r="Q235" s="29" t="n"/>
      <c r="R235" s="27" t="n"/>
    </row>
    <row r="236">
      <c r="A236" t="inlineStr">
        <is>
          <t>ED212026</t>
        </is>
      </c>
      <c r="B236" s="26" t="n">
        <v>46008.56875</v>
      </c>
      <c r="C236" t="inlineStr">
        <is>
          <t>Walk-In</t>
        </is>
      </c>
      <c r="D236" t="n">
        <v>3</v>
      </c>
      <c r="E236" t="inlineStr">
        <is>
          <t>Chest Pain</t>
        </is>
      </c>
      <c r="F236" s="28" t="n">
        <v>98</v>
      </c>
      <c r="G236" t="n">
        <v>76</v>
      </c>
      <c r="H236" t="n">
        <v>13</v>
      </c>
      <c r="I236" t="n">
        <v>119</v>
      </c>
      <c r="J236" t="n">
        <v>97</v>
      </c>
      <c r="K236" t="n">
        <v>7</v>
      </c>
      <c r="L236" t="inlineStr">
        <is>
          <t>Discharged</t>
        </is>
      </c>
      <c r="M236" s="27" t="n"/>
      <c r="N236" s="27" t="n"/>
      <c r="O236" s="27" t="n"/>
      <c r="P236" s="27" t="n"/>
      <c r="Q236" s="29" t="n"/>
      <c r="R236" s="27" t="n"/>
    </row>
    <row r="237">
      <c r="A237" t="inlineStr">
        <is>
          <t>ED212027</t>
        </is>
      </c>
      <c r="B237" s="26" t="n">
        <v>46008.65347222222</v>
      </c>
      <c r="C237" t="inlineStr">
        <is>
          <t>Walk-In</t>
        </is>
      </c>
      <c r="D237" t="n">
        <v>3</v>
      </c>
      <c r="E237" t="inlineStr">
        <is>
          <t>Skin Redness / Swelling</t>
        </is>
      </c>
      <c r="F237" s="28" t="n">
        <v>100.5</v>
      </c>
      <c r="G237" t="n">
        <v>77</v>
      </c>
      <c r="H237" t="n">
        <v>14</v>
      </c>
      <c r="I237" t="n">
        <v>151</v>
      </c>
      <c r="J237" t="n">
        <v>99</v>
      </c>
      <c r="K237" t="n">
        <v>3</v>
      </c>
      <c r="L237" t="inlineStr">
        <is>
          <t>Discharged</t>
        </is>
      </c>
      <c r="M237" s="27" t="n"/>
      <c r="N237" s="27" t="n"/>
      <c r="O237" s="27" t="n"/>
      <c r="P237" s="27" t="n"/>
      <c r="Q237" s="29" t="n"/>
      <c r="R237" s="27" t="n"/>
    </row>
    <row r="238">
      <c r="A238" t="inlineStr">
        <is>
          <t>ED212028</t>
        </is>
      </c>
      <c r="B238" s="26" t="n">
        <v>46008.66666666666</v>
      </c>
      <c r="C238" t="inlineStr">
        <is>
          <t>Walk-In</t>
        </is>
      </c>
      <c r="D238" t="n">
        <v>5</v>
      </c>
      <c r="E238" t="inlineStr">
        <is>
          <t>Ear Pain / Fever</t>
        </is>
      </c>
      <c r="F238" s="28" t="n">
        <v>99</v>
      </c>
      <c r="G238" t="n">
        <v>81</v>
      </c>
      <c r="H238" t="n">
        <v>22</v>
      </c>
      <c r="I238" t="n">
        <v>111</v>
      </c>
      <c r="J238" t="n">
        <v>97</v>
      </c>
      <c r="K238" t="n">
        <v>0</v>
      </c>
      <c r="L238" t="inlineStr">
        <is>
          <t>Discharged</t>
        </is>
      </c>
      <c r="M238" s="27" t="n"/>
      <c r="N238" s="27" t="n"/>
      <c r="O238" s="27" t="n"/>
      <c r="P238" s="27" t="n"/>
      <c r="Q238" s="29" t="n"/>
      <c r="R238" s="27" t="n"/>
    </row>
    <row r="239">
      <c r="A239" t="inlineStr">
        <is>
          <t>ED212030</t>
        </is>
      </c>
      <c r="B239" s="26" t="n">
        <v>46008.69583333333</v>
      </c>
      <c r="C239" t="inlineStr">
        <is>
          <t>Walk-In</t>
        </is>
      </c>
      <c r="D239" t="n">
        <v>2</v>
      </c>
      <c r="E239" t="inlineStr">
        <is>
          <t>Shortness of Breath</t>
        </is>
      </c>
      <c r="F239" s="28" t="n">
        <v>98.3</v>
      </c>
      <c r="G239" t="n">
        <v>111</v>
      </c>
      <c r="H239" t="n">
        <v>23</v>
      </c>
      <c r="I239" t="n">
        <v>120</v>
      </c>
      <c r="J239" t="n">
        <v>86</v>
      </c>
      <c r="K239" t="n">
        <v>0</v>
      </c>
      <c r="L239" t="inlineStr">
        <is>
          <t>Admitted</t>
        </is>
      </c>
      <c r="M239" s="27" t="n"/>
      <c r="N239" s="27" t="n"/>
      <c r="O239" s="27" t="n"/>
      <c r="P239" s="27" t="n"/>
      <c r="Q239" s="29" t="n"/>
      <c r="R239" s="27" t="n"/>
    </row>
    <row r="240">
      <c r="A240" t="inlineStr">
        <is>
          <t>ED212032</t>
        </is>
      </c>
      <c r="B240" s="26" t="n">
        <v>46008.73402777778</v>
      </c>
      <c r="C240" t="inlineStr">
        <is>
          <t>Walk-In</t>
        </is>
      </c>
      <c r="D240" t="n">
        <v>4</v>
      </c>
      <c r="E240" t="inlineStr">
        <is>
          <t>Weakness / Fatigue</t>
        </is>
      </c>
      <c r="F240" s="28" t="n">
        <v>98.2</v>
      </c>
      <c r="G240" t="n">
        <v>84</v>
      </c>
      <c r="H240" t="n">
        <v>16</v>
      </c>
      <c r="I240" t="n">
        <v>147</v>
      </c>
      <c r="J240" t="n">
        <v>98</v>
      </c>
      <c r="K240" t="n">
        <v>2</v>
      </c>
      <c r="L240" t="inlineStr">
        <is>
          <t>Discharged</t>
        </is>
      </c>
      <c r="M240" s="27" t="n"/>
      <c r="N240" s="27" t="n"/>
      <c r="O240" s="27" t="n"/>
      <c r="P240" s="27" t="n"/>
      <c r="Q240" s="29" t="n"/>
      <c r="R240" s="27" t="n"/>
    </row>
    <row r="241">
      <c r="A241" t="inlineStr">
        <is>
          <t>ED212033</t>
        </is>
      </c>
      <c r="B241" s="26" t="n">
        <v>46008.85694444444</v>
      </c>
      <c r="C241" t="inlineStr">
        <is>
          <t>Walk-In</t>
        </is>
      </c>
      <c r="D241" t="n">
        <v>4</v>
      </c>
      <c r="E241" t="inlineStr">
        <is>
          <t>Headache</t>
        </is>
      </c>
      <c r="F241" s="28" t="n">
        <v>98.8</v>
      </c>
      <c r="G241" t="n">
        <v>112</v>
      </c>
      <c r="H241" t="n">
        <v>17</v>
      </c>
      <c r="I241" t="n">
        <v>117</v>
      </c>
      <c r="J241" t="n">
        <v>98</v>
      </c>
      <c r="K241" t="n">
        <v>9</v>
      </c>
      <c r="L241" t="inlineStr">
        <is>
          <t>Discharged</t>
        </is>
      </c>
      <c r="M241" s="27" t="n"/>
      <c r="N241" s="27" t="n"/>
      <c r="O241" s="27" t="n"/>
      <c r="P241" s="27" t="n"/>
      <c r="Q241" s="29" t="n"/>
      <c r="R241" s="27" t="n"/>
    </row>
    <row r="242">
      <c r="A242" t="inlineStr">
        <is>
          <t>ED212034</t>
        </is>
      </c>
      <c r="B242" s="26" t="n">
        <v>46008.86388888889</v>
      </c>
      <c r="C242" t="inlineStr">
        <is>
          <t>Walk-In</t>
        </is>
      </c>
      <c r="D242" t="n">
        <v>4</v>
      </c>
      <c r="E242" t="inlineStr">
        <is>
          <t>Cough / Fever</t>
        </is>
      </c>
      <c r="F242" s="28" t="n">
        <v>98.90000000000001</v>
      </c>
      <c r="G242" t="n">
        <v>106</v>
      </c>
      <c r="H242" t="n">
        <v>17</v>
      </c>
      <c r="I242" t="n">
        <v>119</v>
      </c>
      <c r="J242" t="n">
        <v>98</v>
      </c>
      <c r="K242" t="n">
        <v>0</v>
      </c>
      <c r="L242" t="inlineStr">
        <is>
          <t>Discharged</t>
        </is>
      </c>
      <c r="M242" s="27" t="n"/>
      <c r="N242" s="27" t="n"/>
      <c r="O242" s="27" t="n"/>
      <c r="P242" s="27" t="n"/>
      <c r="Q242" s="29" t="n"/>
      <c r="R242" s="27" t="n"/>
    </row>
    <row r="243">
      <c r="A243" t="inlineStr">
        <is>
          <t>ED212036</t>
        </is>
      </c>
      <c r="B243" s="26" t="n">
        <v>46008.90555555555</v>
      </c>
      <c r="C243" t="inlineStr">
        <is>
          <t>Walk-In</t>
        </is>
      </c>
      <c r="D243" t="n">
        <v>4</v>
      </c>
      <c r="E243" t="inlineStr">
        <is>
          <t>Cough / Fever</t>
        </is>
      </c>
      <c r="F243" s="28" t="n">
        <v>97.7</v>
      </c>
      <c r="G243" t="n">
        <v>84</v>
      </c>
      <c r="H243" t="n">
        <v>17</v>
      </c>
      <c r="I243" t="n">
        <v>130</v>
      </c>
      <c r="J243" t="n">
        <v>96</v>
      </c>
      <c r="K243" t="n">
        <v>2</v>
      </c>
      <c r="L243" t="inlineStr">
        <is>
          <t>Discharged</t>
        </is>
      </c>
      <c r="M243" s="27" t="n"/>
      <c r="N243" s="27" t="n"/>
      <c r="O243" s="27" t="n"/>
      <c r="P243" s="27" t="n"/>
      <c r="Q243" s="29" t="n"/>
      <c r="R243" s="27" t="n"/>
    </row>
    <row r="244">
      <c r="A244" t="inlineStr">
        <is>
          <t>ED212037</t>
        </is>
      </c>
      <c r="B244" s="26" t="n">
        <v>46008.9125</v>
      </c>
      <c r="C244" t="inlineStr">
        <is>
          <t>Walk-In</t>
        </is>
      </c>
      <c r="D244" t="n">
        <v>5</v>
      </c>
      <c r="E244" t="inlineStr">
        <is>
          <t>Back Pain</t>
        </is>
      </c>
      <c r="F244" s="28" t="n">
        <v>98.7</v>
      </c>
      <c r="G244" t="n">
        <v>107</v>
      </c>
      <c r="H244" t="n">
        <v>20</v>
      </c>
      <c r="I244" t="n">
        <v>140</v>
      </c>
      <c r="J244" t="n">
        <v>97</v>
      </c>
      <c r="K244" t="n">
        <v>8</v>
      </c>
      <c r="L244" t="inlineStr">
        <is>
          <t>Discharged</t>
        </is>
      </c>
      <c r="M244" s="27" t="n"/>
      <c r="N244" s="27" t="n"/>
      <c r="O244" s="27" t="n"/>
      <c r="P244" s="27" t="n"/>
      <c r="Q244" s="29" t="n"/>
      <c r="R244" s="27" t="n"/>
    </row>
    <row r="245">
      <c r="A245" t="inlineStr">
        <is>
          <t>ED212038</t>
        </is>
      </c>
      <c r="B245" s="26" t="n">
        <v>46008.94652777778</v>
      </c>
      <c r="C245" t="inlineStr">
        <is>
          <t>Walk-In</t>
        </is>
      </c>
      <c r="D245" t="n">
        <v>5</v>
      </c>
      <c r="E245" t="inlineStr">
        <is>
          <t>Ankle Injury</t>
        </is>
      </c>
      <c r="F245" s="28" t="n">
        <v>98.8</v>
      </c>
      <c r="G245" t="n">
        <v>75</v>
      </c>
      <c r="H245" t="n">
        <v>17</v>
      </c>
      <c r="I245" t="n">
        <v>116</v>
      </c>
      <c r="J245" t="n">
        <v>97</v>
      </c>
      <c r="K245" t="n">
        <v>4</v>
      </c>
      <c r="L245" t="inlineStr">
        <is>
          <t>Discharged</t>
        </is>
      </c>
      <c r="M245" s="27" t="n"/>
      <c r="N245" s="27" t="n"/>
      <c r="O245" s="27" t="n"/>
      <c r="P245" s="27" t="n"/>
      <c r="Q245" s="29" t="n"/>
      <c r="R245" s="27" t="n"/>
    </row>
    <row r="246">
      <c r="A246" t="inlineStr">
        <is>
          <t>ED212039</t>
        </is>
      </c>
      <c r="B246" s="26" t="n">
        <v>46008.95069444444</v>
      </c>
      <c r="C246" t="inlineStr">
        <is>
          <t>Ambulance</t>
        </is>
      </c>
      <c r="D246" t="n">
        <v>3</v>
      </c>
      <c r="E246" t="inlineStr">
        <is>
          <t>Cough / Fever</t>
        </is>
      </c>
      <c r="F246" s="28" t="n">
        <v>101.8</v>
      </c>
      <c r="G246" t="n">
        <v>114</v>
      </c>
      <c r="H246" t="n">
        <v>26</v>
      </c>
      <c r="I246" t="n">
        <v>109</v>
      </c>
      <c r="J246" t="n">
        <v>94</v>
      </c>
      <c r="K246" t="n">
        <v>0</v>
      </c>
      <c r="L246" t="inlineStr">
        <is>
          <t>Admitted</t>
        </is>
      </c>
      <c r="M246" s="27" t="n"/>
      <c r="N246" s="27" t="n"/>
      <c r="O246" s="27" t="n"/>
      <c r="P246" s="27" t="n"/>
      <c r="Q246" s="29" t="n"/>
      <c r="R246" s="27" t="n"/>
    </row>
    <row r="247">
      <c r="A247" t="inlineStr">
        <is>
          <t>ED212040</t>
        </is>
      </c>
      <c r="B247" s="26" t="n">
        <v>46009.00138888889</v>
      </c>
      <c r="C247" t="inlineStr">
        <is>
          <t>Ambulance</t>
        </is>
      </c>
      <c r="D247" t="n">
        <v>2</v>
      </c>
      <c r="E247" t="inlineStr">
        <is>
          <t>Seizure</t>
        </is>
      </c>
      <c r="F247" s="28" t="n">
        <v>98.3</v>
      </c>
      <c r="G247" t="n">
        <v>89</v>
      </c>
      <c r="H247" t="n">
        <v>16</v>
      </c>
      <c r="I247" t="n">
        <v>114</v>
      </c>
      <c r="J247" t="n">
        <v>99</v>
      </c>
      <c r="K247" t="n">
        <v>3</v>
      </c>
      <c r="L247" t="inlineStr">
        <is>
          <t>Discharged</t>
        </is>
      </c>
      <c r="M247" s="27" t="n"/>
      <c r="N247" s="27" t="n"/>
      <c r="O247" s="27" t="n"/>
      <c r="P247" s="27" t="n"/>
      <c r="Q247" s="29" t="n"/>
      <c r="R247" s="27" t="n"/>
    </row>
    <row r="248">
      <c r="A248" t="inlineStr">
        <is>
          <t>ED212042</t>
        </is>
      </c>
      <c r="B248" s="26" t="n">
        <v>46009.08611111111</v>
      </c>
      <c r="C248" t="inlineStr">
        <is>
          <t>Walk-In</t>
        </is>
      </c>
      <c r="D248" t="n">
        <v>3</v>
      </c>
      <c r="E248" t="inlineStr">
        <is>
          <t>Labor</t>
        </is>
      </c>
      <c r="F248" s="28" t="n">
        <v>98.2</v>
      </c>
      <c r="G248" t="n">
        <v>90</v>
      </c>
      <c r="H248" t="n">
        <v>15</v>
      </c>
      <c r="I248" t="n">
        <v>148</v>
      </c>
      <c r="J248" t="n">
        <v>99</v>
      </c>
      <c r="K248" t="n">
        <v>0</v>
      </c>
      <c r="L248" t="inlineStr">
        <is>
          <t>Admitted</t>
        </is>
      </c>
      <c r="M248" s="27" t="n"/>
      <c r="N248" s="27" t="n"/>
      <c r="O248" s="27" t="n"/>
      <c r="P248" s="27" t="n"/>
      <c r="Q248" s="29" t="n"/>
      <c r="R248" s="27" t="n"/>
    </row>
    <row r="249">
      <c r="A249" t="inlineStr">
        <is>
          <t>ED212044</t>
        </is>
      </c>
      <c r="B249" s="26" t="n">
        <v>46009.15277777778</v>
      </c>
      <c r="C249" t="inlineStr">
        <is>
          <t>Walk-In</t>
        </is>
      </c>
      <c r="D249" t="n">
        <v>2</v>
      </c>
      <c r="E249" t="inlineStr">
        <is>
          <t>Chest Pain</t>
        </is>
      </c>
      <c r="F249" s="28" t="n">
        <v>98.3</v>
      </c>
      <c r="G249" t="n">
        <v>85</v>
      </c>
      <c r="H249" t="n">
        <v>16</v>
      </c>
      <c r="I249" t="n">
        <v>120</v>
      </c>
      <c r="J249" t="n">
        <v>98</v>
      </c>
      <c r="K249" t="n">
        <v>8</v>
      </c>
      <c r="L249" t="inlineStr">
        <is>
          <t>Admitted</t>
        </is>
      </c>
      <c r="M249" s="27" t="n"/>
      <c r="N249" s="27" t="n"/>
      <c r="O249" s="27" t="n"/>
      <c r="P249" s="27" t="n"/>
      <c r="Q249" s="29" t="n"/>
      <c r="R249" s="27" t="n"/>
    </row>
    <row r="250">
      <c r="A250" t="inlineStr">
        <is>
          <t>ED212045</t>
        </is>
      </c>
      <c r="B250" s="26" t="n">
        <v>46009.23819444444</v>
      </c>
      <c r="C250" t="inlineStr">
        <is>
          <t>Walk-In</t>
        </is>
      </c>
      <c r="D250" t="n">
        <v>3</v>
      </c>
      <c r="E250" t="inlineStr">
        <is>
          <t>Abdominal Pain</t>
        </is>
      </c>
      <c r="F250" s="28" t="n">
        <v>98.5</v>
      </c>
      <c r="G250" t="n">
        <v>77</v>
      </c>
      <c r="H250" t="n">
        <v>15</v>
      </c>
      <c r="I250" t="n">
        <v>110</v>
      </c>
      <c r="J250" t="n">
        <v>96</v>
      </c>
      <c r="K250" t="n">
        <v>9</v>
      </c>
      <c r="L250" t="inlineStr">
        <is>
          <t>Admitted</t>
        </is>
      </c>
      <c r="M250" s="27" t="n"/>
      <c r="N250" s="27" t="n"/>
      <c r="O250" s="27" t="n"/>
      <c r="P250" s="27" t="n"/>
      <c r="Q250" s="29" t="n"/>
      <c r="R250" s="27" t="n"/>
    </row>
    <row r="251">
      <c r="A251" t="inlineStr">
        <is>
          <t>ED212046</t>
        </is>
      </c>
      <c r="B251" s="26" t="n">
        <v>46009.35555555556</v>
      </c>
      <c r="C251" t="inlineStr">
        <is>
          <t>Ambulance</t>
        </is>
      </c>
      <c r="D251" t="n">
        <v>1</v>
      </c>
      <c r="E251" t="inlineStr">
        <is>
          <t>Shortness of Breath</t>
        </is>
      </c>
      <c r="F251" s="28" t="n">
        <v>97.90000000000001</v>
      </c>
      <c r="G251" t="n">
        <v>83</v>
      </c>
      <c r="H251" t="n">
        <v>25</v>
      </c>
      <c r="I251" t="n">
        <v>151</v>
      </c>
      <c r="J251" t="n">
        <v>91</v>
      </c>
      <c r="K251" t="n">
        <v>1</v>
      </c>
      <c r="L251" t="inlineStr">
        <is>
          <t>Admitted</t>
        </is>
      </c>
      <c r="M251" s="27" t="n"/>
      <c r="N251" s="27" t="n"/>
      <c r="O251" s="27" t="n"/>
      <c r="P251" s="27" t="n"/>
      <c r="Q251" s="29" t="n"/>
      <c r="R251" s="27" t="n"/>
    </row>
    <row r="252">
      <c r="A252" t="inlineStr">
        <is>
          <t>ED212048</t>
        </is>
      </c>
      <c r="B252" s="26" t="n">
        <v>46009.40694444445</v>
      </c>
      <c r="C252" t="inlineStr">
        <is>
          <t>Ambulance</t>
        </is>
      </c>
      <c r="D252" t="n">
        <v>2</v>
      </c>
      <c r="E252" t="inlineStr">
        <is>
          <t>Nausea</t>
        </is>
      </c>
      <c r="F252" s="28" t="n">
        <v>98.8</v>
      </c>
      <c r="G252" t="n">
        <v>111</v>
      </c>
      <c r="H252" t="n">
        <v>17</v>
      </c>
      <c r="I252" t="n">
        <v>110</v>
      </c>
      <c r="J252" t="n">
        <v>98</v>
      </c>
      <c r="K252" t="n">
        <v>1</v>
      </c>
      <c r="L252" t="inlineStr">
        <is>
          <t>Admitted</t>
        </is>
      </c>
      <c r="M252" s="27" t="n"/>
      <c r="N252" s="27" t="n"/>
      <c r="O252" s="27" t="n"/>
      <c r="P252" s="27" t="n"/>
      <c r="Q252" s="29" t="n"/>
      <c r="R252" s="27" t="n"/>
    </row>
    <row r="253">
      <c r="A253" t="inlineStr">
        <is>
          <t>ED212049</t>
        </is>
      </c>
      <c r="B253" s="26" t="n">
        <v>46009.43333333333</v>
      </c>
      <c r="C253" t="inlineStr">
        <is>
          <t>Ambulance</t>
        </is>
      </c>
      <c r="D253" t="n">
        <v>3</v>
      </c>
      <c r="E253" t="inlineStr">
        <is>
          <t>Laceration</t>
        </is>
      </c>
      <c r="F253" s="28" t="n">
        <v>98.8</v>
      </c>
      <c r="G253" t="n">
        <v>62</v>
      </c>
      <c r="H253" t="n">
        <v>14</v>
      </c>
      <c r="I253" t="n">
        <v>123</v>
      </c>
      <c r="J253" t="n">
        <v>97</v>
      </c>
      <c r="K253" t="n">
        <v>4</v>
      </c>
      <c r="L253" t="inlineStr">
        <is>
          <t>Admitted</t>
        </is>
      </c>
      <c r="M253" s="27" t="n"/>
      <c r="N253" s="27" t="n"/>
      <c r="O253" s="27" t="n"/>
      <c r="P253" s="27" t="n"/>
      <c r="Q253" s="29" t="n"/>
      <c r="R253" s="27" t="n"/>
    </row>
    <row r="254">
      <c r="A254" t="inlineStr">
        <is>
          <t>ED212050</t>
        </is>
      </c>
      <c r="B254" s="26" t="n">
        <v>46009.43888888889</v>
      </c>
      <c r="C254" t="inlineStr">
        <is>
          <t>Walk-In</t>
        </is>
      </c>
      <c r="D254" t="n">
        <v>3</v>
      </c>
      <c r="E254" t="inlineStr">
        <is>
          <t>Cough / Fever</t>
        </is>
      </c>
      <c r="F254" s="28" t="n">
        <v>99.59999999999999</v>
      </c>
      <c r="G254" t="n">
        <v>97</v>
      </c>
      <c r="H254" t="n">
        <v>24</v>
      </c>
      <c r="I254" t="n">
        <v>153</v>
      </c>
      <c r="J254" t="n">
        <v>95</v>
      </c>
      <c r="K254" t="n">
        <v>2</v>
      </c>
      <c r="L254" t="inlineStr">
        <is>
          <t>Observation</t>
        </is>
      </c>
      <c r="M254" s="27" t="n"/>
      <c r="N254" s="27" t="n"/>
      <c r="O254" s="27" t="n"/>
      <c r="P254" s="27" t="n"/>
      <c r="Q254" s="29" t="n"/>
      <c r="R254" s="27" t="n"/>
    </row>
    <row r="255">
      <c r="A255" t="inlineStr">
        <is>
          <t>ED212052</t>
        </is>
      </c>
      <c r="B255" s="26" t="n">
        <v>46009.50833333333</v>
      </c>
      <c r="C255" t="inlineStr">
        <is>
          <t>Walk-In</t>
        </is>
      </c>
      <c r="D255" t="n">
        <v>4</v>
      </c>
      <c r="E255" t="inlineStr">
        <is>
          <t>Fall</t>
        </is>
      </c>
      <c r="F255" s="28" t="n">
        <v>98</v>
      </c>
      <c r="G255" t="n">
        <v>73</v>
      </c>
      <c r="H255" t="n">
        <v>17</v>
      </c>
      <c r="I255" t="n">
        <v>122</v>
      </c>
      <c r="J255" t="n">
        <v>97</v>
      </c>
      <c r="K255" t="n">
        <v>2</v>
      </c>
      <c r="L255" t="inlineStr">
        <is>
          <t>Discharged</t>
        </is>
      </c>
      <c r="M255" s="27" t="n"/>
      <c r="N255" s="27" t="n"/>
      <c r="O255" s="27" t="n"/>
      <c r="P255" s="27" t="n"/>
      <c r="Q255" s="29" t="n"/>
      <c r="R255" s="27" t="n"/>
    </row>
    <row r="256">
      <c r="A256" t="inlineStr">
        <is>
          <t>ED212054</t>
        </is>
      </c>
      <c r="B256" s="26" t="n">
        <v>46009.58194444444</v>
      </c>
      <c r="C256" t="inlineStr">
        <is>
          <t>Ambulance</t>
        </is>
      </c>
      <c r="D256" t="n">
        <v>2</v>
      </c>
      <c r="E256" t="inlineStr">
        <is>
          <t>Labor</t>
        </is>
      </c>
      <c r="F256" s="28" t="n">
        <v>97.8</v>
      </c>
      <c r="G256" t="n">
        <v>76</v>
      </c>
      <c r="H256" t="n">
        <v>16</v>
      </c>
      <c r="I256" t="n">
        <v>136</v>
      </c>
      <c r="J256" t="n">
        <v>97</v>
      </c>
      <c r="K256" t="n">
        <v>2</v>
      </c>
      <c r="L256" t="inlineStr">
        <is>
          <t>Admitted</t>
        </is>
      </c>
      <c r="M256" s="27" t="n"/>
      <c r="N256" s="27" t="n"/>
      <c r="O256" s="27" t="n"/>
      <c r="P256" s="27" t="n"/>
      <c r="Q256" s="29" t="n"/>
      <c r="R256" s="27" t="n"/>
    </row>
    <row r="257">
      <c r="A257" t="inlineStr">
        <is>
          <t>ED212055</t>
        </is>
      </c>
      <c r="B257" s="26" t="n">
        <v>46009.59027777778</v>
      </c>
      <c r="C257" t="inlineStr">
        <is>
          <t>Walk-In</t>
        </is>
      </c>
      <c r="D257" t="n">
        <v>4</v>
      </c>
      <c r="E257" t="inlineStr">
        <is>
          <t>Vomiting / Diarrhea</t>
        </is>
      </c>
      <c r="F257" s="28" t="n">
        <v>98.7</v>
      </c>
      <c r="G257" t="n">
        <v>90</v>
      </c>
      <c r="H257" t="n">
        <v>15</v>
      </c>
      <c r="I257" t="n">
        <v>155</v>
      </c>
      <c r="J257" t="n">
        <v>97</v>
      </c>
      <c r="K257" t="n">
        <v>1</v>
      </c>
      <c r="L257" t="inlineStr">
        <is>
          <t>Discharged</t>
        </is>
      </c>
      <c r="M257" s="27" t="n"/>
      <c r="N257" s="27" t="n"/>
      <c r="O257" s="27" t="n"/>
      <c r="P257" s="27" t="n"/>
      <c r="Q257" s="29" t="n"/>
      <c r="R257" s="27" t="n"/>
    </row>
    <row r="258">
      <c r="A258" t="inlineStr">
        <is>
          <t>ED212056</t>
        </is>
      </c>
      <c r="B258" s="26" t="n">
        <v>46009.67013888889</v>
      </c>
      <c r="C258" t="inlineStr">
        <is>
          <t>Police</t>
        </is>
      </c>
      <c r="D258" t="n">
        <v>2</v>
      </c>
      <c r="E258" t="inlineStr">
        <is>
          <t>Depression / Suicidal Thoughts</t>
        </is>
      </c>
      <c r="F258" s="28" t="n">
        <v>97.3</v>
      </c>
      <c r="G258" t="n">
        <v>73</v>
      </c>
      <c r="H258" t="n">
        <v>15</v>
      </c>
      <c r="I258" t="n">
        <v>129</v>
      </c>
      <c r="J258" t="n">
        <v>95</v>
      </c>
      <c r="K258" t="n">
        <v>0</v>
      </c>
      <c r="L258" t="inlineStr">
        <is>
          <t>Admitted</t>
        </is>
      </c>
      <c r="M258" s="27" t="n"/>
      <c r="N258" s="27" t="n"/>
      <c r="O258" s="27" t="n"/>
      <c r="P258" s="27" t="n"/>
      <c r="Q258" s="29" t="n"/>
      <c r="R258" s="27" t="n"/>
    </row>
    <row r="259">
      <c r="A259" t="inlineStr">
        <is>
          <t>ED212057</t>
        </is>
      </c>
      <c r="B259" s="26" t="n">
        <v>46009.72361111111</v>
      </c>
      <c r="C259" t="inlineStr">
        <is>
          <t>Walk-In</t>
        </is>
      </c>
      <c r="D259" t="n">
        <v>3</v>
      </c>
      <c r="E259" t="inlineStr">
        <is>
          <t>Shortness of Breath</t>
        </is>
      </c>
      <c r="F259" s="28" t="n">
        <v>98.3</v>
      </c>
      <c r="G259" t="n">
        <v>66</v>
      </c>
      <c r="H259" t="n">
        <v>15</v>
      </c>
      <c r="I259" t="n">
        <v>153</v>
      </c>
      <c r="J259" t="n">
        <v>100</v>
      </c>
      <c r="K259" t="n">
        <v>0</v>
      </c>
      <c r="L259" t="inlineStr">
        <is>
          <t>Admitted</t>
        </is>
      </c>
      <c r="M259" s="27" t="n"/>
      <c r="N259" s="27" t="n"/>
      <c r="O259" s="27" t="n"/>
      <c r="P259" s="27" t="n"/>
      <c r="Q259" s="29" t="n"/>
      <c r="R259" s="27" t="n"/>
    </row>
    <row r="260">
      <c r="A260" t="inlineStr">
        <is>
          <t>ED212059</t>
        </is>
      </c>
      <c r="B260" s="26" t="n">
        <v>46009.87222222222</v>
      </c>
      <c r="C260" t="inlineStr">
        <is>
          <t>Ambulance</t>
        </is>
      </c>
      <c r="D260" t="n">
        <v>2</v>
      </c>
      <c r="E260" t="inlineStr">
        <is>
          <t>Shortness of Breath</t>
        </is>
      </c>
      <c r="F260" s="28" t="n">
        <v>98.2</v>
      </c>
      <c r="G260" t="n">
        <v>141</v>
      </c>
      <c r="H260" t="n">
        <v>33</v>
      </c>
      <c r="I260" t="n">
        <v>108</v>
      </c>
      <c r="J260" t="n">
        <v>88</v>
      </c>
      <c r="K260" t="n">
        <v>0</v>
      </c>
      <c r="L260" t="inlineStr">
        <is>
          <t>Admitted</t>
        </is>
      </c>
      <c r="M260" s="27" t="n"/>
      <c r="N260" s="27" t="n"/>
      <c r="O260" s="27" t="n"/>
      <c r="P260" s="27" t="n"/>
      <c r="Q260" s="29" t="n"/>
      <c r="R260" s="27" t="n"/>
    </row>
    <row r="261">
      <c r="A261" t="inlineStr">
        <is>
          <t>ED212061</t>
        </is>
      </c>
      <c r="B261" s="26" t="n">
        <v>46009.8875</v>
      </c>
      <c r="C261" t="inlineStr">
        <is>
          <t>Ambulance</t>
        </is>
      </c>
      <c r="D261" t="n">
        <v>3</v>
      </c>
      <c r="E261" t="inlineStr">
        <is>
          <t>Chest Pain</t>
        </is>
      </c>
      <c r="F261" s="28" t="n">
        <v>98.8</v>
      </c>
      <c r="G261" t="n">
        <v>86</v>
      </c>
      <c r="H261" t="n">
        <v>14</v>
      </c>
      <c r="I261" t="n">
        <v>181</v>
      </c>
      <c r="J261" t="n">
        <v>97</v>
      </c>
      <c r="K261" t="n">
        <v>3</v>
      </c>
      <c r="L261" t="inlineStr">
        <is>
          <t>Discharged</t>
        </is>
      </c>
      <c r="M261" s="27" t="n"/>
      <c r="N261" s="27" t="n"/>
      <c r="O261" s="27" t="n"/>
      <c r="P261" s="27" t="n"/>
      <c r="Q261" s="29" t="n"/>
      <c r="R261" s="27" t="n"/>
    </row>
    <row r="262">
      <c r="A262" t="inlineStr">
        <is>
          <t>ED212062</t>
        </is>
      </c>
      <c r="B262" s="26" t="n">
        <v>46009.95277777778</v>
      </c>
      <c r="C262" t="inlineStr">
        <is>
          <t>Walk-In</t>
        </is>
      </c>
      <c r="D262" t="n">
        <v>2</v>
      </c>
      <c r="E262" t="inlineStr">
        <is>
          <t>Shortness of Breath</t>
        </is>
      </c>
      <c r="F262" s="28" t="n">
        <v>98.3</v>
      </c>
      <c r="G262" t="n">
        <v>104</v>
      </c>
      <c r="H262" t="n">
        <v>27</v>
      </c>
      <c r="I262" t="n">
        <v>127</v>
      </c>
      <c r="J262" t="n">
        <v>91</v>
      </c>
      <c r="K262" t="n">
        <v>3</v>
      </c>
      <c r="L262" t="inlineStr">
        <is>
          <t>Discharged</t>
        </is>
      </c>
      <c r="M262" s="27" t="n"/>
      <c r="N262" s="27" t="n"/>
      <c r="O262" s="27" t="n"/>
      <c r="P262" s="27" t="n"/>
      <c r="Q262" s="29" t="n"/>
      <c r="R262" s="27" t="n"/>
    </row>
    <row r="263">
      <c r="A263" t="inlineStr">
        <is>
          <t>ED212064</t>
        </is>
      </c>
      <c r="B263" s="26" t="n">
        <v>46010.29375</v>
      </c>
      <c r="C263" t="inlineStr">
        <is>
          <t>Walk-In</t>
        </is>
      </c>
      <c r="D263" t="n">
        <v>3</v>
      </c>
      <c r="E263" t="inlineStr">
        <is>
          <t>Psychiatric Evaluation</t>
        </is>
      </c>
      <c r="F263" s="28" t="n">
        <v>98.09999999999999</v>
      </c>
      <c r="G263" t="n">
        <v>67</v>
      </c>
      <c r="H263" t="n">
        <v>18</v>
      </c>
      <c r="I263" t="n">
        <v>93</v>
      </c>
      <c r="J263" t="n">
        <v>98</v>
      </c>
      <c r="K263" t="n">
        <v>3</v>
      </c>
      <c r="L263" t="inlineStr">
        <is>
          <t>Discharged</t>
        </is>
      </c>
      <c r="M263" s="27" t="n"/>
      <c r="N263" s="27" t="n"/>
      <c r="O263" s="27" t="n"/>
      <c r="P263" s="27" t="n"/>
      <c r="Q263" s="29" t="n"/>
      <c r="R263" s="27" t="n"/>
    </row>
    <row r="264">
      <c r="A264" t="inlineStr">
        <is>
          <t>ED212067</t>
        </is>
      </c>
      <c r="B264" s="26" t="n">
        <v>46010.48194444444</v>
      </c>
      <c r="C264" t="inlineStr">
        <is>
          <t>Ambulance</t>
        </is>
      </c>
      <c r="D264" t="n">
        <v>3</v>
      </c>
      <c r="E264" t="inlineStr">
        <is>
          <t>Cough / Fever</t>
        </is>
      </c>
      <c r="F264" s="28" t="n">
        <v>102.2</v>
      </c>
      <c r="G264" t="n">
        <v>104</v>
      </c>
      <c r="H264" t="n">
        <v>23</v>
      </c>
      <c r="I264" t="n">
        <v>113</v>
      </c>
      <c r="J264" t="n">
        <v>94</v>
      </c>
      <c r="K264" t="n">
        <v>0</v>
      </c>
      <c r="L264" t="inlineStr">
        <is>
          <t>Admitted</t>
        </is>
      </c>
      <c r="M264" s="27" t="n"/>
      <c r="N264" s="27" t="n"/>
      <c r="O264" s="27" t="n"/>
      <c r="P264" s="27" t="n"/>
      <c r="Q264" s="29" t="n"/>
      <c r="R264" s="27" t="n"/>
    </row>
    <row r="265">
      <c r="A265" t="inlineStr">
        <is>
          <t>ED212068</t>
        </is>
      </c>
      <c r="B265" s="26" t="n">
        <v>46010.53194444445</v>
      </c>
      <c r="C265" t="inlineStr">
        <is>
          <t>Walk-In</t>
        </is>
      </c>
      <c r="D265" t="n">
        <v>2</v>
      </c>
      <c r="E265" t="inlineStr">
        <is>
          <t>Cough / Trouble Breathing</t>
        </is>
      </c>
      <c r="F265" s="28" t="n">
        <v>97.40000000000001</v>
      </c>
      <c r="G265" t="n">
        <v>102</v>
      </c>
      <c r="H265" t="n">
        <v>37</v>
      </c>
      <c r="I265" t="n">
        <v>77</v>
      </c>
      <c r="J265" t="n">
        <v>91</v>
      </c>
      <c r="K265" t="n">
        <v>2</v>
      </c>
      <c r="L265" t="inlineStr">
        <is>
          <t>Discharged</t>
        </is>
      </c>
      <c r="M265" s="27" t="n"/>
      <c r="N265" s="27" t="n"/>
      <c r="O265" s="27" t="n"/>
      <c r="P265" s="27" t="n"/>
      <c r="Q265" s="29" t="n"/>
      <c r="R265" s="27" t="n"/>
    </row>
    <row r="266">
      <c r="A266" t="inlineStr">
        <is>
          <t>ED212069</t>
        </is>
      </c>
      <c r="B266" s="26" t="n">
        <v>46010.54722222222</v>
      </c>
      <c r="C266" t="inlineStr">
        <is>
          <t>Walk-In</t>
        </is>
      </c>
      <c r="D266" t="n">
        <v>4</v>
      </c>
      <c r="E266" t="inlineStr">
        <is>
          <t>Cough / Fever</t>
        </is>
      </c>
      <c r="F266" s="28" t="n">
        <v>97.8</v>
      </c>
      <c r="G266" t="n">
        <v>94</v>
      </c>
      <c r="H266" t="n">
        <v>12</v>
      </c>
      <c r="I266" t="n">
        <v>114</v>
      </c>
      <c r="J266" t="n">
        <v>97</v>
      </c>
      <c r="K266" t="n">
        <v>1</v>
      </c>
      <c r="L266" t="inlineStr">
        <is>
          <t>LWBS</t>
        </is>
      </c>
      <c r="M266" s="27" t="n"/>
      <c r="N266" s="27" t="n"/>
      <c r="O266" s="27" t="n"/>
      <c r="P266" s="27" t="n"/>
      <c r="Q266" s="29" t="n"/>
      <c r="R266" s="27" t="n"/>
    </row>
    <row r="267">
      <c r="A267" t="inlineStr">
        <is>
          <t>ED212072</t>
        </is>
      </c>
      <c r="B267" s="26" t="n">
        <v>46010.66944444444</v>
      </c>
      <c r="C267" t="inlineStr">
        <is>
          <t>Walk-In</t>
        </is>
      </c>
      <c r="D267" t="n">
        <v>5</v>
      </c>
      <c r="E267" t="inlineStr">
        <is>
          <t>Cough / Fever</t>
        </is>
      </c>
      <c r="F267" s="28" t="n">
        <v>98.2</v>
      </c>
      <c r="G267" t="n">
        <v>84</v>
      </c>
      <c r="H267" t="n">
        <v>16</v>
      </c>
      <c r="I267" t="n">
        <v>115</v>
      </c>
      <c r="J267" t="n">
        <v>97</v>
      </c>
      <c r="K267" t="n">
        <v>0</v>
      </c>
      <c r="L267" t="inlineStr">
        <is>
          <t>Discharged</t>
        </is>
      </c>
      <c r="M267" s="27" t="n"/>
      <c r="N267" s="27" t="n"/>
      <c r="O267" s="27" t="n"/>
      <c r="P267" s="27" t="n"/>
      <c r="Q267" s="29" t="n"/>
      <c r="R267" s="27" t="n"/>
    </row>
    <row r="268">
      <c r="A268" t="inlineStr">
        <is>
          <t>ED212075</t>
        </is>
      </c>
      <c r="B268" s="26" t="n">
        <v>46010.725</v>
      </c>
      <c r="C268" t="inlineStr">
        <is>
          <t>Walk-In</t>
        </is>
      </c>
      <c r="D268" t="n">
        <v>3</v>
      </c>
      <c r="E268" t="inlineStr">
        <is>
          <t>Dizziness</t>
        </is>
      </c>
      <c r="F268" s="28" t="n">
        <v>101.6</v>
      </c>
      <c r="G268" t="n">
        <v>94</v>
      </c>
      <c r="H268" t="n">
        <v>24</v>
      </c>
      <c r="I268" t="n">
        <v>116</v>
      </c>
      <c r="J268" t="n">
        <v>96</v>
      </c>
      <c r="K268" t="n">
        <v>1</v>
      </c>
      <c r="L268" t="inlineStr">
        <is>
          <t>Discharged</t>
        </is>
      </c>
      <c r="M268" s="27" t="n"/>
      <c r="N268" s="27" t="n"/>
      <c r="O268" s="27" t="n"/>
      <c r="P268" s="27" t="n"/>
      <c r="Q268" s="29" t="n"/>
      <c r="R268" s="27" t="n"/>
    </row>
    <row r="269">
      <c r="A269" t="inlineStr">
        <is>
          <t>ED212076</t>
        </is>
      </c>
      <c r="B269" s="26" t="n">
        <v>46010.78680555556</v>
      </c>
      <c r="C269" t="inlineStr">
        <is>
          <t>Walk-In</t>
        </is>
      </c>
      <c r="D269" t="n">
        <v>3</v>
      </c>
      <c r="E269" t="inlineStr">
        <is>
          <t>Skin Redness / Swelling</t>
        </is>
      </c>
      <c r="F269" s="28" t="n">
        <v>99.09999999999999</v>
      </c>
      <c r="G269" t="n">
        <v>77</v>
      </c>
      <c r="H269" t="n">
        <v>15</v>
      </c>
      <c r="I269" t="n">
        <v>157</v>
      </c>
      <c r="J269" t="n">
        <v>99</v>
      </c>
      <c r="K269" t="n">
        <v>0</v>
      </c>
      <c r="L269" t="inlineStr">
        <is>
          <t>Admitted</t>
        </is>
      </c>
      <c r="M269" s="27" t="n"/>
      <c r="N269" s="27" t="n"/>
      <c r="O269" s="27" t="n"/>
      <c r="P269" s="27" t="n"/>
      <c r="Q269" s="29" t="n"/>
      <c r="R269" s="27" t="n"/>
    </row>
    <row r="270">
      <c r="A270" t="inlineStr">
        <is>
          <t>ED212078</t>
        </is>
      </c>
      <c r="B270" s="26" t="n">
        <v>46010.80555555555</v>
      </c>
      <c r="C270" t="inlineStr">
        <is>
          <t>Walk-In</t>
        </is>
      </c>
      <c r="D270" t="n">
        <v>3</v>
      </c>
      <c r="E270" t="inlineStr">
        <is>
          <t>Shortness of Breath</t>
        </is>
      </c>
      <c r="F270" s="28" t="n">
        <v>98.7</v>
      </c>
      <c r="G270" t="n">
        <v>118</v>
      </c>
      <c r="H270" t="n">
        <v>23</v>
      </c>
      <c r="I270" t="n">
        <v>128</v>
      </c>
      <c r="J270" t="n">
        <v>95</v>
      </c>
      <c r="K270" t="n">
        <v>0</v>
      </c>
      <c r="L270" t="inlineStr">
        <is>
          <t>Discharged</t>
        </is>
      </c>
      <c r="M270" s="27" t="n"/>
      <c r="N270" s="27" t="n"/>
      <c r="O270" s="27" t="n"/>
      <c r="P270" s="27" t="n"/>
      <c r="Q270" s="29" t="n"/>
      <c r="R270" s="27" t="n"/>
    </row>
    <row r="271">
      <c r="A271" t="inlineStr">
        <is>
          <t>ED212082</t>
        </is>
      </c>
      <c r="B271" s="26" t="n">
        <v>46010.89236111111</v>
      </c>
      <c r="C271" t="inlineStr">
        <is>
          <t>Walk-In</t>
        </is>
      </c>
      <c r="D271" t="n">
        <v>5</v>
      </c>
      <c r="E271" t="inlineStr">
        <is>
          <t>Painful Urination / Fever</t>
        </is>
      </c>
      <c r="F271" s="28" t="n">
        <v>101.5</v>
      </c>
      <c r="G271" t="n">
        <v>90</v>
      </c>
      <c r="H271" t="n">
        <v>19</v>
      </c>
      <c r="I271" t="n">
        <v>131</v>
      </c>
      <c r="J271" t="n">
        <v>94</v>
      </c>
      <c r="K271" t="n">
        <v>1</v>
      </c>
      <c r="L271" t="inlineStr">
        <is>
          <t>Discharged</t>
        </is>
      </c>
      <c r="M271" s="27" t="n"/>
      <c r="N271" s="27" t="n"/>
      <c r="O271" s="27" t="n"/>
      <c r="P271" s="27" t="n"/>
      <c r="Q271" s="29" t="n"/>
      <c r="R271" s="27" t="n"/>
    </row>
    <row r="272">
      <c r="A272" t="inlineStr">
        <is>
          <t>ED212083</t>
        </is>
      </c>
      <c r="B272" s="26" t="n">
        <v>46011.02708333333</v>
      </c>
      <c r="C272" t="inlineStr">
        <is>
          <t>Walk-In</t>
        </is>
      </c>
      <c r="D272" t="n">
        <v>3</v>
      </c>
      <c r="E272" t="inlineStr">
        <is>
          <t>Abdominal Pain</t>
        </is>
      </c>
      <c r="F272" s="28" t="n">
        <v>98.90000000000001</v>
      </c>
      <c r="G272" t="n">
        <v>71</v>
      </c>
      <c r="H272" t="n">
        <v>19</v>
      </c>
      <c r="J272" t="n">
        <v>99</v>
      </c>
      <c r="K272" t="n">
        <v>7</v>
      </c>
      <c r="L272" t="inlineStr">
        <is>
          <t>Discharged</t>
        </is>
      </c>
      <c r="M272" s="27" t="n"/>
      <c r="N272" s="27" t="n"/>
      <c r="O272" s="27" t="n"/>
      <c r="P272" s="27" t="n"/>
      <c r="Q272" s="29" t="n"/>
      <c r="R272" s="27" t="n"/>
    </row>
    <row r="273">
      <c r="A273" t="inlineStr">
        <is>
          <t>ED212084</t>
        </is>
      </c>
      <c r="B273" s="26" t="n">
        <v>46011.04513888889</v>
      </c>
      <c r="C273" t="inlineStr">
        <is>
          <t>Walk-In</t>
        </is>
      </c>
      <c r="D273" t="n">
        <v>3</v>
      </c>
      <c r="E273" t="inlineStr">
        <is>
          <t>Seizure</t>
        </is>
      </c>
      <c r="F273" s="28" t="n">
        <v>97.90000000000001</v>
      </c>
      <c r="G273" t="n">
        <v>102</v>
      </c>
      <c r="H273" t="n">
        <v>17</v>
      </c>
      <c r="I273" t="n">
        <v>149</v>
      </c>
      <c r="J273" t="n">
        <v>99</v>
      </c>
      <c r="K273" t="n">
        <v>2</v>
      </c>
      <c r="L273" t="inlineStr">
        <is>
          <t>Discharged</t>
        </is>
      </c>
      <c r="M273" s="27" t="n"/>
      <c r="N273" s="27" t="n"/>
      <c r="O273" s="27" t="n"/>
      <c r="P273" s="27" t="n"/>
      <c r="Q273" s="29" t="n"/>
      <c r="R273" s="27" t="n"/>
    </row>
    <row r="274">
      <c r="A274" t="inlineStr">
        <is>
          <t>ED212085</t>
        </is>
      </c>
      <c r="B274" s="26" t="n">
        <v>46011.22222222222</v>
      </c>
      <c r="C274" t="inlineStr">
        <is>
          <t>Walk-In</t>
        </is>
      </c>
      <c r="D274" t="n">
        <v>4</v>
      </c>
      <c r="E274" t="inlineStr">
        <is>
          <t>Anxiety / Palpitations</t>
        </is>
      </c>
      <c r="F274" s="28" t="n">
        <v>98</v>
      </c>
      <c r="G274" t="n">
        <v>76</v>
      </c>
      <c r="H274" t="n">
        <v>17</v>
      </c>
      <c r="I274" t="n">
        <v>134</v>
      </c>
      <c r="J274" t="n">
        <v>98</v>
      </c>
      <c r="K274" t="n">
        <v>0</v>
      </c>
      <c r="L274" t="inlineStr">
        <is>
          <t>Discharged</t>
        </is>
      </c>
      <c r="M274" s="27" t="n"/>
      <c r="N274" s="27" t="n"/>
      <c r="O274" s="27" t="n"/>
      <c r="P274" s="27" t="n"/>
      <c r="Q274" s="29" t="n"/>
      <c r="R274" s="27" t="n"/>
    </row>
    <row r="275">
      <c r="A275" t="inlineStr">
        <is>
          <t>ED212087</t>
        </is>
      </c>
      <c r="B275" s="26" t="n">
        <v>46011.46875</v>
      </c>
      <c r="C275" t="inlineStr">
        <is>
          <t>Walk-In</t>
        </is>
      </c>
      <c r="D275" t="n">
        <v>2</v>
      </c>
      <c r="E275" t="inlineStr">
        <is>
          <t>Weakness / Numbness</t>
        </is>
      </c>
      <c r="F275" s="28" t="n">
        <v>98.59999999999999</v>
      </c>
      <c r="G275" t="n">
        <v>79</v>
      </c>
      <c r="H275" t="n">
        <v>17</v>
      </c>
      <c r="I275" t="n">
        <v>163</v>
      </c>
      <c r="J275" t="n">
        <v>97</v>
      </c>
      <c r="K275" t="n">
        <v>2</v>
      </c>
      <c r="L275" t="inlineStr">
        <is>
          <t>Admitted</t>
        </is>
      </c>
      <c r="M275" s="27" t="n"/>
      <c r="N275" s="27" t="n"/>
      <c r="O275" s="27" t="n"/>
      <c r="P275" s="27" t="n"/>
      <c r="Q275" s="29" t="n"/>
      <c r="R275" s="27" t="n"/>
    </row>
    <row r="276">
      <c r="A276" t="inlineStr">
        <is>
          <t>ED212088</t>
        </is>
      </c>
      <c r="B276" s="26" t="n">
        <v>46011.49444444444</v>
      </c>
      <c r="C276" t="inlineStr">
        <is>
          <t>Walk-In</t>
        </is>
      </c>
      <c r="D276" t="n">
        <v>3</v>
      </c>
      <c r="E276" t="inlineStr">
        <is>
          <t>Vomiting / Diarrhea</t>
        </is>
      </c>
      <c r="F276" s="28" t="n">
        <v>97.90000000000001</v>
      </c>
      <c r="G276" t="n">
        <v>99</v>
      </c>
      <c r="H276" t="n">
        <v>16</v>
      </c>
      <c r="I276" t="n">
        <v>158</v>
      </c>
      <c r="J276" t="n">
        <v>98</v>
      </c>
      <c r="K276" t="n">
        <v>1</v>
      </c>
      <c r="L276" t="inlineStr">
        <is>
          <t>Discharged</t>
        </is>
      </c>
      <c r="M276" s="27" t="n"/>
      <c r="N276" s="27" t="n"/>
      <c r="O276" s="27" t="n"/>
      <c r="P276" s="27" t="n"/>
      <c r="Q276" s="29" t="n"/>
      <c r="R276" s="27" t="n"/>
    </row>
    <row r="277">
      <c r="A277" t="inlineStr">
        <is>
          <t>ED212090</t>
        </is>
      </c>
      <c r="B277" s="26" t="n">
        <v>46011.52430555555</v>
      </c>
      <c r="C277" t="inlineStr">
        <is>
          <t>Walk-In</t>
        </is>
      </c>
      <c r="D277" t="n">
        <v>4</v>
      </c>
      <c r="E277" t="inlineStr">
        <is>
          <t>Dizziness</t>
        </is>
      </c>
      <c r="F277" s="28" t="n">
        <v>98.3</v>
      </c>
      <c r="G277" t="n">
        <v>79</v>
      </c>
      <c r="H277" t="n">
        <v>17</v>
      </c>
      <c r="I277" t="n">
        <v>115</v>
      </c>
      <c r="J277" t="n">
        <v>98</v>
      </c>
      <c r="K277" t="n">
        <v>0</v>
      </c>
      <c r="L277" t="inlineStr">
        <is>
          <t>Admitted</t>
        </is>
      </c>
      <c r="M277" s="27" t="n"/>
      <c r="N277" s="27" t="n"/>
      <c r="O277" s="27" t="n"/>
      <c r="P277" s="27" t="n"/>
      <c r="Q277" s="29" t="n"/>
      <c r="R277" s="27" t="n"/>
    </row>
    <row r="278">
      <c r="A278" t="inlineStr">
        <is>
          <t>ED212092</t>
        </is>
      </c>
      <c r="B278" s="26" t="n">
        <v>46011.53888888889</v>
      </c>
      <c r="C278" t="inlineStr">
        <is>
          <t>Walk-In</t>
        </is>
      </c>
      <c r="D278" t="n">
        <v>3</v>
      </c>
      <c r="E278" t="inlineStr">
        <is>
          <t>Seizure</t>
        </is>
      </c>
      <c r="F278" s="28" t="n">
        <v>98.7</v>
      </c>
      <c r="G278" t="n">
        <v>82</v>
      </c>
      <c r="H278" t="n">
        <v>18</v>
      </c>
      <c r="I278" t="n">
        <v>130</v>
      </c>
      <c r="J278" t="n">
        <v>98</v>
      </c>
      <c r="K278" t="n">
        <v>1</v>
      </c>
      <c r="L278" t="inlineStr">
        <is>
          <t>Discharged</t>
        </is>
      </c>
      <c r="M278" s="27" t="n"/>
      <c r="N278" s="27" t="n"/>
      <c r="O278" s="27" t="n"/>
      <c r="P278" s="27" t="n"/>
      <c r="Q278" s="29" t="n"/>
      <c r="R278" s="27" t="n"/>
    </row>
    <row r="279">
      <c r="A279" t="inlineStr">
        <is>
          <t>ED212093</t>
        </is>
      </c>
      <c r="B279" s="26" t="n">
        <v>46011.54930555556</v>
      </c>
      <c r="C279" t="inlineStr">
        <is>
          <t>Walk-In</t>
        </is>
      </c>
      <c r="D279" t="n">
        <v>2</v>
      </c>
      <c r="E279" t="inlineStr">
        <is>
          <t>Cough / Trouble Breathing</t>
        </is>
      </c>
      <c r="F279" s="28" t="n">
        <v>98.3</v>
      </c>
      <c r="G279" t="n">
        <v>121</v>
      </c>
      <c r="H279" t="n">
        <v>35</v>
      </c>
      <c r="I279" t="n">
        <v>102</v>
      </c>
      <c r="J279" t="n">
        <v>90</v>
      </c>
      <c r="K279" t="n">
        <v>0</v>
      </c>
      <c r="L279" t="inlineStr">
        <is>
          <t>Observation</t>
        </is>
      </c>
      <c r="M279" s="27" t="n"/>
      <c r="N279" s="27" t="n"/>
      <c r="O279" s="27" t="n"/>
      <c r="P279" s="27" t="n"/>
      <c r="Q279" s="29" t="n"/>
      <c r="R279" s="27" t="n"/>
    </row>
    <row r="280">
      <c r="A280" t="inlineStr">
        <is>
          <t>ED212094</t>
        </is>
      </c>
      <c r="B280" s="26" t="n">
        <v>46011.79305555556</v>
      </c>
      <c r="C280" t="inlineStr">
        <is>
          <t>Walk-In</t>
        </is>
      </c>
      <c r="D280" t="n">
        <v>4</v>
      </c>
      <c r="E280" t="inlineStr">
        <is>
          <t>Ear Pain / Fever</t>
        </is>
      </c>
      <c r="F280" s="28" t="n">
        <v>101.2</v>
      </c>
      <c r="G280" t="n">
        <v>94</v>
      </c>
      <c r="H280" t="n">
        <v>17</v>
      </c>
      <c r="I280" t="n">
        <v>108</v>
      </c>
      <c r="J280" t="n">
        <v>99</v>
      </c>
      <c r="K280" t="n">
        <v>0</v>
      </c>
      <c r="L280" t="inlineStr">
        <is>
          <t>Discharged</t>
        </is>
      </c>
      <c r="M280" s="27" t="n"/>
      <c r="N280" s="27" t="n"/>
      <c r="O280" s="27" t="n"/>
      <c r="P280" s="27" t="n"/>
      <c r="Q280" s="29" t="n"/>
      <c r="R280" s="27" t="n"/>
    </row>
    <row r="281">
      <c r="A281" t="inlineStr">
        <is>
          <t>ED212095</t>
        </is>
      </c>
      <c r="B281" s="26" t="n">
        <v>46011.87638888889</v>
      </c>
      <c r="C281" t="inlineStr">
        <is>
          <t>Ambulance</t>
        </is>
      </c>
      <c r="D281" t="n">
        <v>3</v>
      </c>
      <c r="E281" t="inlineStr">
        <is>
          <t>Tremors / Alcohol Withdrawal</t>
        </is>
      </c>
      <c r="F281" s="28" t="n">
        <v>97.7</v>
      </c>
      <c r="G281" t="n">
        <v>99</v>
      </c>
      <c r="H281" t="n">
        <v>17</v>
      </c>
      <c r="I281" t="n">
        <v>118</v>
      </c>
      <c r="J281" t="n">
        <v>96</v>
      </c>
      <c r="K281" t="n">
        <v>0</v>
      </c>
      <c r="L281" t="inlineStr">
        <is>
          <t>Discharged</t>
        </is>
      </c>
      <c r="M281" s="27" t="n"/>
      <c r="N281" s="27" t="n"/>
      <c r="O281" s="27" t="n"/>
      <c r="P281" s="27" t="n"/>
      <c r="Q281" s="29" t="n"/>
      <c r="R281" s="27" t="n"/>
    </row>
    <row r="282">
      <c r="A282" t="inlineStr">
        <is>
          <t>ED212096</t>
        </is>
      </c>
      <c r="B282" s="26" t="n">
        <v>46011.91805555556</v>
      </c>
      <c r="C282" t="inlineStr">
        <is>
          <t>Walk-In</t>
        </is>
      </c>
      <c r="D282" t="n">
        <v>4</v>
      </c>
      <c r="E282" t="inlineStr">
        <is>
          <t>Chest Pain</t>
        </is>
      </c>
      <c r="F282" s="28" t="n">
        <v>98.59999999999999</v>
      </c>
      <c r="G282" t="n">
        <v>86</v>
      </c>
      <c r="H282" t="n">
        <v>17</v>
      </c>
      <c r="I282" t="n">
        <v>132</v>
      </c>
      <c r="J282" t="n">
        <v>96</v>
      </c>
      <c r="K282" t="n">
        <v>9</v>
      </c>
      <c r="L282" t="inlineStr">
        <is>
          <t>Discharged</t>
        </is>
      </c>
      <c r="M282" s="27" t="n"/>
      <c r="N282" s="27" t="n"/>
      <c r="O282" s="27" t="n"/>
      <c r="P282" s="27" t="n"/>
      <c r="Q282" s="29" t="n"/>
      <c r="R282" s="27" t="n"/>
    </row>
    <row r="283">
      <c r="A283" t="inlineStr">
        <is>
          <t>ED212097</t>
        </is>
      </c>
      <c r="B283" s="26" t="n">
        <v>46011.97152777778</v>
      </c>
      <c r="C283" t="inlineStr">
        <is>
          <t>Walk-In</t>
        </is>
      </c>
      <c r="D283" t="n">
        <v>5</v>
      </c>
      <c r="E283" t="inlineStr">
        <is>
          <t>Cough / Fever</t>
        </is>
      </c>
      <c r="F283" s="28" t="n">
        <v>98.8</v>
      </c>
      <c r="G283" t="n">
        <v>85</v>
      </c>
      <c r="H283" t="n">
        <v>17</v>
      </c>
      <c r="I283" t="n">
        <v>134</v>
      </c>
      <c r="J283" t="n">
        <v>95</v>
      </c>
      <c r="K283" t="n">
        <v>2</v>
      </c>
      <c r="L283" t="inlineStr">
        <is>
          <t>Discharged</t>
        </is>
      </c>
      <c r="M283" s="27" t="n"/>
      <c r="N283" s="27" t="n"/>
      <c r="O283" s="27" t="n"/>
      <c r="P283" s="27" t="n"/>
      <c r="Q283" s="29" t="n"/>
      <c r="R283" s="27" t="n"/>
    </row>
    <row r="284">
      <c r="A284" t="inlineStr">
        <is>
          <t>ED212099</t>
        </is>
      </c>
      <c r="B284" s="26" t="n">
        <v>46011.98888888889</v>
      </c>
      <c r="C284" t="inlineStr">
        <is>
          <t>Walk-In</t>
        </is>
      </c>
      <c r="D284" t="n">
        <v>4</v>
      </c>
      <c r="E284" t="inlineStr">
        <is>
          <t>Cough / Fever</t>
        </is>
      </c>
      <c r="F284" s="28" t="n">
        <v>98.40000000000001</v>
      </c>
      <c r="G284" t="n">
        <v>87</v>
      </c>
      <c r="H284" t="n">
        <v>15</v>
      </c>
      <c r="I284" t="n">
        <v>124</v>
      </c>
      <c r="J284" t="n">
        <v>98</v>
      </c>
      <c r="K284" t="n">
        <v>0</v>
      </c>
      <c r="L284" t="inlineStr">
        <is>
          <t>Discharged</t>
        </is>
      </c>
      <c r="M284" s="27" t="n"/>
      <c r="N284" s="27" t="n"/>
      <c r="O284" s="27" t="n"/>
      <c r="P284" s="27" t="n"/>
      <c r="Q284" s="29" t="n"/>
      <c r="R284" s="27" t="n"/>
    </row>
    <row r="285">
      <c r="A285" t="inlineStr">
        <is>
          <t>ED212100</t>
        </is>
      </c>
      <c r="B285" s="26" t="n">
        <v>46012.27916666667</v>
      </c>
      <c r="C285" t="inlineStr">
        <is>
          <t>Walk-In</t>
        </is>
      </c>
      <c r="D285" t="n">
        <v>4</v>
      </c>
      <c r="E285" t="inlineStr">
        <is>
          <t>Cough / Fever</t>
        </is>
      </c>
      <c r="F285" s="28" t="n">
        <v>100.6</v>
      </c>
      <c r="G285" t="n">
        <v>92</v>
      </c>
      <c r="H285" t="n">
        <v>22</v>
      </c>
      <c r="I285" t="n">
        <v>118</v>
      </c>
      <c r="J285" t="n">
        <v>94</v>
      </c>
      <c r="K285" t="n">
        <v>1</v>
      </c>
      <c r="L285" t="inlineStr">
        <is>
          <t>Discharged</t>
        </is>
      </c>
      <c r="M285" s="27" t="n"/>
      <c r="N285" s="27" t="n"/>
      <c r="O285" s="27" t="n"/>
      <c r="P285" s="27" t="n"/>
      <c r="Q285" s="29" t="n"/>
      <c r="R285" s="27" t="n"/>
    </row>
    <row r="286">
      <c r="A286" t="inlineStr">
        <is>
          <t>ED212102</t>
        </is>
      </c>
      <c r="B286" s="26" t="n">
        <v>46012.37569444445</v>
      </c>
      <c r="C286" t="inlineStr">
        <is>
          <t>Walk-In</t>
        </is>
      </c>
      <c r="D286" t="n">
        <v>4</v>
      </c>
      <c r="E286" t="inlineStr">
        <is>
          <t>Painful Urination / Fever</t>
        </is>
      </c>
      <c r="F286" s="28" t="n">
        <v>100.7</v>
      </c>
      <c r="G286" t="n">
        <v>98</v>
      </c>
      <c r="H286" t="n">
        <v>15</v>
      </c>
      <c r="I286" t="n">
        <v>133</v>
      </c>
      <c r="J286" t="n">
        <v>97</v>
      </c>
      <c r="K286" t="n">
        <v>2</v>
      </c>
      <c r="L286" t="inlineStr">
        <is>
          <t>LWBS</t>
        </is>
      </c>
      <c r="M286" s="27" t="n"/>
      <c r="N286" s="27" t="n"/>
      <c r="O286" s="27" t="n"/>
      <c r="P286" s="27" t="n"/>
      <c r="Q286" s="29" t="n"/>
      <c r="R286" s="27" t="n"/>
    </row>
    <row r="287">
      <c r="A287" t="inlineStr">
        <is>
          <t>ED212106</t>
        </is>
      </c>
      <c r="B287" s="26" t="n">
        <v>46012.50694444445</v>
      </c>
      <c r="C287" t="inlineStr">
        <is>
          <t>Ambulance</t>
        </is>
      </c>
      <c r="D287" t="n">
        <v>3</v>
      </c>
      <c r="E287" t="inlineStr">
        <is>
          <t>Shortness of Breath</t>
        </is>
      </c>
      <c r="F287" s="28" t="n">
        <v>98</v>
      </c>
      <c r="G287" t="n">
        <v>89</v>
      </c>
      <c r="H287" t="n">
        <v>21</v>
      </c>
      <c r="I287" t="n">
        <v>122</v>
      </c>
      <c r="J287" t="n">
        <v>92</v>
      </c>
      <c r="K287" t="n">
        <v>1</v>
      </c>
      <c r="L287" t="inlineStr">
        <is>
          <t>Admitted</t>
        </is>
      </c>
      <c r="M287" s="27" t="n"/>
      <c r="N287" s="27" t="n"/>
      <c r="O287" s="27" t="n"/>
      <c r="P287" s="27" t="n"/>
      <c r="Q287" s="29" t="n"/>
      <c r="R287" s="27" t="n"/>
    </row>
    <row r="288">
      <c r="A288" t="inlineStr">
        <is>
          <t>ED212108</t>
        </is>
      </c>
      <c r="B288" s="26" t="n">
        <v>46012.51111111111</v>
      </c>
      <c r="C288" t="inlineStr">
        <is>
          <t>Walk-In</t>
        </is>
      </c>
      <c r="D288" t="n">
        <v>4</v>
      </c>
      <c r="E288" t="inlineStr">
        <is>
          <t>Painful Urination / Fever</t>
        </is>
      </c>
      <c r="F288" s="28" t="n">
        <v>98.7</v>
      </c>
      <c r="G288" t="n">
        <v>93</v>
      </c>
      <c r="H288" t="n">
        <v>16</v>
      </c>
      <c r="I288" t="n">
        <v>105</v>
      </c>
      <c r="J288" t="n">
        <v>98</v>
      </c>
      <c r="K288" t="n">
        <v>0</v>
      </c>
      <c r="L288" t="inlineStr">
        <is>
          <t>Discharged</t>
        </is>
      </c>
      <c r="M288" s="27" t="n"/>
      <c r="N288" s="27" t="n"/>
      <c r="O288" s="27" t="n"/>
      <c r="P288" s="27" t="n"/>
      <c r="Q288" s="29" t="n"/>
      <c r="R288" s="27" t="n"/>
    </row>
    <row r="289">
      <c r="A289" t="inlineStr">
        <is>
          <t>ED212109</t>
        </is>
      </c>
      <c r="B289" s="26" t="n">
        <v>46012.54236111111</v>
      </c>
      <c r="C289" t="inlineStr">
        <is>
          <t>Walk-In</t>
        </is>
      </c>
      <c r="D289" t="n">
        <v>3</v>
      </c>
      <c r="E289" t="inlineStr">
        <is>
          <t>Head Injury</t>
        </is>
      </c>
      <c r="F289" s="28" t="n">
        <v>98</v>
      </c>
      <c r="G289" t="n">
        <v>86</v>
      </c>
      <c r="H289" t="n">
        <v>16</v>
      </c>
      <c r="I289" t="n">
        <v>160</v>
      </c>
      <c r="J289" t="n">
        <v>99</v>
      </c>
      <c r="K289" t="n">
        <v>8</v>
      </c>
      <c r="L289" t="inlineStr">
        <is>
          <t>Discharged</t>
        </is>
      </c>
      <c r="M289" s="27" t="n"/>
      <c r="N289" s="27" t="n"/>
      <c r="O289" s="27" t="n"/>
      <c r="P289" s="27" t="n"/>
      <c r="Q289" s="29" t="n"/>
      <c r="R289" s="27" t="n"/>
    </row>
    <row r="290">
      <c r="A290" t="inlineStr">
        <is>
          <t>ED212110</t>
        </is>
      </c>
      <c r="B290" s="26" t="n">
        <v>46012.58611111111</v>
      </c>
      <c r="C290" t="inlineStr">
        <is>
          <t>Walk-In</t>
        </is>
      </c>
      <c r="D290" t="n">
        <v>4</v>
      </c>
      <c r="E290" t="inlineStr">
        <is>
          <t>Anxiety / Palpitations</t>
        </is>
      </c>
      <c r="F290" s="28" t="n">
        <v>97.7</v>
      </c>
      <c r="G290" t="n">
        <v>70</v>
      </c>
      <c r="H290" t="n">
        <v>15</v>
      </c>
      <c r="I290" t="n">
        <v>142</v>
      </c>
      <c r="J290" t="n">
        <v>97</v>
      </c>
      <c r="K290" t="n">
        <v>2</v>
      </c>
      <c r="L290" t="inlineStr">
        <is>
          <t>Discharged</t>
        </is>
      </c>
      <c r="M290" s="27" t="n"/>
      <c r="N290" s="27" t="n"/>
      <c r="O290" s="27" t="n"/>
      <c r="P290" s="27" t="n"/>
      <c r="Q290" s="29" t="n"/>
      <c r="R290" s="27" t="n"/>
    </row>
    <row r="291">
      <c r="A291" t="inlineStr">
        <is>
          <t>ED212111</t>
        </is>
      </c>
      <c r="B291" s="26" t="n">
        <v>46012.59513888889</v>
      </c>
      <c r="C291" t="inlineStr">
        <is>
          <t>Walk-In</t>
        </is>
      </c>
      <c r="D291" t="n">
        <v>2</v>
      </c>
      <c r="E291" t="inlineStr">
        <is>
          <t>Shortness of Breath</t>
        </is>
      </c>
      <c r="F291" s="28" t="n">
        <v>98</v>
      </c>
      <c r="G291" t="n">
        <v>81</v>
      </c>
      <c r="H291" t="n">
        <v>17</v>
      </c>
      <c r="I291" t="n">
        <v>129</v>
      </c>
      <c r="J291" t="n">
        <v>87</v>
      </c>
      <c r="K291" t="n">
        <v>1</v>
      </c>
      <c r="L291" t="inlineStr">
        <is>
          <t>Admitted</t>
        </is>
      </c>
      <c r="M291" s="27" t="n"/>
      <c r="N291" s="27" t="n"/>
      <c r="O291" s="27" t="n"/>
      <c r="P291" s="27" t="n"/>
      <c r="Q291" s="29" t="n"/>
      <c r="R291" s="27" t="n"/>
    </row>
    <row r="292">
      <c r="A292" t="inlineStr">
        <is>
          <t>ED212112</t>
        </is>
      </c>
      <c r="B292" s="26" t="n">
        <v>46012.66458333333</v>
      </c>
      <c r="C292" t="inlineStr">
        <is>
          <t>Walk-In</t>
        </is>
      </c>
      <c r="D292" t="n">
        <v>4</v>
      </c>
      <c r="E292" t="inlineStr">
        <is>
          <t>Vomiting / Diarrhea</t>
        </is>
      </c>
      <c r="F292" s="28" t="n">
        <v>98.2</v>
      </c>
      <c r="G292" t="n">
        <v>123</v>
      </c>
      <c r="H292" t="n">
        <v>14</v>
      </c>
      <c r="I292" t="n">
        <v>148</v>
      </c>
      <c r="J292" t="n">
        <v>97</v>
      </c>
      <c r="K292" t="n">
        <v>0</v>
      </c>
      <c r="L292" t="inlineStr">
        <is>
          <t>Left AMA</t>
        </is>
      </c>
      <c r="M292" s="27" t="n"/>
      <c r="N292" s="27" t="n"/>
      <c r="O292" s="27" t="n"/>
      <c r="P292" s="27" t="n"/>
      <c r="Q292" s="29" t="n"/>
      <c r="R292" s="27" t="n"/>
    </row>
    <row r="293">
      <c r="A293" t="inlineStr">
        <is>
          <t>ED212113</t>
        </is>
      </c>
      <c r="B293" s="26" t="n">
        <v>46012.70972222222</v>
      </c>
      <c r="C293" t="inlineStr">
        <is>
          <t>Ambulance</t>
        </is>
      </c>
      <c r="D293" t="n">
        <v>4</v>
      </c>
      <c r="E293" t="inlineStr">
        <is>
          <t>Fainting</t>
        </is>
      </c>
      <c r="F293" s="28" t="n">
        <v>98.5</v>
      </c>
      <c r="G293" t="n">
        <v>85</v>
      </c>
      <c r="H293" t="n">
        <v>15</v>
      </c>
      <c r="I293" t="n">
        <v>129</v>
      </c>
      <c r="J293" t="n">
        <v>96</v>
      </c>
      <c r="K293" t="n">
        <v>0</v>
      </c>
      <c r="L293" t="inlineStr">
        <is>
          <t>Admitted</t>
        </is>
      </c>
      <c r="M293" s="27" t="n"/>
      <c r="N293" s="27" t="n"/>
      <c r="O293" s="27" t="n"/>
      <c r="P293" s="27" t="n"/>
      <c r="Q293" s="29" t="n"/>
      <c r="R293" s="27" t="n"/>
    </row>
    <row r="294">
      <c r="A294" t="inlineStr">
        <is>
          <t>ED212114</t>
        </is>
      </c>
      <c r="B294" s="26" t="n">
        <v>46012.78194444445</v>
      </c>
      <c r="C294" t="inlineStr">
        <is>
          <t>Walk-In</t>
        </is>
      </c>
      <c r="D294" t="n">
        <v>4</v>
      </c>
      <c r="E294" t="inlineStr">
        <is>
          <t>Back Pain</t>
        </is>
      </c>
      <c r="F294" s="28" t="n">
        <v>98.3</v>
      </c>
      <c r="G294" t="n">
        <v>83</v>
      </c>
      <c r="H294" t="n">
        <v>16</v>
      </c>
      <c r="I294" t="n">
        <v>124</v>
      </c>
      <c r="J294" t="n">
        <v>99</v>
      </c>
      <c r="K294" t="n">
        <v>4</v>
      </c>
      <c r="L294" t="inlineStr">
        <is>
          <t>Discharged</t>
        </is>
      </c>
      <c r="M294" s="27" t="n"/>
      <c r="N294" s="27" t="n"/>
      <c r="O294" s="27" t="n"/>
      <c r="P294" s="27" t="n"/>
      <c r="Q294" s="29" t="n"/>
      <c r="R294" s="27" t="n"/>
    </row>
    <row r="295">
      <c r="A295" t="inlineStr">
        <is>
          <t>ED212115</t>
        </is>
      </c>
      <c r="B295" s="26" t="n">
        <v>46012.95069444444</v>
      </c>
      <c r="C295" t="inlineStr">
        <is>
          <t>Walk-In</t>
        </is>
      </c>
      <c r="D295" t="n">
        <v>3</v>
      </c>
      <c r="E295" t="inlineStr">
        <is>
          <t>Rash</t>
        </is>
      </c>
      <c r="F295" s="28" t="n">
        <v>101.3</v>
      </c>
      <c r="G295" t="n">
        <v>68</v>
      </c>
      <c r="H295" t="n">
        <v>15</v>
      </c>
      <c r="I295" t="n">
        <v>137</v>
      </c>
      <c r="J295" t="n">
        <v>97</v>
      </c>
      <c r="K295" t="n">
        <v>2</v>
      </c>
      <c r="L295" t="inlineStr">
        <is>
          <t>Discharged</t>
        </is>
      </c>
      <c r="M295" s="27" t="n"/>
      <c r="N295" s="27" t="n"/>
      <c r="O295" s="27" t="n"/>
      <c r="P295" s="27" t="n"/>
      <c r="Q295" s="29" t="n"/>
      <c r="R295" s="27" t="n"/>
    </row>
    <row r="296">
      <c r="A296" t="inlineStr">
        <is>
          <t>ED212116</t>
        </is>
      </c>
      <c r="B296" s="26" t="n">
        <v>46013.08055555556</v>
      </c>
      <c r="C296" t="inlineStr">
        <is>
          <t>Walk-In</t>
        </is>
      </c>
      <c r="D296" t="n">
        <v>3</v>
      </c>
      <c r="E296" t="inlineStr">
        <is>
          <t>Shortness of Breath</t>
        </is>
      </c>
      <c r="F296" s="28" t="n">
        <v>98.40000000000001</v>
      </c>
      <c r="G296" t="n">
        <v>106</v>
      </c>
      <c r="H296" t="n">
        <v>29</v>
      </c>
      <c r="I296" t="n">
        <v>127</v>
      </c>
      <c r="J296" t="n">
        <v>91</v>
      </c>
      <c r="K296" t="n">
        <v>2</v>
      </c>
      <c r="L296" t="inlineStr">
        <is>
          <t>Discharged</t>
        </is>
      </c>
      <c r="M296" s="27" t="n"/>
      <c r="N296" s="27" t="n"/>
      <c r="O296" s="27" t="n"/>
      <c r="P296" s="27" t="n"/>
      <c r="Q296" s="29" t="n"/>
      <c r="R296" s="27" t="n"/>
    </row>
    <row r="297">
      <c r="A297" t="inlineStr">
        <is>
          <t>ED212117</t>
        </is>
      </c>
      <c r="B297" s="26" t="n">
        <v>46013.13194444445</v>
      </c>
      <c r="C297" t="inlineStr">
        <is>
          <t>Walk-In</t>
        </is>
      </c>
      <c r="D297" t="n">
        <v>3</v>
      </c>
      <c r="E297" t="inlineStr">
        <is>
          <t>Painful Urination / Fever</t>
        </is>
      </c>
      <c r="F297" s="28" t="n">
        <v>99.7</v>
      </c>
      <c r="G297" t="n">
        <v>79</v>
      </c>
      <c r="H297" t="n">
        <v>16</v>
      </c>
      <c r="I297" t="n">
        <v>110</v>
      </c>
      <c r="J297" t="n">
        <v>98</v>
      </c>
      <c r="K297" t="n">
        <v>3</v>
      </c>
      <c r="L297" t="inlineStr">
        <is>
          <t>Admitted</t>
        </is>
      </c>
      <c r="M297" s="27" t="n"/>
      <c r="N297" s="27" t="n"/>
      <c r="O297" s="27" t="n"/>
      <c r="P297" s="27" t="n"/>
      <c r="Q297" s="29" t="n"/>
      <c r="R297" s="27" t="n"/>
    </row>
    <row r="298">
      <c r="A298" t="inlineStr">
        <is>
          <t>ED212120</t>
        </is>
      </c>
      <c r="B298" s="26" t="n">
        <v>46013.41597222222</v>
      </c>
      <c r="C298" t="inlineStr">
        <is>
          <t>Ambulance</t>
        </is>
      </c>
      <c r="D298" t="n">
        <v>3</v>
      </c>
      <c r="E298" t="inlineStr">
        <is>
          <t>Vomiting / Dizziness</t>
        </is>
      </c>
      <c r="F298" s="28" t="n">
        <v>98.2</v>
      </c>
      <c r="G298" t="n">
        <v>128</v>
      </c>
      <c r="H298" t="n">
        <v>19</v>
      </c>
      <c r="I298" t="n">
        <v>131</v>
      </c>
      <c r="J298" t="n">
        <v>98</v>
      </c>
      <c r="K298" t="n">
        <v>0</v>
      </c>
      <c r="L298" t="inlineStr">
        <is>
          <t>Admitted</t>
        </is>
      </c>
      <c r="M298" s="27" t="n"/>
      <c r="N298" s="27" t="n"/>
      <c r="O298" s="27" t="n"/>
      <c r="P298" s="27" t="n"/>
      <c r="Q298" s="29" t="n"/>
      <c r="R298" s="27" t="n"/>
    </row>
    <row r="299">
      <c r="A299" t="inlineStr">
        <is>
          <t>ED212123</t>
        </is>
      </c>
      <c r="B299" s="26" t="n">
        <v>46013.53819444445</v>
      </c>
      <c r="C299" t="inlineStr">
        <is>
          <t>Walk-In</t>
        </is>
      </c>
      <c r="D299" t="n">
        <v>2</v>
      </c>
      <c r="E299" t="inlineStr">
        <is>
          <t>Shortness of Breath</t>
        </is>
      </c>
      <c r="F299" s="28" t="n">
        <v>98.5</v>
      </c>
      <c r="G299" t="n">
        <v>67</v>
      </c>
      <c r="H299" t="n">
        <v>22</v>
      </c>
      <c r="I299" t="n">
        <v>127</v>
      </c>
      <c r="J299" t="n">
        <v>91</v>
      </c>
      <c r="K299" t="n">
        <v>0</v>
      </c>
      <c r="L299" t="inlineStr">
        <is>
          <t>Admitted</t>
        </is>
      </c>
      <c r="M299" s="27" t="n"/>
      <c r="N299" s="27" t="n"/>
      <c r="O299" s="27" t="n"/>
      <c r="P299" s="27" t="n"/>
      <c r="Q299" s="29" t="n"/>
      <c r="R299" s="27" t="n"/>
    </row>
    <row r="300">
      <c r="A300" t="inlineStr">
        <is>
          <t>ED212124</t>
        </is>
      </c>
      <c r="B300" s="26" t="n">
        <v>46013.54722222222</v>
      </c>
      <c r="C300" t="inlineStr">
        <is>
          <t>Ambulance</t>
        </is>
      </c>
      <c r="D300" t="n">
        <v>2</v>
      </c>
      <c r="E300" t="inlineStr">
        <is>
          <t>Chest Pain</t>
        </is>
      </c>
      <c r="F300" s="28" t="n">
        <v>98.8</v>
      </c>
      <c r="G300" t="n">
        <v>68</v>
      </c>
      <c r="H300" t="n">
        <v>16</v>
      </c>
      <c r="I300" t="n">
        <v>134</v>
      </c>
      <c r="J300" t="n">
        <v>97</v>
      </c>
      <c r="K300" t="n">
        <v>6</v>
      </c>
      <c r="L300" t="inlineStr">
        <is>
          <t>Discharged</t>
        </is>
      </c>
      <c r="M300" s="27" t="n"/>
      <c r="N300" s="27" t="n"/>
      <c r="O300" s="27" t="n"/>
      <c r="P300" s="27" t="n"/>
      <c r="Q300" s="29" t="n"/>
      <c r="R300" s="27" t="n"/>
    </row>
    <row r="301">
      <c r="A301" t="inlineStr">
        <is>
          <t>ED212125</t>
        </is>
      </c>
      <c r="B301" s="26" t="n">
        <v>46013.55138888889</v>
      </c>
      <c r="C301" t="inlineStr">
        <is>
          <t>Ambulance</t>
        </is>
      </c>
      <c r="D301" t="n">
        <v>3</v>
      </c>
      <c r="E301" t="inlineStr">
        <is>
          <t>High Blood Sugar</t>
        </is>
      </c>
      <c r="F301" s="28" t="n">
        <v>98.8</v>
      </c>
      <c r="G301" t="n">
        <v>89</v>
      </c>
      <c r="H301" t="n">
        <v>20</v>
      </c>
      <c r="I301" t="n">
        <v>138</v>
      </c>
      <c r="J301" t="n">
        <v>97</v>
      </c>
      <c r="K301" t="n">
        <v>3</v>
      </c>
      <c r="L301" t="inlineStr">
        <is>
          <t>Discharged</t>
        </is>
      </c>
      <c r="M301" s="27" t="n"/>
      <c r="N301" s="27" t="n"/>
      <c r="O301" s="27" t="n"/>
      <c r="P301" s="27" t="n"/>
      <c r="Q301" s="29" t="n"/>
      <c r="R301" s="27" t="n"/>
    </row>
    <row r="302">
      <c r="A302" t="inlineStr">
        <is>
          <t>ED212126</t>
        </is>
      </c>
      <c r="B302" s="26" t="n">
        <v>46013.58680555555</v>
      </c>
      <c r="C302" t="inlineStr">
        <is>
          <t>Walk-In</t>
        </is>
      </c>
      <c r="D302" t="n">
        <v>4</v>
      </c>
      <c r="E302" t="inlineStr">
        <is>
          <t>High Blood Sugar</t>
        </is>
      </c>
      <c r="F302" s="28" t="n">
        <v>98.5</v>
      </c>
      <c r="G302" t="n">
        <v>69</v>
      </c>
      <c r="H302" t="n">
        <v>16</v>
      </c>
      <c r="I302" t="n">
        <v>147</v>
      </c>
      <c r="J302" t="n">
        <v>98</v>
      </c>
      <c r="K302" t="n">
        <v>2</v>
      </c>
      <c r="L302" t="inlineStr">
        <is>
          <t>Discharged</t>
        </is>
      </c>
      <c r="M302" s="27" t="n"/>
      <c r="N302" s="27" t="n"/>
      <c r="O302" s="27" t="n"/>
      <c r="P302" s="27" t="n"/>
      <c r="Q302" s="29" t="n"/>
      <c r="R302" s="27" t="n"/>
    </row>
    <row r="303">
      <c r="A303" t="inlineStr">
        <is>
          <t>ED212127</t>
        </is>
      </c>
      <c r="B303" s="26" t="n">
        <v>46013.59930555556</v>
      </c>
      <c r="C303" t="inlineStr">
        <is>
          <t>Walk-In</t>
        </is>
      </c>
      <c r="D303" t="n">
        <v>5</v>
      </c>
      <c r="E303" t="inlineStr">
        <is>
          <t>Ear Pain / Fever</t>
        </is>
      </c>
      <c r="F303" s="28" t="n">
        <v>100.4</v>
      </c>
      <c r="G303" t="n">
        <v>133</v>
      </c>
      <c r="H303" t="n">
        <v>35</v>
      </c>
      <c r="I303" t="n">
        <v>96</v>
      </c>
      <c r="J303" t="n">
        <v>99</v>
      </c>
      <c r="K303" t="n">
        <v>0</v>
      </c>
      <c r="L303" t="inlineStr">
        <is>
          <t>Discharged</t>
        </is>
      </c>
      <c r="M303" s="27" t="n"/>
      <c r="N303" s="27" t="n"/>
      <c r="O303" s="27" t="n"/>
      <c r="P303" s="27" t="n"/>
      <c r="Q303" s="29" t="n"/>
      <c r="R303" s="27" t="n"/>
    </row>
    <row r="304">
      <c r="A304" t="inlineStr">
        <is>
          <t>ED212128</t>
        </is>
      </c>
      <c r="B304" s="26" t="n">
        <v>46013.61527777778</v>
      </c>
      <c r="C304" t="inlineStr">
        <is>
          <t>Walk-In</t>
        </is>
      </c>
      <c r="D304" t="n">
        <v>5</v>
      </c>
      <c r="E304" t="inlineStr">
        <is>
          <t>Cough / Fever</t>
        </is>
      </c>
      <c r="F304" s="28" t="n">
        <v>98.7</v>
      </c>
      <c r="G304" t="n">
        <v>73</v>
      </c>
      <c r="H304" t="n">
        <v>13</v>
      </c>
      <c r="I304" t="n">
        <v>95</v>
      </c>
      <c r="J304" t="n">
        <v>96</v>
      </c>
      <c r="K304" t="n">
        <v>1</v>
      </c>
      <c r="L304" t="inlineStr">
        <is>
          <t>Discharged</t>
        </is>
      </c>
      <c r="M304" s="27" t="n"/>
      <c r="N304" s="27" t="n"/>
      <c r="O304" s="27" t="n"/>
      <c r="P304" s="27" t="n"/>
      <c r="Q304" s="29" t="n"/>
      <c r="R304" s="27" t="n"/>
    </row>
    <row r="305">
      <c r="A305" t="inlineStr">
        <is>
          <t>ED212129</t>
        </is>
      </c>
      <c r="B305" s="26" t="n">
        <v>46013.67361111111</v>
      </c>
      <c r="C305" t="inlineStr">
        <is>
          <t>Walk-In</t>
        </is>
      </c>
      <c r="D305" t="n">
        <v>3</v>
      </c>
      <c r="E305" t="inlineStr">
        <is>
          <t>Abdominal Pain</t>
        </is>
      </c>
      <c r="F305" s="28" t="n">
        <v>98.2</v>
      </c>
      <c r="G305" t="n">
        <v>76</v>
      </c>
      <c r="H305" t="n">
        <v>13</v>
      </c>
      <c r="I305" t="n">
        <v>152</v>
      </c>
      <c r="J305" t="n">
        <v>97</v>
      </c>
      <c r="K305" t="n">
        <v>6</v>
      </c>
      <c r="L305" t="inlineStr">
        <is>
          <t>Discharged</t>
        </is>
      </c>
      <c r="M305" s="27" t="n"/>
      <c r="N305" s="27" t="n"/>
      <c r="O305" s="27" t="n"/>
      <c r="P305" s="27" t="n"/>
      <c r="Q305" s="29" t="n"/>
      <c r="R305" s="27" t="n"/>
    </row>
    <row r="306">
      <c r="A306" t="inlineStr">
        <is>
          <t>ED212130</t>
        </is>
      </c>
      <c r="B306" s="26" t="n">
        <v>46013.67986111111</v>
      </c>
      <c r="C306" t="inlineStr">
        <is>
          <t>Walk-In</t>
        </is>
      </c>
      <c r="D306" t="n">
        <v>3</v>
      </c>
      <c r="E306" t="inlineStr">
        <is>
          <t>Abdominal Pain</t>
        </is>
      </c>
      <c r="F306" s="28" t="n">
        <v>97.90000000000001</v>
      </c>
      <c r="G306" t="n">
        <v>99</v>
      </c>
      <c r="H306" t="n">
        <v>13</v>
      </c>
      <c r="I306" t="n">
        <v>147</v>
      </c>
      <c r="J306" t="n">
        <v>98</v>
      </c>
      <c r="K306" t="n">
        <v>9</v>
      </c>
      <c r="L306" t="inlineStr">
        <is>
          <t>Discharged</t>
        </is>
      </c>
      <c r="M306" s="27" t="n"/>
      <c r="N306" s="27" t="n"/>
      <c r="O306" s="27" t="n"/>
      <c r="P306" s="27" t="n"/>
      <c r="Q306" s="29" t="n"/>
      <c r="R306" s="27" t="n"/>
    </row>
    <row r="307">
      <c r="A307" t="inlineStr">
        <is>
          <t>ED212133</t>
        </is>
      </c>
      <c r="B307" s="26" t="n">
        <v>46013.73263888889</v>
      </c>
      <c r="C307" t="inlineStr">
        <is>
          <t>Walk-In</t>
        </is>
      </c>
      <c r="D307" t="n">
        <v>3</v>
      </c>
      <c r="E307" t="inlineStr">
        <is>
          <t>Head Injury</t>
        </is>
      </c>
      <c r="F307" s="28" t="n">
        <v>98</v>
      </c>
      <c r="G307" t="n">
        <v>66</v>
      </c>
      <c r="H307" t="n">
        <v>18</v>
      </c>
      <c r="I307" t="n">
        <v>130</v>
      </c>
      <c r="J307" t="n">
        <v>99</v>
      </c>
      <c r="K307" t="n">
        <v>4</v>
      </c>
      <c r="L307" t="inlineStr">
        <is>
          <t>Discharged</t>
        </is>
      </c>
      <c r="M307" s="27" t="n"/>
      <c r="N307" s="27" t="n"/>
      <c r="O307" s="27" t="n"/>
      <c r="P307" s="27" t="n"/>
      <c r="Q307" s="29" t="n"/>
      <c r="R307" s="27" t="n"/>
    </row>
    <row r="308">
      <c r="A308" t="inlineStr">
        <is>
          <t>ED212134</t>
        </is>
      </c>
      <c r="B308" s="26" t="n">
        <v>46013.77916666667</v>
      </c>
      <c r="C308" t="inlineStr">
        <is>
          <t>Ambulance</t>
        </is>
      </c>
      <c r="D308" t="n">
        <v>2</v>
      </c>
      <c r="E308" t="inlineStr">
        <is>
          <t>Weakness / Numbness</t>
        </is>
      </c>
      <c r="F308" s="28" t="n">
        <v>98.09999999999999</v>
      </c>
      <c r="G308" t="n">
        <v>91</v>
      </c>
      <c r="H308" t="n">
        <v>17</v>
      </c>
      <c r="I308" t="n">
        <v>143</v>
      </c>
      <c r="J308" t="n">
        <v>97</v>
      </c>
      <c r="K308" t="n">
        <v>1</v>
      </c>
      <c r="L308" t="inlineStr">
        <is>
          <t>Admitted</t>
        </is>
      </c>
      <c r="M308" s="27" t="n"/>
      <c r="N308" s="27" t="n"/>
      <c r="O308" s="27" t="n"/>
      <c r="P308" s="27" t="n"/>
      <c r="Q308" s="29" t="n"/>
      <c r="R308" s="27" t="n"/>
    </row>
    <row r="309">
      <c r="A309" t="inlineStr">
        <is>
          <t>ED212136</t>
        </is>
      </c>
      <c r="B309" s="26" t="n">
        <v>46013.82638888889</v>
      </c>
      <c r="C309" t="inlineStr">
        <is>
          <t>Walk-In</t>
        </is>
      </c>
      <c r="D309" t="n">
        <v>3</v>
      </c>
      <c r="E309" t="inlineStr">
        <is>
          <t>Vomiting / Dizziness</t>
        </is>
      </c>
      <c r="F309" s="28" t="n">
        <v>99</v>
      </c>
      <c r="G309" t="n">
        <v>96</v>
      </c>
      <c r="H309" t="n">
        <v>17</v>
      </c>
      <c r="J309" t="n">
        <v>98</v>
      </c>
      <c r="K309" t="n">
        <v>1</v>
      </c>
      <c r="L309" t="inlineStr">
        <is>
          <t>Discharged</t>
        </is>
      </c>
      <c r="M309" s="27" t="n"/>
      <c r="N309" s="27" t="n"/>
      <c r="O309" s="27" t="n"/>
      <c r="P309" s="27" t="n"/>
      <c r="Q309" s="29" t="n"/>
      <c r="R309" s="27" t="n"/>
    </row>
    <row r="310">
      <c r="A310" t="inlineStr">
        <is>
          <t>ED212137</t>
        </is>
      </c>
      <c r="B310" s="26" t="n">
        <v>46013.88194444445</v>
      </c>
      <c r="C310" t="inlineStr">
        <is>
          <t>Walk-In</t>
        </is>
      </c>
      <c r="D310" t="n">
        <v>3</v>
      </c>
      <c r="E310" t="inlineStr">
        <is>
          <t>Seizure</t>
        </is>
      </c>
      <c r="F310" s="28" t="n">
        <v>98.7</v>
      </c>
      <c r="G310" t="n">
        <v>108</v>
      </c>
      <c r="H310" t="n">
        <v>19</v>
      </c>
      <c r="I310" t="n">
        <v>100</v>
      </c>
      <c r="J310" t="n">
        <v>98</v>
      </c>
      <c r="K310" t="n">
        <v>3</v>
      </c>
      <c r="L310" t="inlineStr">
        <is>
          <t>Observation</t>
        </is>
      </c>
      <c r="M310" s="27" t="n"/>
      <c r="N310" s="27" t="n"/>
      <c r="O310" s="27" t="n"/>
      <c r="P310" s="27" t="n"/>
      <c r="Q310" s="29" t="n"/>
      <c r="R310" s="27" t="n"/>
    </row>
    <row r="311">
      <c r="A311" t="inlineStr">
        <is>
          <t>ED212138</t>
        </is>
      </c>
      <c r="B311" s="26" t="n">
        <v>46014.14375</v>
      </c>
      <c r="C311" t="inlineStr">
        <is>
          <t>Walk-In</t>
        </is>
      </c>
      <c r="D311" t="n">
        <v>4</v>
      </c>
      <c r="E311" t="inlineStr">
        <is>
          <t>Abdominal Pain</t>
        </is>
      </c>
      <c r="F311" s="28" t="n">
        <v>99.2</v>
      </c>
      <c r="G311" t="n">
        <v>99</v>
      </c>
      <c r="H311" t="n">
        <v>14</v>
      </c>
      <c r="I311" t="n">
        <v>113</v>
      </c>
      <c r="J311" t="n">
        <v>99</v>
      </c>
      <c r="K311" t="n">
        <v>9</v>
      </c>
      <c r="L311" t="inlineStr">
        <is>
          <t>Discharged</t>
        </is>
      </c>
      <c r="M311" s="27" t="n"/>
      <c r="N311" s="27" t="n"/>
      <c r="O311" s="27" t="n"/>
      <c r="P311" s="27" t="n"/>
      <c r="Q311" s="29" t="n"/>
      <c r="R311" s="27" t="n"/>
    </row>
    <row r="312">
      <c r="A312" t="inlineStr">
        <is>
          <t>ED212139</t>
        </is>
      </c>
      <c r="B312" s="26" t="n">
        <v>46014.32708333333</v>
      </c>
      <c r="C312" t="inlineStr">
        <is>
          <t>Walk-In</t>
        </is>
      </c>
      <c r="D312" t="n">
        <v>2</v>
      </c>
      <c r="E312" t="inlineStr">
        <is>
          <t>Palpitations</t>
        </is>
      </c>
      <c r="F312" s="28" t="n">
        <v>97.90000000000001</v>
      </c>
      <c r="G312" t="n">
        <v>146</v>
      </c>
      <c r="H312" t="n">
        <v>15</v>
      </c>
      <c r="I312" t="n">
        <v>96</v>
      </c>
      <c r="J312" t="n">
        <v>97</v>
      </c>
      <c r="K312" t="n">
        <v>0</v>
      </c>
      <c r="L312" t="inlineStr">
        <is>
          <t>Discharged</t>
        </is>
      </c>
      <c r="M312" s="27" t="n"/>
      <c r="N312" s="27" t="n"/>
      <c r="O312" s="27" t="n"/>
      <c r="P312" s="27" t="n"/>
      <c r="Q312" s="29" t="n"/>
      <c r="R312" s="27" t="n"/>
    </row>
    <row r="313">
      <c r="A313" t="inlineStr">
        <is>
          <t>ED212140</t>
        </is>
      </c>
      <c r="B313" s="26" t="n">
        <v>46014.44097222222</v>
      </c>
      <c r="C313" t="inlineStr">
        <is>
          <t>Walk-In</t>
        </is>
      </c>
      <c r="D313" t="n">
        <v>2</v>
      </c>
      <c r="E313" t="inlineStr">
        <is>
          <t>Shortness of Breath</t>
        </is>
      </c>
      <c r="F313" s="28" t="n">
        <v>97.5</v>
      </c>
      <c r="G313" t="n">
        <v>96</v>
      </c>
      <c r="H313" t="n">
        <v>24</v>
      </c>
      <c r="I313" t="n">
        <v>146</v>
      </c>
      <c r="J313" t="n">
        <v>92</v>
      </c>
      <c r="K313" t="n">
        <v>0</v>
      </c>
      <c r="L313" t="inlineStr">
        <is>
          <t>Transferred</t>
        </is>
      </c>
      <c r="M313" s="27" t="n"/>
      <c r="N313" s="27" t="n"/>
      <c r="O313" s="27" t="n"/>
      <c r="P313" s="27" t="n"/>
      <c r="Q313" s="29" t="n"/>
      <c r="R313" s="27" t="n"/>
    </row>
    <row r="314">
      <c r="A314" t="inlineStr">
        <is>
          <t>ED212141</t>
        </is>
      </c>
      <c r="B314" s="26" t="n">
        <v>46014.44375</v>
      </c>
      <c r="C314" t="inlineStr">
        <is>
          <t>Walk-In</t>
        </is>
      </c>
      <c r="D314" t="n">
        <v>3</v>
      </c>
      <c r="E314" t="inlineStr">
        <is>
          <t>Cough / Trouble Breathing</t>
        </is>
      </c>
      <c r="F314" s="28" t="n">
        <v>98.3</v>
      </c>
      <c r="G314" t="n">
        <v>124</v>
      </c>
      <c r="H314" t="n">
        <v>37</v>
      </c>
      <c r="I314" t="n">
        <v>99</v>
      </c>
      <c r="J314" t="n">
        <v>85</v>
      </c>
      <c r="K314" t="n">
        <v>3</v>
      </c>
      <c r="L314" t="inlineStr">
        <is>
          <t>Discharged</t>
        </is>
      </c>
      <c r="M314" s="27" t="n"/>
      <c r="N314" s="27" t="n"/>
      <c r="O314" s="27" t="n"/>
      <c r="P314" s="27" t="n"/>
      <c r="Q314" s="29" t="n"/>
      <c r="R314" s="27" t="n"/>
    </row>
    <row r="315">
      <c r="A315" t="inlineStr">
        <is>
          <t>ED212142</t>
        </is>
      </c>
      <c r="B315" s="26" t="n">
        <v>46014.46458333333</v>
      </c>
      <c r="C315" t="inlineStr">
        <is>
          <t>Walk-In</t>
        </is>
      </c>
      <c r="D315" t="n">
        <v>3</v>
      </c>
      <c r="E315" t="inlineStr">
        <is>
          <t>Abdominal Pain</t>
        </is>
      </c>
      <c r="F315" s="28" t="n">
        <v>98.90000000000001</v>
      </c>
      <c r="G315" t="n">
        <v>95</v>
      </c>
      <c r="H315" t="n">
        <v>17</v>
      </c>
      <c r="I315" t="n">
        <v>102</v>
      </c>
      <c r="J315" t="n">
        <v>96</v>
      </c>
      <c r="K315" t="n">
        <v>10</v>
      </c>
      <c r="L315" t="inlineStr">
        <is>
          <t>Discharged</t>
        </is>
      </c>
      <c r="M315" s="27" t="n"/>
      <c r="N315" s="27" t="n"/>
      <c r="O315" s="27" t="n"/>
      <c r="P315" s="27" t="n"/>
      <c r="Q315" s="29" t="n"/>
      <c r="R315" s="27" t="n"/>
    </row>
    <row r="316">
      <c r="A316" t="inlineStr">
        <is>
          <t>ED212143</t>
        </is>
      </c>
      <c r="B316" s="26" t="n">
        <v>46014.46666666667</v>
      </c>
      <c r="C316" t="inlineStr">
        <is>
          <t>Walk-In</t>
        </is>
      </c>
      <c r="D316" t="n">
        <v>3</v>
      </c>
      <c r="E316" t="inlineStr">
        <is>
          <t>Cough / Fever</t>
        </is>
      </c>
      <c r="F316" s="28" t="n">
        <v>100.4</v>
      </c>
      <c r="G316" t="n">
        <v>95</v>
      </c>
      <c r="H316" t="n">
        <v>20</v>
      </c>
      <c r="I316" t="n">
        <v>143</v>
      </c>
      <c r="J316" t="n">
        <v>95</v>
      </c>
      <c r="K316" t="n">
        <v>2</v>
      </c>
      <c r="L316" t="inlineStr">
        <is>
          <t>Discharged</t>
        </is>
      </c>
      <c r="M316" s="27" t="n"/>
      <c r="N316" s="27" t="n"/>
      <c r="O316" s="27" t="n"/>
      <c r="P316" s="27" t="n"/>
      <c r="Q316" s="29" t="n"/>
      <c r="R316" s="27" t="n"/>
    </row>
    <row r="317">
      <c r="A317" t="inlineStr">
        <is>
          <t>ED212144</t>
        </is>
      </c>
      <c r="B317" s="26" t="n">
        <v>46014.50486111111</v>
      </c>
      <c r="C317" t="inlineStr">
        <is>
          <t>Walk-In</t>
        </is>
      </c>
      <c r="D317" t="n">
        <v>5</v>
      </c>
      <c r="E317" t="inlineStr">
        <is>
          <t>Ear Pain / Fever</t>
        </is>
      </c>
      <c r="F317" s="28" t="n">
        <v>101.6</v>
      </c>
      <c r="G317" t="n">
        <v>130</v>
      </c>
      <c r="H317" t="n">
        <v>36</v>
      </c>
      <c r="I317" t="n">
        <v>96</v>
      </c>
      <c r="J317" t="n">
        <v>97</v>
      </c>
      <c r="K317" t="n">
        <v>1</v>
      </c>
      <c r="L317" t="inlineStr">
        <is>
          <t>Discharged</t>
        </is>
      </c>
      <c r="M317" s="27" t="n"/>
      <c r="N317" s="27" t="n"/>
      <c r="O317" s="27" t="n"/>
      <c r="P317" s="27" t="n"/>
      <c r="Q317" s="29" t="n"/>
      <c r="R317" s="27" t="n"/>
    </row>
    <row r="318">
      <c r="A318" t="inlineStr">
        <is>
          <t>ED212145</t>
        </is>
      </c>
      <c r="B318" s="26" t="n">
        <v>46014.50763888889</v>
      </c>
      <c r="C318" t="inlineStr">
        <is>
          <t>Ambulance</t>
        </is>
      </c>
      <c r="D318" t="n">
        <v>3</v>
      </c>
      <c r="E318" t="inlineStr">
        <is>
          <t>Cough / Fever</t>
        </is>
      </c>
      <c r="F318" s="28" t="n">
        <v>101.3</v>
      </c>
      <c r="G318" t="n">
        <v>111</v>
      </c>
      <c r="H318" t="n">
        <v>20</v>
      </c>
      <c r="I318" t="n">
        <v>137</v>
      </c>
      <c r="J318" t="n">
        <v>95</v>
      </c>
      <c r="K318" t="n">
        <v>3</v>
      </c>
      <c r="L318" t="inlineStr">
        <is>
          <t>Discharged</t>
        </is>
      </c>
      <c r="M318" s="27" t="n"/>
      <c r="N318" s="27" t="n"/>
      <c r="O318" s="27" t="n"/>
      <c r="P318" s="27" t="n"/>
      <c r="Q318" s="29" t="n"/>
      <c r="R318" s="27" t="n"/>
    </row>
    <row r="319">
      <c r="A319" t="inlineStr">
        <is>
          <t>ED212146</t>
        </is>
      </c>
      <c r="B319" s="26" t="n">
        <v>46014.5125</v>
      </c>
      <c r="C319" t="inlineStr">
        <is>
          <t>Walk-In</t>
        </is>
      </c>
      <c r="D319" t="n">
        <v>4</v>
      </c>
      <c r="E319" t="inlineStr">
        <is>
          <t>Painful Urination / Fever</t>
        </is>
      </c>
      <c r="F319" s="28" t="n">
        <v>101.3</v>
      </c>
      <c r="G319" t="n">
        <v>92</v>
      </c>
      <c r="H319" t="n">
        <v>16</v>
      </c>
      <c r="I319" t="n">
        <v>116</v>
      </c>
      <c r="J319" t="n">
        <v>97</v>
      </c>
      <c r="K319" t="n">
        <v>2</v>
      </c>
      <c r="L319" t="inlineStr">
        <is>
          <t>Discharged</t>
        </is>
      </c>
      <c r="M319" s="27" t="n"/>
      <c r="N319" s="27" t="n"/>
      <c r="O319" s="27" t="n"/>
      <c r="P319" s="27" t="n"/>
      <c r="Q319" s="29" t="n"/>
      <c r="R319" s="27" t="n"/>
    </row>
    <row r="320">
      <c r="A320" t="inlineStr">
        <is>
          <t>ED212147</t>
        </is>
      </c>
      <c r="B320" s="26" t="n">
        <v>46014.53541666667</v>
      </c>
      <c r="C320" t="inlineStr">
        <is>
          <t>Walk-In</t>
        </is>
      </c>
      <c r="D320" t="n">
        <v>3</v>
      </c>
      <c r="E320" t="inlineStr">
        <is>
          <t>Shortness of Breath</t>
        </is>
      </c>
      <c r="F320" s="28" t="n">
        <v>98.7</v>
      </c>
      <c r="G320" t="n">
        <v>86</v>
      </c>
      <c r="H320" t="n">
        <v>20</v>
      </c>
      <c r="I320" t="n">
        <v>139</v>
      </c>
      <c r="J320" t="n">
        <v>91</v>
      </c>
      <c r="K320" t="n">
        <v>1</v>
      </c>
      <c r="L320" t="inlineStr">
        <is>
          <t>Admitted</t>
        </is>
      </c>
      <c r="M320" s="27" t="n"/>
      <c r="N320" s="27" t="n"/>
      <c r="O320" s="27" t="n"/>
      <c r="P320" s="27" t="n"/>
      <c r="Q320" s="29" t="n"/>
      <c r="R320" s="27" t="n"/>
    </row>
    <row r="321">
      <c r="A321" t="inlineStr">
        <is>
          <t>ED212148</t>
        </is>
      </c>
      <c r="B321" s="26" t="n">
        <v>46014.54861111111</v>
      </c>
      <c r="C321" t="inlineStr">
        <is>
          <t>Ambulance</t>
        </is>
      </c>
      <c r="D321" t="n">
        <v>2</v>
      </c>
      <c r="E321" t="inlineStr">
        <is>
          <t>Fever / Altered Mental Status</t>
        </is>
      </c>
      <c r="F321" s="28" t="n">
        <v>99.90000000000001</v>
      </c>
      <c r="G321" t="n">
        <v>87</v>
      </c>
      <c r="H321" t="n">
        <v>29</v>
      </c>
      <c r="I321" t="n">
        <v>103</v>
      </c>
      <c r="J321" t="n">
        <v>94</v>
      </c>
      <c r="K321" t="n">
        <v>0</v>
      </c>
      <c r="L321" t="inlineStr">
        <is>
          <t>Admitted</t>
        </is>
      </c>
      <c r="M321" s="27" t="n"/>
      <c r="N321" s="27" t="n"/>
      <c r="O321" s="27" t="n"/>
      <c r="P321" s="27" t="n"/>
      <c r="Q321" s="29" t="n"/>
      <c r="R321" s="27" t="n"/>
    </row>
    <row r="322">
      <c r="A322" t="inlineStr">
        <is>
          <t>ED212149</t>
        </is>
      </c>
      <c r="B322" s="26" t="n">
        <v>46014.55972222222</v>
      </c>
      <c r="C322" t="inlineStr">
        <is>
          <t>Walk-In</t>
        </is>
      </c>
      <c r="D322" t="n">
        <v>4</v>
      </c>
      <c r="E322" t="inlineStr">
        <is>
          <t>Laceration</t>
        </is>
      </c>
      <c r="F322" s="28" t="n">
        <v>98.7</v>
      </c>
      <c r="G322" t="n">
        <v>89</v>
      </c>
      <c r="H322" t="n">
        <v>14</v>
      </c>
      <c r="I322" t="n">
        <v>133</v>
      </c>
      <c r="J322" t="n">
        <v>98</v>
      </c>
      <c r="K322" t="n">
        <v>1</v>
      </c>
      <c r="L322" t="inlineStr">
        <is>
          <t>Admitted</t>
        </is>
      </c>
      <c r="M322" s="27" t="n"/>
      <c r="N322" s="27" t="n"/>
      <c r="O322" s="27" t="n"/>
      <c r="P322" s="27" t="n"/>
      <c r="Q322" s="29" t="n"/>
      <c r="R322" s="27" t="n"/>
    </row>
    <row r="323">
      <c r="A323" t="inlineStr">
        <is>
          <t>ED212150</t>
        </is>
      </c>
      <c r="B323" s="26" t="n">
        <v>46014.575</v>
      </c>
      <c r="C323" t="inlineStr">
        <is>
          <t>Walk-In</t>
        </is>
      </c>
      <c r="D323" t="n">
        <v>2</v>
      </c>
      <c r="E323" t="inlineStr">
        <is>
          <t>Shortness of Breath</t>
        </is>
      </c>
      <c r="F323" s="28" t="n">
        <v>98.5</v>
      </c>
      <c r="G323" t="n">
        <v>124</v>
      </c>
      <c r="H323" t="n">
        <v>30</v>
      </c>
      <c r="I323" t="n">
        <v>94</v>
      </c>
      <c r="J323" t="n">
        <v>88</v>
      </c>
      <c r="K323" t="n">
        <v>0</v>
      </c>
      <c r="L323" t="inlineStr">
        <is>
          <t>Admitted</t>
        </is>
      </c>
      <c r="M323" s="27" t="n"/>
      <c r="N323" s="27" t="n"/>
      <c r="O323" s="27" t="n"/>
      <c r="P323" s="27" t="n"/>
      <c r="Q323" s="29" t="n"/>
      <c r="R323" s="27" t="n"/>
    </row>
    <row r="324">
      <c r="A324" t="inlineStr">
        <is>
          <t>ED212151</t>
        </is>
      </c>
      <c r="B324" s="26" t="n">
        <v>46014.62638888889</v>
      </c>
      <c r="C324" t="inlineStr">
        <is>
          <t>Walk-In</t>
        </is>
      </c>
      <c r="D324" t="n">
        <v>3</v>
      </c>
      <c r="E324" t="inlineStr">
        <is>
          <t>Nausea</t>
        </is>
      </c>
      <c r="F324" s="28" t="n">
        <v>100.9</v>
      </c>
      <c r="G324" t="n">
        <v>80</v>
      </c>
      <c r="H324" t="n">
        <v>22</v>
      </c>
      <c r="I324" t="n">
        <v>99</v>
      </c>
      <c r="J324" t="n">
        <v>94</v>
      </c>
      <c r="K324" t="n">
        <v>0</v>
      </c>
      <c r="L324" t="inlineStr">
        <is>
          <t>Discharged</t>
        </is>
      </c>
      <c r="M324" s="27" t="n"/>
      <c r="N324" s="27" t="n"/>
      <c r="O324" s="27" t="n"/>
      <c r="P324" s="27" t="n"/>
      <c r="Q324" s="29" t="n"/>
      <c r="R324" s="27" t="n"/>
    </row>
    <row r="325">
      <c r="A325" t="inlineStr">
        <is>
          <t>ED212152</t>
        </is>
      </c>
      <c r="B325" s="26" t="n">
        <v>46014.62847222222</v>
      </c>
      <c r="C325" t="inlineStr">
        <is>
          <t>Walk-In</t>
        </is>
      </c>
      <c r="D325" t="n">
        <v>3</v>
      </c>
      <c r="E325" t="inlineStr">
        <is>
          <t>Cough / Fever</t>
        </is>
      </c>
      <c r="F325" s="28" t="n">
        <v>100.4</v>
      </c>
      <c r="G325" t="n">
        <v>108</v>
      </c>
      <c r="H325" t="n">
        <v>19</v>
      </c>
      <c r="I325" t="n">
        <v>164</v>
      </c>
      <c r="J325" t="n">
        <v>94</v>
      </c>
      <c r="K325" t="n">
        <v>2</v>
      </c>
      <c r="L325" t="inlineStr">
        <is>
          <t>Discharged</t>
        </is>
      </c>
      <c r="M325" s="27" t="n"/>
      <c r="N325" s="27" t="n"/>
      <c r="O325" s="27" t="n"/>
      <c r="P325" s="27" t="n"/>
      <c r="Q325" s="29" t="n"/>
      <c r="R325" s="27" t="n"/>
    </row>
    <row r="326">
      <c r="A326" t="inlineStr">
        <is>
          <t>ED212154</t>
        </is>
      </c>
      <c r="B326" s="26" t="n">
        <v>46014.67291666667</v>
      </c>
      <c r="C326" t="inlineStr">
        <is>
          <t>Walk-In</t>
        </is>
      </c>
      <c r="D326" t="n">
        <v>4</v>
      </c>
      <c r="E326" t="inlineStr">
        <is>
          <t>Vomiting / Dizziness</t>
        </is>
      </c>
      <c r="F326" s="28" t="n">
        <v>98.5</v>
      </c>
      <c r="G326" t="n">
        <v>84</v>
      </c>
      <c r="H326" t="n">
        <v>15</v>
      </c>
      <c r="I326" t="n">
        <v>158</v>
      </c>
      <c r="J326" t="n">
        <v>99</v>
      </c>
      <c r="K326" t="n">
        <v>3</v>
      </c>
      <c r="L326" t="inlineStr">
        <is>
          <t>LWBS</t>
        </is>
      </c>
      <c r="M326" s="27" t="n"/>
      <c r="N326" s="27" t="n"/>
      <c r="O326" s="27" t="n"/>
      <c r="P326" s="27" t="n"/>
      <c r="Q326" s="29" t="n"/>
      <c r="R326" s="27" t="n"/>
    </row>
    <row r="327">
      <c r="A327" t="inlineStr">
        <is>
          <t>ED212156</t>
        </is>
      </c>
      <c r="B327" s="26" t="n">
        <v>46014.69861111111</v>
      </c>
      <c r="C327" t="inlineStr">
        <is>
          <t>Ambulance</t>
        </is>
      </c>
      <c r="D327" t="n">
        <v>1</v>
      </c>
      <c r="E327" t="inlineStr">
        <is>
          <t>Weakness / Numbness</t>
        </is>
      </c>
      <c r="F327" s="28" t="n">
        <v>98.3</v>
      </c>
      <c r="G327" t="n">
        <v>82</v>
      </c>
      <c r="H327" t="n">
        <v>16</v>
      </c>
      <c r="I327" t="n">
        <v>87</v>
      </c>
      <c r="J327" t="n">
        <v>87</v>
      </c>
      <c r="K327" t="n">
        <v>0</v>
      </c>
      <c r="L327" t="inlineStr">
        <is>
          <t>Admitted</t>
        </is>
      </c>
      <c r="M327" s="27" t="n"/>
      <c r="N327" s="27" t="n"/>
      <c r="O327" s="27" t="n"/>
      <c r="P327" s="27" t="n"/>
      <c r="Q327" s="29" t="n"/>
      <c r="R327" s="27" t="n"/>
    </row>
    <row r="328">
      <c r="A328" t="inlineStr">
        <is>
          <t>ED212157</t>
        </is>
      </c>
      <c r="B328" s="26" t="n">
        <v>46014.7625</v>
      </c>
      <c r="C328" t="inlineStr">
        <is>
          <t>Walk-In</t>
        </is>
      </c>
      <c r="D328" t="n">
        <v>3</v>
      </c>
      <c r="E328" t="inlineStr">
        <is>
          <t>Cough / Fever</t>
        </is>
      </c>
      <c r="F328" s="28" t="n">
        <v>101.5</v>
      </c>
      <c r="G328" t="n">
        <v>102</v>
      </c>
      <c r="H328" t="n">
        <v>20</v>
      </c>
      <c r="I328" t="n">
        <v>118</v>
      </c>
      <c r="J328" t="n">
        <v>86</v>
      </c>
      <c r="K328" t="n">
        <v>0</v>
      </c>
      <c r="L328" t="inlineStr">
        <is>
          <t>Discharged</t>
        </is>
      </c>
      <c r="M328" s="27" t="n"/>
      <c r="N328" s="27" t="n"/>
      <c r="O328" s="27" t="n"/>
      <c r="P328" s="27" t="n"/>
      <c r="Q328" s="29" t="n"/>
      <c r="R328" s="27" t="n"/>
    </row>
    <row r="329">
      <c r="A329" t="inlineStr">
        <is>
          <t>ED212158</t>
        </is>
      </c>
      <c r="B329" s="26" t="n">
        <v>46014.77986111111</v>
      </c>
      <c r="C329" t="inlineStr">
        <is>
          <t>Walk-In</t>
        </is>
      </c>
      <c r="D329" t="n">
        <v>3</v>
      </c>
      <c r="E329" t="inlineStr">
        <is>
          <t>Cough / Fever</t>
        </is>
      </c>
      <c r="F329" s="28" t="n">
        <v>102.4</v>
      </c>
      <c r="G329" t="n">
        <v>105</v>
      </c>
      <c r="H329" t="n">
        <v>19</v>
      </c>
      <c r="I329" t="n">
        <v>152</v>
      </c>
      <c r="J329" t="n">
        <v>90</v>
      </c>
      <c r="K329" t="n">
        <v>0</v>
      </c>
      <c r="L329" t="inlineStr">
        <is>
          <t>Discharged</t>
        </is>
      </c>
      <c r="M329" s="27" t="n"/>
      <c r="N329" s="27" t="n"/>
      <c r="O329" s="27" t="n"/>
      <c r="P329" s="27" t="n"/>
      <c r="Q329" s="29" t="n"/>
      <c r="R329" s="27" t="n"/>
    </row>
    <row r="330">
      <c r="A330" t="inlineStr">
        <is>
          <t>ED212160</t>
        </is>
      </c>
      <c r="B330" s="26" t="n">
        <v>46014.83611111111</v>
      </c>
      <c r="C330" t="inlineStr">
        <is>
          <t>Walk-In</t>
        </is>
      </c>
      <c r="D330" t="n">
        <v>3</v>
      </c>
      <c r="E330" t="inlineStr">
        <is>
          <t>Palpitations</t>
        </is>
      </c>
      <c r="F330" s="28" t="n">
        <v>99</v>
      </c>
      <c r="G330" t="n">
        <v>157</v>
      </c>
      <c r="H330" t="n">
        <v>14</v>
      </c>
      <c r="I330" t="n">
        <v>120</v>
      </c>
      <c r="J330" t="n">
        <v>97</v>
      </c>
      <c r="K330" t="n">
        <v>0</v>
      </c>
      <c r="L330" t="inlineStr">
        <is>
          <t>LWBS</t>
        </is>
      </c>
      <c r="M330" s="27" t="n"/>
      <c r="N330" s="27" t="n"/>
      <c r="O330" s="27" t="n"/>
      <c r="P330" s="27" t="n"/>
      <c r="Q330" s="29" t="n"/>
      <c r="R330" s="27" t="n"/>
    </row>
    <row r="331">
      <c r="A331" t="inlineStr">
        <is>
          <t>ED212162</t>
        </is>
      </c>
      <c r="B331" s="26" t="n">
        <v>46014.86527777778</v>
      </c>
      <c r="C331" t="inlineStr">
        <is>
          <t>Walk-In</t>
        </is>
      </c>
      <c r="D331" t="n">
        <v>4</v>
      </c>
      <c r="E331" t="inlineStr">
        <is>
          <t>Back Pain</t>
        </is>
      </c>
      <c r="F331" s="28" t="n">
        <v>98.09999999999999</v>
      </c>
      <c r="G331" t="n">
        <v>87</v>
      </c>
      <c r="H331" t="n">
        <v>19</v>
      </c>
      <c r="I331" t="n">
        <v>103</v>
      </c>
      <c r="J331" t="n">
        <v>96</v>
      </c>
      <c r="K331" t="n">
        <v>8</v>
      </c>
      <c r="L331" t="inlineStr">
        <is>
          <t>Discharged</t>
        </is>
      </c>
      <c r="M331" s="27" t="n"/>
      <c r="N331" s="27" t="n"/>
      <c r="O331" s="27" t="n"/>
      <c r="P331" s="27" t="n"/>
      <c r="Q331" s="29" t="n"/>
      <c r="R331" s="27" t="n"/>
    </row>
    <row r="332">
      <c r="A332" t="inlineStr">
        <is>
          <t>ED212163</t>
        </is>
      </c>
      <c r="B332" s="26" t="n">
        <v>46014.86597222222</v>
      </c>
      <c r="C332" t="inlineStr">
        <is>
          <t>Ambulance</t>
        </is>
      </c>
      <c r="D332" t="n">
        <v>3</v>
      </c>
      <c r="E332" t="inlineStr">
        <is>
          <t>Psychiatric Evaluation</t>
        </is>
      </c>
      <c r="F332" s="28" t="n">
        <v>99</v>
      </c>
      <c r="G332" t="n">
        <v>83</v>
      </c>
      <c r="H332" t="n">
        <v>16</v>
      </c>
      <c r="I332" t="n">
        <v>101</v>
      </c>
      <c r="J332" t="n">
        <v>97</v>
      </c>
      <c r="K332" t="n">
        <v>0</v>
      </c>
      <c r="L332" t="inlineStr">
        <is>
          <t>Admitted</t>
        </is>
      </c>
      <c r="M332" s="27" t="n"/>
      <c r="N332" s="27" t="n"/>
      <c r="O332" s="27" t="n"/>
      <c r="P332" s="27" t="n"/>
      <c r="Q332" s="29" t="n"/>
      <c r="R332" s="27" t="n"/>
    </row>
    <row r="333">
      <c r="A333" t="inlineStr">
        <is>
          <t>ED212165</t>
        </is>
      </c>
      <c r="B333" s="26" t="n">
        <v>46014.89791666667</v>
      </c>
      <c r="C333" t="inlineStr">
        <is>
          <t>Ambulance</t>
        </is>
      </c>
      <c r="D333" t="n">
        <v>3</v>
      </c>
      <c r="E333" t="inlineStr">
        <is>
          <t>Abdominal Pain</t>
        </is>
      </c>
      <c r="F333" s="28" t="n">
        <v>97.90000000000001</v>
      </c>
      <c r="G333" t="n">
        <v>65</v>
      </c>
      <c r="H333" t="n">
        <v>15</v>
      </c>
      <c r="I333" t="n">
        <v>133</v>
      </c>
      <c r="J333" t="n">
        <v>98</v>
      </c>
      <c r="K333" t="n">
        <v>7</v>
      </c>
      <c r="L333" t="inlineStr">
        <is>
          <t>Discharged</t>
        </is>
      </c>
      <c r="M333" s="27" t="n"/>
      <c r="N333" s="27" t="n"/>
      <c r="O333" s="27" t="n"/>
      <c r="P333" s="27" t="n"/>
      <c r="Q333" s="29" t="n"/>
      <c r="R333" s="27" t="n"/>
    </row>
    <row r="334">
      <c r="A334" t="inlineStr">
        <is>
          <t>ED212167</t>
        </is>
      </c>
      <c r="B334" s="26" t="n">
        <v>46015.02291666667</v>
      </c>
      <c r="C334" t="inlineStr">
        <is>
          <t>Walk-In</t>
        </is>
      </c>
      <c r="D334" t="n">
        <v>3</v>
      </c>
      <c r="E334" t="inlineStr">
        <is>
          <t>Shortness of Breath</t>
        </is>
      </c>
      <c r="F334" s="28" t="n">
        <v>97.7</v>
      </c>
      <c r="G334" t="n">
        <v>124</v>
      </c>
      <c r="H334" t="n">
        <v>28</v>
      </c>
      <c r="I334" t="n">
        <v>140</v>
      </c>
      <c r="J334" t="n">
        <v>85</v>
      </c>
      <c r="K334" t="n">
        <v>3</v>
      </c>
      <c r="L334" t="inlineStr">
        <is>
          <t>Admitted</t>
        </is>
      </c>
      <c r="M334" s="27" t="n"/>
      <c r="N334" s="27" t="n"/>
      <c r="O334" s="27" t="n"/>
      <c r="P334" s="27" t="n"/>
      <c r="Q334" s="29" t="n"/>
      <c r="R334" s="27" t="n"/>
    </row>
    <row r="335">
      <c r="A335" t="inlineStr">
        <is>
          <t>ED212168</t>
        </is>
      </c>
      <c r="B335" s="26" t="n">
        <v>46015.27708333333</v>
      </c>
      <c r="C335" t="inlineStr">
        <is>
          <t>Walk-In</t>
        </is>
      </c>
      <c r="D335" t="n">
        <v>3</v>
      </c>
      <c r="E335" t="inlineStr">
        <is>
          <t>Weakness / Numbness</t>
        </is>
      </c>
      <c r="F335" s="28" t="n">
        <v>98.8</v>
      </c>
      <c r="G335" t="n">
        <v>89</v>
      </c>
      <c r="H335" t="n">
        <v>16</v>
      </c>
      <c r="I335" t="n">
        <v>173</v>
      </c>
      <c r="J335" t="n">
        <v>98</v>
      </c>
      <c r="K335" t="n">
        <v>3</v>
      </c>
      <c r="L335" t="inlineStr">
        <is>
          <t>Admitted</t>
        </is>
      </c>
      <c r="M335" s="27" t="n"/>
      <c r="N335" s="27" t="n"/>
      <c r="O335" s="27" t="n"/>
      <c r="P335" s="27" t="n"/>
      <c r="Q335" s="29" t="n"/>
      <c r="R335" s="27" t="n"/>
    </row>
    <row r="336">
      <c r="A336" t="inlineStr">
        <is>
          <t>ED212169</t>
        </is>
      </c>
      <c r="B336" s="26" t="n">
        <v>46015.27916666667</v>
      </c>
      <c r="C336" t="inlineStr">
        <is>
          <t>Walk-In</t>
        </is>
      </c>
      <c r="D336" t="n">
        <v>3</v>
      </c>
      <c r="E336" t="inlineStr">
        <is>
          <t>Abdominal Pain</t>
        </is>
      </c>
      <c r="F336" s="28" t="n">
        <v>98.2</v>
      </c>
      <c r="G336" t="n">
        <v>91</v>
      </c>
      <c r="H336" t="n">
        <v>16</v>
      </c>
      <c r="I336" t="n">
        <v>135</v>
      </c>
      <c r="J336" t="n">
        <v>99</v>
      </c>
      <c r="K336" t="n">
        <v>4</v>
      </c>
      <c r="L336" t="inlineStr">
        <is>
          <t>Admitted</t>
        </is>
      </c>
      <c r="M336" s="27" t="n"/>
      <c r="N336" s="27" t="n"/>
      <c r="O336" s="27" t="n"/>
      <c r="P336" s="27" t="n"/>
      <c r="Q336" s="29" t="n"/>
      <c r="R336" s="27" t="n"/>
    </row>
    <row r="337">
      <c r="A337" t="inlineStr">
        <is>
          <t>ED212171</t>
        </is>
      </c>
      <c r="B337" s="26" t="n">
        <v>46015.41805555556</v>
      </c>
      <c r="C337" t="inlineStr">
        <is>
          <t>Walk-In</t>
        </is>
      </c>
      <c r="D337" t="n">
        <v>3</v>
      </c>
      <c r="E337" t="inlineStr">
        <is>
          <t>Vomiting / Dizziness</t>
        </is>
      </c>
      <c r="F337" s="28" t="n">
        <v>98.59999999999999</v>
      </c>
      <c r="G337" t="n">
        <v>67</v>
      </c>
      <c r="H337" t="n">
        <v>14</v>
      </c>
      <c r="I337" t="n">
        <v>133</v>
      </c>
      <c r="J337" t="n">
        <v>98</v>
      </c>
      <c r="K337" t="n">
        <v>0</v>
      </c>
      <c r="L337" t="inlineStr">
        <is>
          <t>Discharged</t>
        </is>
      </c>
      <c r="M337" s="27" t="n"/>
      <c r="N337" s="27" t="n"/>
      <c r="O337" s="27" t="n"/>
      <c r="P337" s="27" t="n"/>
      <c r="Q337" s="29" t="n"/>
      <c r="R337" s="27" t="n"/>
    </row>
    <row r="338">
      <c r="A338" t="inlineStr">
        <is>
          <t>ED212172</t>
        </is>
      </c>
      <c r="B338" s="26" t="n">
        <v>46015.425</v>
      </c>
      <c r="C338" t="inlineStr">
        <is>
          <t>Walk-In</t>
        </is>
      </c>
      <c r="D338" t="n">
        <v>4</v>
      </c>
      <c r="E338" t="inlineStr">
        <is>
          <t>Abdominal Pain</t>
        </is>
      </c>
      <c r="F338" s="28" t="n">
        <v>98.8</v>
      </c>
      <c r="G338" t="n">
        <v>90</v>
      </c>
      <c r="H338" t="n">
        <v>14</v>
      </c>
      <c r="I338" t="n">
        <v>167</v>
      </c>
      <c r="J338" t="n">
        <v>98</v>
      </c>
      <c r="K338" t="n">
        <v>9</v>
      </c>
      <c r="L338" t="inlineStr">
        <is>
          <t>Discharged</t>
        </is>
      </c>
      <c r="M338" s="27" t="n"/>
      <c r="N338" s="27" t="n"/>
      <c r="O338" s="27" t="n"/>
      <c r="P338" s="27" t="n"/>
      <c r="Q338" s="29" t="n"/>
      <c r="R338" s="27" t="n"/>
    </row>
    <row r="339">
      <c r="A339" t="inlineStr">
        <is>
          <t>ED212173</t>
        </is>
      </c>
      <c r="B339" s="26" t="n">
        <v>46015.50138888889</v>
      </c>
      <c r="C339" t="inlineStr">
        <is>
          <t>Ambulance</t>
        </is>
      </c>
      <c r="D339" t="n">
        <v>2</v>
      </c>
      <c r="E339" t="inlineStr">
        <is>
          <t>Shortness of Breath</t>
        </is>
      </c>
      <c r="F339" s="28" t="n">
        <v>98.40000000000001</v>
      </c>
      <c r="G339" t="n">
        <v>100</v>
      </c>
      <c r="H339" t="n">
        <v>18</v>
      </c>
      <c r="I339" t="n">
        <v>122</v>
      </c>
      <c r="J339" t="n">
        <v>97</v>
      </c>
      <c r="K339" t="n">
        <v>0</v>
      </c>
      <c r="L339" t="inlineStr">
        <is>
          <t>Admitted</t>
        </is>
      </c>
      <c r="M339" s="27" t="n"/>
      <c r="N339" s="27" t="n"/>
      <c r="O339" s="27" t="n"/>
      <c r="P339" s="27" t="n"/>
      <c r="Q339" s="29" t="n"/>
      <c r="R339" s="27" t="n"/>
    </row>
    <row r="340">
      <c r="A340" t="inlineStr">
        <is>
          <t>ED212174</t>
        </is>
      </c>
      <c r="B340" s="26" t="n">
        <v>46015.56458333333</v>
      </c>
      <c r="C340" t="inlineStr">
        <is>
          <t>Walk-In</t>
        </is>
      </c>
      <c r="D340" t="n">
        <v>4</v>
      </c>
      <c r="E340" t="inlineStr">
        <is>
          <t>Fall</t>
        </is>
      </c>
      <c r="F340" s="28" t="n">
        <v>98.40000000000001</v>
      </c>
      <c r="G340" t="n">
        <v>87</v>
      </c>
      <c r="H340" t="n">
        <v>16</v>
      </c>
      <c r="I340" t="n">
        <v>162</v>
      </c>
      <c r="J340" t="n">
        <v>97</v>
      </c>
      <c r="K340" t="n">
        <v>5</v>
      </c>
      <c r="L340" t="inlineStr">
        <is>
          <t>Discharged</t>
        </is>
      </c>
      <c r="M340" s="27" t="n"/>
      <c r="N340" s="27" t="n"/>
      <c r="O340" s="27" t="n"/>
      <c r="P340" s="27" t="n"/>
      <c r="Q340" s="29" t="n"/>
      <c r="R340" s="27" t="n"/>
    </row>
    <row r="341">
      <c r="A341" t="inlineStr">
        <is>
          <t>ED212176</t>
        </is>
      </c>
      <c r="B341" s="26" t="n">
        <v>46015.61180555556</v>
      </c>
      <c r="C341" t="inlineStr">
        <is>
          <t>Walk-In</t>
        </is>
      </c>
      <c r="D341" t="n">
        <v>2</v>
      </c>
      <c r="E341" t="inlineStr">
        <is>
          <t>Cough / Fever</t>
        </is>
      </c>
      <c r="F341" s="28" t="n">
        <v>101.8</v>
      </c>
      <c r="G341" t="n">
        <v>98</v>
      </c>
      <c r="H341" t="n">
        <v>22</v>
      </c>
      <c r="I341" t="n">
        <v>161</v>
      </c>
      <c r="J341" t="n">
        <v>89</v>
      </c>
      <c r="K341" t="n">
        <v>3</v>
      </c>
      <c r="L341" t="inlineStr">
        <is>
          <t>Admitted</t>
        </is>
      </c>
      <c r="M341" s="27" t="n"/>
      <c r="N341" s="27" t="n"/>
      <c r="O341" s="27" t="n"/>
      <c r="P341" s="27" t="n"/>
      <c r="Q341" s="29" t="n"/>
      <c r="R341" s="27" t="n"/>
    </row>
    <row r="342">
      <c r="A342" t="inlineStr">
        <is>
          <t>ED212177</t>
        </is>
      </c>
      <c r="B342" s="26" t="n">
        <v>46015.63888888889</v>
      </c>
      <c r="C342" t="inlineStr">
        <is>
          <t>Ambulance</t>
        </is>
      </c>
      <c r="D342" t="n">
        <v>2</v>
      </c>
      <c r="E342" t="inlineStr">
        <is>
          <t>Palpitations</t>
        </is>
      </c>
      <c r="F342" s="28" t="n">
        <v>98.2</v>
      </c>
      <c r="G342" t="n">
        <v>127</v>
      </c>
      <c r="H342" t="n">
        <v>16</v>
      </c>
      <c r="I342" t="n">
        <v>148</v>
      </c>
      <c r="J342" t="n">
        <v>95</v>
      </c>
      <c r="K342" t="n">
        <v>1</v>
      </c>
      <c r="L342" t="inlineStr">
        <is>
          <t>Admitted</t>
        </is>
      </c>
      <c r="M342" s="27" t="n"/>
      <c r="N342" s="27" t="n"/>
      <c r="O342" s="27" t="n"/>
      <c r="P342" s="27" t="n"/>
      <c r="Q342" s="29" t="n"/>
      <c r="R342" s="27" t="n"/>
    </row>
    <row r="343">
      <c r="A343" t="inlineStr">
        <is>
          <t>ED212178</t>
        </is>
      </c>
      <c r="B343" s="26" t="n">
        <v>46015.71319444444</v>
      </c>
      <c r="C343" t="inlineStr">
        <is>
          <t>Ambulance</t>
        </is>
      </c>
      <c r="D343" t="n">
        <v>1</v>
      </c>
      <c r="E343" t="inlineStr">
        <is>
          <t>Shortness of Breath</t>
        </is>
      </c>
      <c r="F343" s="28" t="n">
        <v>98.59999999999999</v>
      </c>
      <c r="G343" t="n">
        <v>84</v>
      </c>
      <c r="H343" t="n">
        <v>21</v>
      </c>
      <c r="I343" t="n">
        <v>94</v>
      </c>
      <c r="J343" t="n">
        <v>82</v>
      </c>
      <c r="K343" t="n">
        <v>1</v>
      </c>
      <c r="L343" t="inlineStr">
        <is>
          <t>Admitted</t>
        </is>
      </c>
      <c r="M343" s="27" t="n"/>
      <c r="N343" s="27" t="n"/>
      <c r="O343" s="27" t="n"/>
      <c r="P343" s="27" t="n"/>
      <c r="Q343" s="29" t="n"/>
      <c r="R343" s="27" t="n"/>
    </row>
    <row r="344">
      <c r="A344" t="inlineStr">
        <is>
          <t>ED212179</t>
        </is>
      </c>
      <c r="B344" s="26" t="n">
        <v>46015.72638888889</v>
      </c>
      <c r="C344" t="inlineStr">
        <is>
          <t>Walk-In</t>
        </is>
      </c>
      <c r="D344" t="n">
        <v>2</v>
      </c>
      <c r="E344" t="inlineStr">
        <is>
          <t>Shortness of Breath</t>
        </is>
      </c>
      <c r="F344" s="28" t="n">
        <v>97.7</v>
      </c>
      <c r="G344" t="n">
        <v>127</v>
      </c>
      <c r="H344" t="n">
        <v>19</v>
      </c>
      <c r="I344" t="n">
        <v>146</v>
      </c>
      <c r="J344" t="n">
        <v>94</v>
      </c>
      <c r="K344" t="n">
        <v>3</v>
      </c>
      <c r="L344" t="inlineStr">
        <is>
          <t>Observation</t>
        </is>
      </c>
      <c r="M344" s="27" t="n"/>
      <c r="N344" s="27" t="n"/>
      <c r="O344" s="27" t="n"/>
      <c r="P344" s="27" t="n"/>
      <c r="Q344" s="29" t="n"/>
      <c r="R344" s="27" t="n"/>
    </row>
    <row r="345">
      <c r="A345" t="inlineStr">
        <is>
          <t>ED212180</t>
        </is>
      </c>
      <c r="B345" s="26" t="n">
        <v>46015.73888888889</v>
      </c>
      <c r="C345" t="inlineStr">
        <is>
          <t>Walk-In</t>
        </is>
      </c>
      <c r="D345" t="n">
        <v>3</v>
      </c>
      <c r="E345" t="inlineStr">
        <is>
          <t>Fainting</t>
        </is>
      </c>
      <c r="F345" s="28" t="n">
        <v>97.90000000000001</v>
      </c>
      <c r="G345" t="n">
        <v>96</v>
      </c>
      <c r="H345" t="n">
        <v>17</v>
      </c>
      <c r="I345" t="n">
        <v>138</v>
      </c>
      <c r="J345" t="n">
        <v>97</v>
      </c>
      <c r="K345" t="n">
        <v>2</v>
      </c>
      <c r="L345" t="inlineStr">
        <is>
          <t>Discharged</t>
        </is>
      </c>
      <c r="M345" s="27" t="n"/>
      <c r="N345" s="27" t="n"/>
      <c r="O345" s="27" t="n"/>
      <c r="P345" s="27" t="n"/>
      <c r="Q345" s="29" t="n"/>
      <c r="R345" s="27" t="n"/>
    </row>
    <row r="346">
      <c r="A346" t="inlineStr">
        <is>
          <t>ED212181</t>
        </is>
      </c>
      <c r="B346" s="26" t="n">
        <v>46015.76111111111</v>
      </c>
      <c r="C346" t="inlineStr">
        <is>
          <t>Walk-In</t>
        </is>
      </c>
      <c r="D346" t="n">
        <v>3</v>
      </c>
      <c r="E346" t="inlineStr">
        <is>
          <t>Abdominal Pain</t>
        </is>
      </c>
      <c r="F346" s="28" t="n">
        <v>98.59999999999999</v>
      </c>
      <c r="G346" t="n">
        <v>84</v>
      </c>
      <c r="H346" t="n">
        <v>19</v>
      </c>
      <c r="J346" t="n">
        <v>95</v>
      </c>
      <c r="K346" t="n">
        <v>10</v>
      </c>
      <c r="L346" t="inlineStr">
        <is>
          <t>Discharged</t>
        </is>
      </c>
      <c r="M346" s="27" t="n"/>
      <c r="N346" s="27" t="n"/>
      <c r="O346" s="27" t="n"/>
      <c r="P346" s="27" t="n"/>
      <c r="Q346" s="29" t="n"/>
      <c r="R346" s="27" t="n"/>
    </row>
    <row r="347">
      <c r="A347" t="inlineStr">
        <is>
          <t>ED212184</t>
        </is>
      </c>
      <c r="B347" s="26" t="n">
        <v>46016.11388888889</v>
      </c>
      <c r="C347" t="inlineStr">
        <is>
          <t>Walk-In</t>
        </is>
      </c>
      <c r="D347" t="n">
        <v>3</v>
      </c>
      <c r="E347" t="inlineStr">
        <is>
          <t>Painful Urination / Fever</t>
        </is>
      </c>
      <c r="F347" s="28" t="n">
        <v>101.8</v>
      </c>
      <c r="G347" t="n">
        <v>76</v>
      </c>
      <c r="H347" t="n">
        <v>15</v>
      </c>
      <c r="I347" t="n">
        <v>135</v>
      </c>
      <c r="J347" t="n">
        <v>98</v>
      </c>
      <c r="K347" t="n">
        <v>2</v>
      </c>
      <c r="L347" t="inlineStr">
        <is>
          <t>Admitted</t>
        </is>
      </c>
      <c r="M347" s="27" t="n"/>
      <c r="N347" s="27" t="n"/>
      <c r="O347" s="27" t="n"/>
      <c r="P347" s="27" t="n"/>
      <c r="Q347" s="29" t="n"/>
      <c r="R347" s="27" t="n"/>
    </row>
    <row r="348">
      <c r="A348" t="inlineStr">
        <is>
          <t>ED212186</t>
        </is>
      </c>
      <c r="B348" s="26" t="n">
        <v>46016.29097222222</v>
      </c>
      <c r="C348" t="inlineStr">
        <is>
          <t>Ambulance</t>
        </is>
      </c>
      <c r="D348" t="n">
        <v>2</v>
      </c>
      <c r="E348" t="inlineStr">
        <is>
          <t>Confusion</t>
        </is>
      </c>
      <c r="F348" s="28" t="n">
        <v>98.59999999999999</v>
      </c>
      <c r="G348" t="n">
        <v>79</v>
      </c>
      <c r="H348" t="n">
        <v>21</v>
      </c>
      <c r="I348" t="n">
        <v>142</v>
      </c>
      <c r="J348" t="n">
        <v>97</v>
      </c>
      <c r="K348" t="n">
        <v>2</v>
      </c>
      <c r="L348" t="inlineStr">
        <is>
          <t>Admitted</t>
        </is>
      </c>
      <c r="M348" s="27" t="n"/>
      <c r="N348" s="27" t="n"/>
      <c r="O348" s="27" t="n"/>
      <c r="P348" s="27" t="n"/>
      <c r="Q348" s="29" t="n"/>
      <c r="R348" s="27" t="n"/>
    </row>
    <row r="349">
      <c r="A349" t="inlineStr">
        <is>
          <t>ED212187</t>
        </is>
      </c>
      <c r="B349" s="26" t="n">
        <v>46016.30833333333</v>
      </c>
      <c r="C349" t="inlineStr">
        <is>
          <t>Walk-In</t>
        </is>
      </c>
      <c r="D349" t="n">
        <v>3</v>
      </c>
      <c r="E349" t="inlineStr">
        <is>
          <t>Abdominal Pain</t>
        </is>
      </c>
      <c r="F349" s="28" t="n">
        <v>98.8</v>
      </c>
      <c r="G349" t="n">
        <v>70</v>
      </c>
      <c r="H349" t="n">
        <v>15</v>
      </c>
      <c r="I349" t="n">
        <v>124</v>
      </c>
      <c r="J349" t="n">
        <v>98</v>
      </c>
      <c r="K349" t="n">
        <v>10</v>
      </c>
      <c r="L349" t="inlineStr">
        <is>
          <t>Admitted</t>
        </is>
      </c>
      <c r="M349" s="27" t="n"/>
      <c r="N349" s="27" t="n"/>
      <c r="O349" s="27" t="n"/>
      <c r="P349" s="27" t="n"/>
      <c r="Q349" s="29" t="n"/>
      <c r="R349" s="27" t="n"/>
    </row>
    <row r="350">
      <c r="A350" t="inlineStr">
        <is>
          <t>ED212189</t>
        </is>
      </c>
      <c r="B350" s="26" t="n">
        <v>46016.37777777778</v>
      </c>
      <c r="C350" t="inlineStr">
        <is>
          <t>Walk-In</t>
        </is>
      </c>
      <c r="D350" t="n">
        <v>4</v>
      </c>
      <c r="E350" t="inlineStr">
        <is>
          <t>Vomiting / Diarrhea</t>
        </is>
      </c>
      <c r="F350" s="28" t="n">
        <v>97.59999999999999</v>
      </c>
      <c r="G350" t="n">
        <v>95</v>
      </c>
      <c r="H350" t="n">
        <v>17</v>
      </c>
      <c r="I350" t="n">
        <v>110</v>
      </c>
      <c r="J350" t="n">
        <v>99</v>
      </c>
      <c r="K350" t="n">
        <v>0</v>
      </c>
      <c r="L350" t="inlineStr">
        <is>
          <t>Discharged</t>
        </is>
      </c>
      <c r="M350" s="27" t="n"/>
      <c r="N350" s="27" t="n"/>
      <c r="O350" s="27" t="n"/>
      <c r="P350" s="27" t="n"/>
      <c r="Q350" s="29" t="n"/>
      <c r="R350" s="27" t="n"/>
    </row>
    <row r="351">
      <c r="A351" t="inlineStr">
        <is>
          <t>ED212191</t>
        </is>
      </c>
      <c r="B351" s="26" t="n">
        <v>46016.39722222222</v>
      </c>
      <c r="C351" t="inlineStr">
        <is>
          <t>Walk-In</t>
        </is>
      </c>
      <c r="D351" t="n">
        <v>2</v>
      </c>
      <c r="E351" t="inlineStr">
        <is>
          <t>Head Injury</t>
        </is>
      </c>
      <c r="F351" s="28" t="n">
        <v>98</v>
      </c>
      <c r="G351" t="n">
        <v>74</v>
      </c>
      <c r="H351" t="n">
        <v>16</v>
      </c>
      <c r="I351" t="n">
        <v>117</v>
      </c>
      <c r="J351" t="n">
        <v>98</v>
      </c>
      <c r="K351" t="n">
        <v>9</v>
      </c>
      <c r="L351" t="inlineStr">
        <is>
          <t>Discharged</t>
        </is>
      </c>
      <c r="M351" s="27" t="n"/>
      <c r="N351" s="27" t="n"/>
      <c r="O351" s="27" t="n"/>
      <c r="P351" s="27" t="n"/>
      <c r="Q351" s="29" t="n"/>
      <c r="R351" s="27" t="n"/>
    </row>
    <row r="352">
      <c r="A352" t="inlineStr">
        <is>
          <t>ED212192</t>
        </is>
      </c>
      <c r="B352" s="26" t="n">
        <v>46016.41388888889</v>
      </c>
      <c r="C352" t="inlineStr">
        <is>
          <t>Walk-In</t>
        </is>
      </c>
      <c r="D352" t="n">
        <v>4</v>
      </c>
      <c r="E352" t="inlineStr">
        <is>
          <t>Shortness of Breath</t>
        </is>
      </c>
      <c r="F352" s="28" t="n">
        <v>98.59999999999999</v>
      </c>
      <c r="G352" t="n">
        <v>130</v>
      </c>
      <c r="H352" t="n">
        <v>16</v>
      </c>
      <c r="I352" t="n">
        <v>114</v>
      </c>
      <c r="J352" t="n">
        <v>95</v>
      </c>
      <c r="K352" t="n">
        <v>1</v>
      </c>
      <c r="L352" t="inlineStr">
        <is>
          <t>Discharged</t>
        </is>
      </c>
      <c r="M352" s="27" t="n"/>
      <c r="N352" s="27" t="n"/>
      <c r="O352" s="27" t="n"/>
      <c r="P352" s="27" t="n"/>
      <c r="Q352" s="29" t="n"/>
      <c r="R352" s="27" t="n"/>
    </row>
    <row r="353">
      <c r="A353" t="inlineStr">
        <is>
          <t>ED212193</t>
        </is>
      </c>
      <c r="B353" s="26" t="n">
        <v>46016.45416666667</v>
      </c>
      <c r="C353" t="inlineStr">
        <is>
          <t>Walk-In</t>
        </is>
      </c>
      <c r="D353" t="n">
        <v>4</v>
      </c>
      <c r="E353" t="inlineStr">
        <is>
          <t>Cough / Fever</t>
        </is>
      </c>
      <c r="F353" s="28" t="n">
        <v>98.5</v>
      </c>
      <c r="G353" t="n">
        <v>77</v>
      </c>
      <c r="H353" t="n">
        <v>20</v>
      </c>
      <c r="I353" t="n">
        <v>139</v>
      </c>
      <c r="J353" t="n">
        <v>97</v>
      </c>
      <c r="K353" t="n">
        <v>0</v>
      </c>
      <c r="L353" t="inlineStr">
        <is>
          <t>Discharged</t>
        </is>
      </c>
      <c r="M353" s="27" t="n"/>
      <c r="N353" s="27" t="n"/>
      <c r="O353" s="27" t="n"/>
      <c r="P353" s="27" t="n"/>
      <c r="Q353" s="29" t="n"/>
      <c r="R353" s="27" t="n"/>
    </row>
    <row r="354">
      <c r="A354" t="inlineStr">
        <is>
          <t>ED212194</t>
        </is>
      </c>
      <c r="B354" s="26" t="n">
        <v>46016.475</v>
      </c>
      <c r="C354" t="inlineStr">
        <is>
          <t>Ambulance</t>
        </is>
      </c>
      <c r="D354" t="n">
        <v>2</v>
      </c>
      <c r="E354" t="inlineStr">
        <is>
          <t>Weakness / Numbness</t>
        </is>
      </c>
      <c r="F354" s="28" t="n">
        <v>98.7</v>
      </c>
      <c r="G354" t="n">
        <v>97</v>
      </c>
      <c r="H354" t="n">
        <v>18</v>
      </c>
      <c r="I354" t="n">
        <v>216</v>
      </c>
      <c r="J354" t="n">
        <v>96</v>
      </c>
      <c r="K354" t="n">
        <v>1</v>
      </c>
      <c r="L354" t="inlineStr">
        <is>
          <t>Admitted</t>
        </is>
      </c>
      <c r="M354" s="27" t="n"/>
      <c r="N354" s="27" t="n"/>
      <c r="O354" s="27" t="n"/>
      <c r="P354" s="27" t="n"/>
      <c r="Q354" s="29" t="n"/>
      <c r="R354" s="27" t="n"/>
    </row>
    <row r="355">
      <c r="A355" t="inlineStr">
        <is>
          <t>ED212196</t>
        </is>
      </c>
      <c r="B355" s="26" t="n">
        <v>46016.55208333334</v>
      </c>
      <c r="C355" t="inlineStr">
        <is>
          <t>Walk-In</t>
        </is>
      </c>
      <c r="D355" t="n">
        <v>3</v>
      </c>
      <c r="E355" t="inlineStr">
        <is>
          <t>Skin Redness / Swelling</t>
        </is>
      </c>
      <c r="F355" s="28" t="n">
        <v>100.6</v>
      </c>
      <c r="G355" t="n">
        <v>70</v>
      </c>
      <c r="H355" t="n">
        <v>16</v>
      </c>
      <c r="I355" t="n">
        <v>142</v>
      </c>
      <c r="J355" t="n">
        <v>98</v>
      </c>
      <c r="K355" t="n">
        <v>2</v>
      </c>
      <c r="L355" t="inlineStr">
        <is>
          <t>Discharged</t>
        </is>
      </c>
      <c r="M355" s="27" t="n"/>
      <c r="N355" s="27" t="n"/>
      <c r="O355" s="27" t="n"/>
      <c r="P355" s="27" t="n"/>
      <c r="Q355" s="29" t="n"/>
      <c r="R355" s="27" t="n"/>
    </row>
    <row r="356">
      <c r="A356" t="inlineStr">
        <is>
          <t>ED212197</t>
        </is>
      </c>
      <c r="B356" s="26" t="n">
        <v>46016.60833333333</v>
      </c>
      <c r="C356" t="inlineStr">
        <is>
          <t>Walk-In</t>
        </is>
      </c>
      <c r="D356" t="n">
        <v>4</v>
      </c>
      <c r="E356" t="inlineStr">
        <is>
          <t>Vomiting / Diarrhea</t>
        </is>
      </c>
      <c r="F356" s="28" t="n">
        <v>98.09999999999999</v>
      </c>
      <c r="G356" t="n">
        <v>137</v>
      </c>
      <c r="H356" t="n">
        <v>14</v>
      </c>
      <c r="I356" t="n">
        <v>110</v>
      </c>
      <c r="J356" t="n">
        <v>98</v>
      </c>
      <c r="K356" t="n">
        <v>3</v>
      </c>
      <c r="L356" t="inlineStr">
        <is>
          <t>Discharged</t>
        </is>
      </c>
      <c r="M356" s="27" t="n"/>
      <c r="N356" s="27" t="n"/>
      <c r="O356" s="27" t="n"/>
      <c r="P356" s="27" t="n"/>
      <c r="Q356" s="29" t="n"/>
      <c r="R356" s="27" t="n"/>
    </row>
    <row r="357">
      <c r="A357" t="inlineStr">
        <is>
          <t>ED212200</t>
        </is>
      </c>
      <c r="B357" s="26" t="n">
        <v>46016.64444444444</v>
      </c>
      <c r="C357" t="inlineStr">
        <is>
          <t>Ambulance</t>
        </is>
      </c>
      <c r="D357" t="n">
        <v>2</v>
      </c>
      <c r="E357" t="inlineStr">
        <is>
          <t>Shortness of Breath</t>
        </is>
      </c>
      <c r="F357" s="28" t="n">
        <v>98.3</v>
      </c>
      <c r="G357" t="n">
        <v>89</v>
      </c>
      <c r="H357" t="n">
        <v>25</v>
      </c>
      <c r="I357" t="n">
        <v>103</v>
      </c>
      <c r="J357" t="n">
        <v>95</v>
      </c>
      <c r="K357" t="n">
        <v>1</v>
      </c>
      <c r="L357" t="inlineStr">
        <is>
          <t>Observation</t>
        </is>
      </c>
      <c r="M357" s="27" t="n"/>
      <c r="N357" s="27" t="n"/>
      <c r="O357" s="27" t="n"/>
      <c r="P357" s="27" t="n"/>
      <c r="Q357" s="29" t="n"/>
      <c r="R357" s="27" t="n"/>
    </row>
    <row r="358">
      <c r="A358" t="inlineStr">
        <is>
          <t>ED212203</t>
        </is>
      </c>
      <c r="B358" s="26" t="n">
        <v>46016.68541666667</v>
      </c>
      <c r="C358" t="inlineStr">
        <is>
          <t>Walk-In</t>
        </is>
      </c>
      <c r="D358" t="n">
        <v>2</v>
      </c>
      <c r="E358" t="inlineStr">
        <is>
          <t>Cough / Fever</t>
        </is>
      </c>
      <c r="F358" s="28" t="n">
        <v>101.2</v>
      </c>
      <c r="G358" t="n">
        <v>89</v>
      </c>
      <c r="H358" t="n">
        <v>25</v>
      </c>
      <c r="I358" t="n">
        <v>134</v>
      </c>
      <c r="J358" t="n">
        <v>92</v>
      </c>
      <c r="K358" t="n">
        <v>0</v>
      </c>
      <c r="L358" t="inlineStr">
        <is>
          <t>Transferred</t>
        </is>
      </c>
      <c r="M358" s="27" t="n"/>
      <c r="N358" s="27" t="n"/>
      <c r="O358" s="27" t="n"/>
      <c r="P358" s="27" t="n"/>
      <c r="Q358" s="29" t="n"/>
      <c r="R358" s="27" t="n"/>
    </row>
    <row r="359">
      <c r="A359" t="inlineStr">
        <is>
          <t>ED212204</t>
        </is>
      </c>
      <c r="B359" s="26" t="n">
        <v>46016.69236111111</v>
      </c>
      <c r="C359" t="inlineStr">
        <is>
          <t>Walk-In</t>
        </is>
      </c>
      <c r="D359" t="n">
        <v>4</v>
      </c>
      <c r="E359" t="inlineStr">
        <is>
          <t>Vomiting / Dizziness</t>
        </is>
      </c>
      <c r="F359" s="28" t="n">
        <v>97.40000000000001</v>
      </c>
      <c r="G359" t="n">
        <v>93</v>
      </c>
      <c r="H359" t="n">
        <v>15</v>
      </c>
      <c r="I359" t="n">
        <v>140</v>
      </c>
      <c r="J359" t="n">
        <v>96</v>
      </c>
      <c r="K359" t="n">
        <v>0</v>
      </c>
      <c r="L359" t="inlineStr">
        <is>
          <t>Discharged</t>
        </is>
      </c>
      <c r="M359" s="27" t="n"/>
      <c r="N359" s="27" t="n"/>
      <c r="O359" s="27" t="n"/>
      <c r="P359" s="27" t="n"/>
      <c r="Q359" s="29" t="n"/>
      <c r="R359" s="27" t="n"/>
    </row>
    <row r="360">
      <c r="A360" t="inlineStr">
        <is>
          <t>ED212205</t>
        </is>
      </c>
      <c r="B360" s="26" t="n">
        <v>46016.71805555555</v>
      </c>
      <c r="C360" t="inlineStr">
        <is>
          <t>Walk-In</t>
        </is>
      </c>
      <c r="D360" t="n">
        <v>3</v>
      </c>
      <c r="E360" t="inlineStr">
        <is>
          <t>Painful Urination / Fever</t>
        </is>
      </c>
      <c r="F360" s="28" t="n">
        <v>100.8</v>
      </c>
      <c r="G360" t="n">
        <v>81</v>
      </c>
      <c r="H360" t="n">
        <v>18</v>
      </c>
      <c r="I360" t="n">
        <v>100</v>
      </c>
      <c r="J360" t="n">
        <v>97</v>
      </c>
      <c r="K360" t="n">
        <v>0</v>
      </c>
      <c r="L360" t="inlineStr">
        <is>
          <t>Discharged</t>
        </is>
      </c>
      <c r="M360" s="27" t="n"/>
      <c r="N360" s="27" t="n"/>
      <c r="O360" s="27" t="n"/>
      <c r="P360" s="27" t="n"/>
      <c r="Q360" s="29" t="n"/>
      <c r="R360" s="27" t="n"/>
    </row>
    <row r="361">
      <c r="A361" t="inlineStr">
        <is>
          <t>ED212206</t>
        </is>
      </c>
      <c r="B361" s="26" t="n">
        <v>46016.77152777778</v>
      </c>
      <c r="C361" t="inlineStr">
        <is>
          <t>Walk-In</t>
        </is>
      </c>
      <c r="D361" t="n">
        <v>3</v>
      </c>
      <c r="E361" t="inlineStr">
        <is>
          <t>Cough / Trouble Breathing</t>
        </is>
      </c>
      <c r="F361" s="28" t="n">
        <v>98.2</v>
      </c>
      <c r="G361" t="n">
        <v>123</v>
      </c>
      <c r="H361" t="n">
        <v>25</v>
      </c>
      <c r="I361" t="n">
        <v>104</v>
      </c>
      <c r="J361" t="n">
        <v>87</v>
      </c>
      <c r="K361" t="n">
        <v>0</v>
      </c>
      <c r="L361" t="inlineStr">
        <is>
          <t>Admitted</t>
        </is>
      </c>
      <c r="M361" s="27" t="n"/>
      <c r="N361" s="27" t="n"/>
      <c r="O361" s="27" t="n"/>
      <c r="P361" s="27" t="n"/>
      <c r="Q361" s="29" t="n"/>
      <c r="R361" s="27" t="n"/>
    </row>
    <row r="362">
      <c r="A362" t="inlineStr">
        <is>
          <t>ED212207</t>
        </is>
      </c>
      <c r="B362" s="26" t="n">
        <v>46016.86180555556</v>
      </c>
      <c r="C362" t="inlineStr">
        <is>
          <t>Walk-In</t>
        </is>
      </c>
      <c r="D362" t="n">
        <v>3</v>
      </c>
      <c r="E362" t="inlineStr">
        <is>
          <t>Seizure</t>
        </is>
      </c>
      <c r="F362" s="28" t="n">
        <v>98.40000000000001</v>
      </c>
      <c r="G362" t="n">
        <v>81</v>
      </c>
      <c r="H362" t="n">
        <v>16</v>
      </c>
      <c r="I362" t="n">
        <v>128</v>
      </c>
      <c r="J362" t="n">
        <v>100</v>
      </c>
      <c r="K362" t="n">
        <v>1</v>
      </c>
      <c r="L362" t="inlineStr">
        <is>
          <t>Observation</t>
        </is>
      </c>
      <c r="M362" s="27" t="n"/>
      <c r="N362" s="27" t="n"/>
      <c r="O362" s="27" t="n"/>
      <c r="P362" s="27" t="n"/>
      <c r="Q362" s="29" t="n"/>
      <c r="R362" s="27" t="n"/>
    </row>
    <row r="363">
      <c r="A363" t="inlineStr">
        <is>
          <t>ED212208</t>
        </is>
      </c>
      <c r="B363" s="26" t="n">
        <v>46016.92013888889</v>
      </c>
      <c r="C363" t="inlineStr">
        <is>
          <t>Ambulance</t>
        </is>
      </c>
      <c r="D363" t="n">
        <v>2</v>
      </c>
      <c r="E363" t="inlineStr">
        <is>
          <t>High Blood Sugar</t>
        </is>
      </c>
      <c r="F363" s="28" t="n">
        <v>97.7</v>
      </c>
      <c r="G363" t="n">
        <v>75</v>
      </c>
      <c r="H363" t="n">
        <v>15</v>
      </c>
      <c r="I363" t="n">
        <v>146</v>
      </c>
      <c r="J363" t="n">
        <v>99</v>
      </c>
      <c r="K363" t="n">
        <v>3</v>
      </c>
      <c r="L363" t="inlineStr">
        <is>
          <t>Discharged</t>
        </is>
      </c>
      <c r="M363" s="27" t="n"/>
      <c r="N363" s="27" t="n"/>
      <c r="O363" s="27" t="n"/>
      <c r="P363" s="27" t="n"/>
      <c r="Q363" s="29" t="n"/>
      <c r="R363" s="27" t="n"/>
    </row>
    <row r="364">
      <c r="A364" t="inlineStr">
        <is>
          <t>ED212211</t>
        </is>
      </c>
      <c r="B364" s="26" t="n">
        <v>46017.33194444444</v>
      </c>
      <c r="C364" t="inlineStr">
        <is>
          <t>Ambulance</t>
        </is>
      </c>
      <c r="D364" t="n">
        <v>5</v>
      </c>
      <c r="E364" t="inlineStr">
        <is>
          <t>Vomiting / Diarrhea</t>
        </is>
      </c>
      <c r="F364" s="28" t="n">
        <v>98.09999999999999</v>
      </c>
      <c r="G364" t="n">
        <v>111</v>
      </c>
      <c r="H364" t="n">
        <v>16</v>
      </c>
      <c r="I364" t="n">
        <v>145</v>
      </c>
      <c r="J364" t="n">
        <v>95</v>
      </c>
      <c r="K364" t="n">
        <v>3</v>
      </c>
      <c r="L364" t="inlineStr">
        <is>
          <t>Discharged</t>
        </is>
      </c>
      <c r="M364" s="27" t="n"/>
      <c r="N364" s="27" t="n"/>
      <c r="O364" s="27" t="n"/>
      <c r="P364" s="27" t="n"/>
      <c r="Q364" s="29" t="n"/>
      <c r="R364" s="27" t="n"/>
    </row>
    <row r="365">
      <c r="A365" t="inlineStr">
        <is>
          <t>ED212212</t>
        </is>
      </c>
      <c r="B365" s="26" t="n">
        <v>46017.34375</v>
      </c>
      <c r="C365" t="inlineStr">
        <is>
          <t>Ambulance</t>
        </is>
      </c>
      <c r="D365" t="n">
        <v>2</v>
      </c>
      <c r="E365" t="inlineStr">
        <is>
          <t>Shortness of Breath</t>
        </is>
      </c>
      <c r="F365" s="28" t="n">
        <v>98.59999999999999</v>
      </c>
      <c r="G365" t="n">
        <v>100</v>
      </c>
      <c r="H365" t="n">
        <v>27</v>
      </c>
      <c r="I365" t="n">
        <v>141</v>
      </c>
      <c r="J365" t="n">
        <v>91</v>
      </c>
      <c r="K365" t="n">
        <v>1</v>
      </c>
      <c r="L365" t="inlineStr">
        <is>
          <t>Admitted</t>
        </is>
      </c>
      <c r="M365" s="27" t="n"/>
      <c r="N365" s="27" t="n"/>
      <c r="O365" s="27" t="n"/>
      <c r="P365" s="27" t="n"/>
      <c r="Q365" s="29" t="n"/>
      <c r="R365" s="27" t="n"/>
    </row>
    <row r="366">
      <c r="A366" t="inlineStr">
        <is>
          <t>ED212215</t>
        </is>
      </c>
      <c r="B366" s="26" t="n">
        <v>46017.59166666667</v>
      </c>
      <c r="C366" t="inlineStr">
        <is>
          <t>Walk-In</t>
        </is>
      </c>
      <c r="D366" t="n">
        <v>4</v>
      </c>
      <c r="E366" t="inlineStr">
        <is>
          <t>Vomiting / Dizziness</t>
        </is>
      </c>
      <c r="F366" s="28" t="n">
        <v>98</v>
      </c>
      <c r="G366" t="n">
        <v>106</v>
      </c>
      <c r="H366" t="n">
        <v>16</v>
      </c>
      <c r="I366" t="n">
        <v>129</v>
      </c>
      <c r="J366" t="n">
        <v>95</v>
      </c>
      <c r="K366" t="n">
        <v>3</v>
      </c>
      <c r="L366" t="inlineStr">
        <is>
          <t>Admitted</t>
        </is>
      </c>
      <c r="M366" s="27" t="n"/>
      <c r="N366" s="27" t="n"/>
      <c r="O366" s="27" t="n"/>
      <c r="P366" s="27" t="n"/>
      <c r="Q366" s="29" t="n"/>
      <c r="R366" s="27" t="n"/>
    </row>
    <row r="367">
      <c r="A367" t="inlineStr">
        <is>
          <t>ED212217</t>
        </is>
      </c>
      <c r="B367" s="26" t="n">
        <v>46017.78958333333</v>
      </c>
      <c r="C367" t="inlineStr">
        <is>
          <t>Walk-In</t>
        </is>
      </c>
      <c r="D367" t="n">
        <v>2</v>
      </c>
      <c r="E367" t="inlineStr">
        <is>
          <t>Shortness of Breath</t>
        </is>
      </c>
      <c r="F367" s="28" t="n">
        <v>98.90000000000001</v>
      </c>
      <c r="G367" t="n">
        <v>80</v>
      </c>
      <c r="H367" t="n">
        <v>15</v>
      </c>
      <c r="I367" t="n">
        <v>127</v>
      </c>
      <c r="J367" t="n">
        <v>97</v>
      </c>
      <c r="K367" t="n">
        <v>0</v>
      </c>
      <c r="L367" t="inlineStr">
        <is>
          <t>Admitted</t>
        </is>
      </c>
      <c r="M367" s="27" t="n"/>
      <c r="N367" s="27" t="n"/>
      <c r="O367" s="27" t="n"/>
      <c r="P367" s="27" t="n"/>
      <c r="Q367" s="29" t="n"/>
      <c r="R367" s="27" t="n"/>
    </row>
    <row r="368">
      <c r="A368" t="inlineStr">
        <is>
          <t>ED212219</t>
        </is>
      </c>
      <c r="B368" s="26" t="n">
        <v>46017.89027777778</v>
      </c>
      <c r="C368" t="inlineStr">
        <is>
          <t>Walk-In</t>
        </is>
      </c>
      <c r="D368" t="n">
        <v>4</v>
      </c>
      <c r="E368" t="inlineStr">
        <is>
          <t>Cough / Fever</t>
        </is>
      </c>
      <c r="F368" s="28" t="n">
        <v>98.2</v>
      </c>
      <c r="G368" t="n">
        <v>71</v>
      </c>
      <c r="H368" t="n">
        <v>11</v>
      </c>
      <c r="I368" t="n">
        <v>136</v>
      </c>
      <c r="J368" t="n">
        <v>97</v>
      </c>
      <c r="K368" t="n">
        <v>0</v>
      </c>
      <c r="L368" t="inlineStr">
        <is>
          <t>Discharged</t>
        </is>
      </c>
      <c r="M368" s="27" t="n"/>
      <c r="N368" s="27" t="n"/>
      <c r="O368" s="27" t="n"/>
      <c r="P368" s="27" t="n"/>
      <c r="Q368" s="29" t="n"/>
      <c r="R368" s="27" t="n"/>
    </row>
    <row r="369">
      <c r="A369" t="inlineStr">
        <is>
          <t>ED212220</t>
        </is>
      </c>
      <c r="B369" s="26" t="n">
        <v>46017.91388888889</v>
      </c>
      <c r="C369" t="inlineStr">
        <is>
          <t>Walk-In</t>
        </is>
      </c>
      <c r="D369" t="n">
        <v>3</v>
      </c>
      <c r="E369" t="inlineStr">
        <is>
          <t>Breast Mass</t>
        </is>
      </c>
      <c r="F369" s="28" t="n">
        <v>98.7</v>
      </c>
      <c r="G369" t="n">
        <v>82</v>
      </c>
      <c r="H369" t="n">
        <v>16</v>
      </c>
      <c r="I369" t="n">
        <v>130</v>
      </c>
      <c r="J369" t="n">
        <v>97</v>
      </c>
      <c r="K369" t="n">
        <v>0</v>
      </c>
      <c r="L369" t="inlineStr">
        <is>
          <t>Admitted</t>
        </is>
      </c>
      <c r="M369" s="27" t="n"/>
      <c r="N369" s="27" t="n"/>
      <c r="O369" s="27" t="n"/>
      <c r="P369" s="27" t="n"/>
      <c r="Q369" s="29" t="n"/>
      <c r="R369" s="27" t="n"/>
    </row>
    <row r="370">
      <c r="A370" t="inlineStr">
        <is>
          <t>ED212221</t>
        </is>
      </c>
      <c r="B370" s="26" t="n">
        <v>46017.95625</v>
      </c>
      <c r="C370" t="inlineStr">
        <is>
          <t>Ambulance</t>
        </is>
      </c>
      <c r="D370" t="n">
        <v>2</v>
      </c>
      <c r="E370" t="inlineStr">
        <is>
          <t>Rash</t>
        </is>
      </c>
      <c r="F370" s="28" t="n">
        <v>97.8</v>
      </c>
      <c r="G370" t="n">
        <v>90</v>
      </c>
      <c r="H370" t="n">
        <v>17</v>
      </c>
      <c r="I370" t="n">
        <v>150</v>
      </c>
      <c r="J370" t="n">
        <v>96</v>
      </c>
      <c r="K370" t="n">
        <v>3</v>
      </c>
      <c r="L370" t="inlineStr">
        <is>
          <t>Admitted</t>
        </is>
      </c>
      <c r="M370" s="27" t="n"/>
      <c r="N370" s="27" t="n"/>
      <c r="O370" s="27" t="n"/>
      <c r="P370" s="27" t="n"/>
      <c r="Q370" s="29" t="n"/>
      <c r="R370" s="27" t="n"/>
    </row>
    <row r="371">
      <c r="A371" t="inlineStr">
        <is>
          <t>ED212223</t>
        </is>
      </c>
      <c r="B371" s="26" t="n">
        <v>46018.11666666667</v>
      </c>
      <c r="C371" t="inlineStr">
        <is>
          <t>Walk-In</t>
        </is>
      </c>
      <c r="D371" t="n">
        <v>4</v>
      </c>
      <c r="E371" t="inlineStr">
        <is>
          <t>Ear Pain / Fever</t>
        </is>
      </c>
      <c r="F371" s="28" t="n">
        <v>100</v>
      </c>
      <c r="G371" t="n">
        <v>115</v>
      </c>
      <c r="H371" t="n">
        <v>20</v>
      </c>
      <c r="I371" t="n">
        <v>98</v>
      </c>
      <c r="J371" t="n">
        <v>100</v>
      </c>
      <c r="K371" t="n">
        <v>0</v>
      </c>
      <c r="L371" t="inlineStr">
        <is>
          <t>Discharged</t>
        </is>
      </c>
      <c r="M371" s="27" t="n"/>
      <c r="N371" s="27" t="n"/>
      <c r="O371" s="27" t="n"/>
      <c r="P371" s="27" t="n"/>
      <c r="Q371" s="29" t="n"/>
      <c r="R371" s="27" t="n"/>
    </row>
    <row r="372">
      <c r="A372" t="inlineStr">
        <is>
          <t>ED212224</t>
        </is>
      </c>
      <c r="B372" s="26" t="n">
        <v>46018.14583333334</v>
      </c>
      <c r="C372" t="inlineStr">
        <is>
          <t>Walk-In</t>
        </is>
      </c>
      <c r="D372" t="n">
        <v>3</v>
      </c>
      <c r="E372" t="inlineStr">
        <is>
          <t>Cough / Trouble Breathing</t>
        </is>
      </c>
      <c r="F372" s="28" t="n">
        <v>98.3</v>
      </c>
      <c r="G372" t="n">
        <v>131</v>
      </c>
      <c r="H372" t="n">
        <v>40</v>
      </c>
      <c r="I372" t="n">
        <v>87</v>
      </c>
      <c r="J372" t="n">
        <v>89</v>
      </c>
      <c r="K372" t="n">
        <v>0</v>
      </c>
      <c r="L372" t="inlineStr">
        <is>
          <t>Admitted</t>
        </is>
      </c>
      <c r="M372" s="27" t="n"/>
      <c r="N372" s="27" t="n"/>
      <c r="O372" s="27" t="n"/>
      <c r="P372" s="27" t="n"/>
      <c r="Q372" s="29" t="n"/>
      <c r="R372" s="27" t="n"/>
    </row>
    <row r="373">
      <c r="A373" t="inlineStr">
        <is>
          <t>ED212226</t>
        </is>
      </c>
      <c r="B373" s="26" t="n">
        <v>46018.325</v>
      </c>
      <c r="C373" t="inlineStr">
        <is>
          <t>Walk-In</t>
        </is>
      </c>
      <c r="D373" t="n">
        <v>4</v>
      </c>
      <c r="E373" t="inlineStr">
        <is>
          <t>Cough / Fever</t>
        </is>
      </c>
      <c r="F373" s="28" t="n">
        <v>97.2</v>
      </c>
      <c r="G373" t="n">
        <v>87</v>
      </c>
      <c r="H373" t="n">
        <v>17</v>
      </c>
      <c r="I373" t="n">
        <v>163</v>
      </c>
      <c r="J373" t="n">
        <v>97</v>
      </c>
      <c r="K373" t="n">
        <v>0</v>
      </c>
      <c r="L373" t="inlineStr">
        <is>
          <t>Discharged</t>
        </is>
      </c>
      <c r="M373" s="27" t="n"/>
      <c r="N373" s="27" t="n"/>
      <c r="O373" s="27" t="n"/>
      <c r="P373" s="27" t="n"/>
      <c r="Q373" s="29" t="n"/>
      <c r="R373" s="27" t="n"/>
    </row>
    <row r="374">
      <c r="A374" t="inlineStr">
        <is>
          <t>ED212227</t>
        </is>
      </c>
      <c r="B374" s="26" t="n">
        <v>46018.32916666667</v>
      </c>
      <c r="C374" t="inlineStr">
        <is>
          <t>Walk-In</t>
        </is>
      </c>
      <c r="D374" t="n">
        <v>3</v>
      </c>
      <c r="E374" t="inlineStr">
        <is>
          <t>Abdominal Pain</t>
        </is>
      </c>
      <c r="F374" s="28" t="n">
        <v>99.3</v>
      </c>
      <c r="G374" t="n">
        <v>96</v>
      </c>
      <c r="H374" t="n">
        <v>15</v>
      </c>
      <c r="I374" t="n">
        <v>151</v>
      </c>
      <c r="J374" t="n">
        <v>100</v>
      </c>
      <c r="K374" t="n">
        <v>6</v>
      </c>
      <c r="L374" t="inlineStr">
        <is>
          <t>Discharged</t>
        </is>
      </c>
      <c r="M374" s="27" t="n"/>
      <c r="N374" s="27" t="n"/>
      <c r="O374" s="27" t="n"/>
      <c r="P374" s="27" t="n"/>
      <c r="Q374" s="29" t="n"/>
      <c r="R374" s="27" t="n"/>
    </row>
    <row r="375">
      <c r="A375" t="inlineStr">
        <is>
          <t>ED212228</t>
        </is>
      </c>
      <c r="B375" s="26" t="n">
        <v>46018.33611111111</v>
      </c>
      <c r="C375" t="inlineStr">
        <is>
          <t>Walk-In</t>
        </is>
      </c>
      <c r="D375" t="n">
        <v>5</v>
      </c>
      <c r="E375" t="inlineStr">
        <is>
          <t>Ear Pain / Fever</t>
        </is>
      </c>
      <c r="F375" s="28" t="n">
        <v>99.7</v>
      </c>
      <c r="G375" t="n">
        <v>89</v>
      </c>
      <c r="H375" t="n">
        <v>24</v>
      </c>
      <c r="I375" t="n">
        <v>105</v>
      </c>
      <c r="J375" t="n">
        <v>98</v>
      </c>
      <c r="K375" t="n">
        <v>1</v>
      </c>
      <c r="L375" t="inlineStr">
        <is>
          <t>Discharged</t>
        </is>
      </c>
      <c r="M375" s="27" t="n"/>
      <c r="N375" s="27" t="n"/>
      <c r="O375" s="27" t="n"/>
      <c r="P375" s="27" t="n"/>
      <c r="Q375" s="29" t="n"/>
      <c r="R375" s="27" t="n"/>
    </row>
    <row r="376">
      <c r="A376" t="inlineStr">
        <is>
          <t>ED212229</t>
        </is>
      </c>
      <c r="B376" s="26" t="n">
        <v>46018.39236111111</v>
      </c>
      <c r="C376" t="inlineStr">
        <is>
          <t>Walk-In</t>
        </is>
      </c>
      <c r="D376" t="n">
        <v>4</v>
      </c>
      <c r="E376" t="inlineStr">
        <is>
          <t>Cough / Fever</t>
        </is>
      </c>
      <c r="F376" s="28" t="n">
        <v>98.8</v>
      </c>
      <c r="G376" t="n">
        <v>81</v>
      </c>
      <c r="H376" t="n">
        <v>14</v>
      </c>
      <c r="I376" t="n">
        <v>130</v>
      </c>
      <c r="J376" t="n">
        <v>99</v>
      </c>
      <c r="K376" t="n">
        <v>0</v>
      </c>
      <c r="L376" t="inlineStr">
        <is>
          <t>Discharged</t>
        </is>
      </c>
      <c r="M376" s="27" t="n"/>
      <c r="N376" s="27" t="n"/>
      <c r="O376" s="27" t="n"/>
      <c r="P376" s="27" t="n"/>
      <c r="Q376" s="29" t="n"/>
      <c r="R376" s="27" t="n"/>
    </row>
    <row r="377">
      <c r="A377" t="inlineStr">
        <is>
          <t>ED212230</t>
        </is>
      </c>
      <c r="B377" s="26" t="n">
        <v>46018.42013888889</v>
      </c>
      <c r="C377" t="inlineStr">
        <is>
          <t>Walk-In</t>
        </is>
      </c>
      <c r="D377" t="n">
        <v>4</v>
      </c>
      <c r="E377" t="inlineStr">
        <is>
          <t>Abdominal Pain</t>
        </is>
      </c>
      <c r="F377" s="28" t="n">
        <v>98.2</v>
      </c>
      <c r="G377" t="n">
        <v>95</v>
      </c>
      <c r="H377" t="n">
        <v>16</v>
      </c>
      <c r="I377" t="n">
        <v>149</v>
      </c>
      <c r="J377" t="n">
        <v>97</v>
      </c>
      <c r="K377" t="n">
        <v>10</v>
      </c>
      <c r="L377" t="inlineStr">
        <is>
          <t>Discharged</t>
        </is>
      </c>
      <c r="M377" s="27" t="n"/>
      <c r="N377" s="27" t="n"/>
      <c r="O377" s="27" t="n"/>
      <c r="P377" s="27" t="n"/>
      <c r="Q377" s="29" t="n"/>
      <c r="R377" s="27" t="n"/>
    </row>
    <row r="378">
      <c r="A378" t="inlineStr">
        <is>
          <t>ED212231</t>
        </is>
      </c>
      <c r="B378" s="26" t="n">
        <v>46018.43125</v>
      </c>
      <c r="C378" t="inlineStr">
        <is>
          <t>Ambulance</t>
        </is>
      </c>
      <c r="D378" t="n">
        <v>3</v>
      </c>
      <c r="E378" t="inlineStr">
        <is>
          <t>Cough / Trouble Breathing</t>
        </is>
      </c>
      <c r="F378" s="28" t="n">
        <v>97.7</v>
      </c>
      <c r="G378" t="n">
        <v>129</v>
      </c>
      <c r="H378" t="n">
        <v>41</v>
      </c>
      <c r="I378" t="n">
        <v>90</v>
      </c>
      <c r="J378" t="n">
        <v>90</v>
      </c>
      <c r="K378" t="n">
        <v>1</v>
      </c>
      <c r="L378" t="inlineStr">
        <is>
          <t>Discharged</t>
        </is>
      </c>
      <c r="M378" s="27" t="n"/>
      <c r="N378" s="27" t="n"/>
      <c r="O378" s="27" t="n"/>
      <c r="P378" s="27" t="n"/>
      <c r="Q378" s="29" t="n"/>
      <c r="R378" s="27" t="n"/>
    </row>
    <row r="379">
      <c r="A379" t="inlineStr">
        <is>
          <t>ED212232</t>
        </is>
      </c>
      <c r="B379" s="26" t="n">
        <v>46018.575</v>
      </c>
      <c r="C379" t="inlineStr">
        <is>
          <t>Walk-In</t>
        </is>
      </c>
      <c r="D379" t="n">
        <v>2</v>
      </c>
      <c r="E379" t="inlineStr">
        <is>
          <t>Back Pain</t>
        </is>
      </c>
      <c r="F379" s="28" t="n">
        <v>97.59999999999999</v>
      </c>
      <c r="G379" t="n">
        <v>89</v>
      </c>
      <c r="H379" t="n">
        <v>13</v>
      </c>
      <c r="I379" t="n">
        <v>138</v>
      </c>
      <c r="J379" t="n">
        <v>97</v>
      </c>
      <c r="K379" t="n">
        <v>9</v>
      </c>
      <c r="L379" t="inlineStr">
        <is>
          <t>Observation</t>
        </is>
      </c>
      <c r="M379" s="27" t="n"/>
      <c r="N379" s="27" t="n"/>
      <c r="O379" s="27" t="n"/>
      <c r="P379" s="27" t="n"/>
      <c r="Q379" s="29" t="n"/>
      <c r="R379" s="27" t="n"/>
    </row>
    <row r="380">
      <c r="A380" t="inlineStr">
        <is>
          <t>ED212234</t>
        </is>
      </c>
      <c r="B380" s="26" t="n">
        <v>46018.67638888889</v>
      </c>
      <c r="C380" t="inlineStr">
        <is>
          <t>Walk-In</t>
        </is>
      </c>
      <c r="D380" t="n">
        <v>3</v>
      </c>
      <c r="E380" t="inlineStr">
        <is>
          <t>Nausea</t>
        </is>
      </c>
      <c r="F380" s="28" t="n">
        <v>101</v>
      </c>
      <c r="G380" t="n">
        <v>97</v>
      </c>
      <c r="H380" t="n">
        <v>19</v>
      </c>
      <c r="I380" t="n">
        <v>126</v>
      </c>
      <c r="J380" t="n">
        <v>92</v>
      </c>
      <c r="K380" t="n">
        <v>3</v>
      </c>
      <c r="L380" t="inlineStr">
        <is>
          <t>Admitted</t>
        </is>
      </c>
      <c r="M380" s="27" t="n"/>
      <c r="N380" s="27" t="n"/>
      <c r="O380" s="27" t="n"/>
      <c r="P380" s="27" t="n"/>
      <c r="Q380" s="29" t="n"/>
      <c r="R380" s="27" t="n"/>
    </row>
    <row r="381">
      <c r="A381" t="inlineStr">
        <is>
          <t>ED212235</t>
        </is>
      </c>
      <c r="B381" s="26" t="n">
        <v>46018.71111111111</v>
      </c>
      <c r="C381" t="inlineStr">
        <is>
          <t>Ambulance</t>
        </is>
      </c>
      <c r="D381" t="n">
        <v>2</v>
      </c>
      <c r="E381" t="inlineStr">
        <is>
          <t>Palpitations</t>
        </is>
      </c>
      <c r="F381" s="28" t="n">
        <v>97.8</v>
      </c>
      <c r="G381" t="n">
        <v>118</v>
      </c>
      <c r="H381" t="n">
        <v>16</v>
      </c>
      <c r="I381" t="n">
        <v>146</v>
      </c>
      <c r="J381" t="n">
        <v>98</v>
      </c>
      <c r="K381" t="n">
        <v>1</v>
      </c>
      <c r="L381" t="inlineStr">
        <is>
          <t>Admitted</t>
        </is>
      </c>
      <c r="M381" s="27" t="n"/>
      <c r="N381" s="27" t="n"/>
      <c r="O381" s="27" t="n"/>
      <c r="P381" s="27" t="n"/>
      <c r="Q381" s="29" t="n"/>
      <c r="R381" s="27" t="n"/>
    </row>
    <row r="382">
      <c r="A382" t="inlineStr">
        <is>
          <t>ED212236</t>
        </is>
      </c>
      <c r="B382" s="26" t="n">
        <v>46018.93263888889</v>
      </c>
      <c r="C382" t="inlineStr">
        <is>
          <t>Ambulance</t>
        </is>
      </c>
      <c r="D382" t="n">
        <v>2</v>
      </c>
      <c r="E382" t="inlineStr">
        <is>
          <t>Fever</t>
        </is>
      </c>
      <c r="F382" s="28" t="n">
        <v>98.7</v>
      </c>
      <c r="G382" t="n">
        <v>74</v>
      </c>
      <c r="H382" t="n">
        <v>17</v>
      </c>
      <c r="I382" t="n">
        <v>134</v>
      </c>
      <c r="J382" t="n">
        <v>95</v>
      </c>
      <c r="K382" t="n">
        <v>0</v>
      </c>
      <c r="L382" t="inlineStr">
        <is>
          <t>Admitted</t>
        </is>
      </c>
      <c r="M382" s="27" t="n"/>
      <c r="N382" s="27" t="n"/>
      <c r="O382" s="27" t="n"/>
      <c r="P382" s="27" t="n"/>
      <c r="Q382" s="29" t="n"/>
      <c r="R382" s="27" t="n"/>
    </row>
    <row r="383">
      <c r="A383" t="inlineStr">
        <is>
          <t>ED212237</t>
        </is>
      </c>
      <c r="B383" s="26" t="n">
        <v>46019.01388888889</v>
      </c>
      <c r="C383" t="inlineStr">
        <is>
          <t>Walk-In</t>
        </is>
      </c>
      <c r="D383" t="n">
        <v>4</v>
      </c>
      <c r="E383" t="inlineStr">
        <is>
          <t>Cough / Fever</t>
        </is>
      </c>
      <c r="F383" s="28" t="n">
        <v>101.1</v>
      </c>
      <c r="G383" t="n">
        <v>123</v>
      </c>
      <c r="H383" t="n">
        <v>29</v>
      </c>
      <c r="J383" t="n">
        <v>90</v>
      </c>
      <c r="K383" t="n">
        <v>2</v>
      </c>
      <c r="L383" t="inlineStr">
        <is>
          <t>Discharged</t>
        </is>
      </c>
      <c r="M383" s="27" t="n"/>
      <c r="N383" s="27" t="n"/>
      <c r="O383" s="27" t="n"/>
      <c r="P383" s="27" t="n"/>
      <c r="Q383" s="29" t="n"/>
      <c r="R383" s="27" t="n"/>
    </row>
    <row r="384">
      <c r="A384" t="inlineStr">
        <is>
          <t>ED212238</t>
        </is>
      </c>
      <c r="B384" s="26" t="n">
        <v>46019.18541666667</v>
      </c>
      <c r="C384" t="inlineStr">
        <is>
          <t>Walk-In</t>
        </is>
      </c>
      <c r="D384" t="n">
        <v>5</v>
      </c>
      <c r="E384" t="inlineStr">
        <is>
          <t>Vomiting / Diarrhea</t>
        </is>
      </c>
      <c r="F384" s="28" t="n">
        <v>98.59999999999999</v>
      </c>
      <c r="G384" t="n">
        <v>99</v>
      </c>
      <c r="H384" t="n">
        <v>18</v>
      </c>
      <c r="I384" t="n">
        <v>113</v>
      </c>
      <c r="J384" t="n">
        <v>98</v>
      </c>
      <c r="K384" t="n">
        <v>1</v>
      </c>
      <c r="L384" t="inlineStr">
        <is>
          <t>Discharged</t>
        </is>
      </c>
      <c r="M384" s="27" t="n"/>
      <c r="N384" s="27" t="n"/>
      <c r="O384" s="27" t="n"/>
      <c r="P384" s="27" t="n"/>
      <c r="Q384" s="29" t="n"/>
      <c r="R384" s="27" t="n"/>
    </row>
    <row r="385">
      <c r="A385" t="inlineStr">
        <is>
          <t>ED212240</t>
        </is>
      </c>
      <c r="B385" s="26" t="n">
        <v>46019.41180555556</v>
      </c>
      <c r="C385" t="inlineStr">
        <is>
          <t>Walk-In</t>
        </is>
      </c>
      <c r="D385" t="n">
        <v>2</v>
      </c>
      <c r="E385" t="inlineStr">
        <is>
          <t>Cough / Trouble Breathing</t>
        </is>
      </c>
      <c r="F385" s="28" t="n">
        <v>98.40000000000001</v>
      </c>
      <c r="G385" t="n">
        <v>112</v>
      </c>
      <c r="H385" t="n">
        <v>34</v>
      </c>
      <c r="I385" t="n">
        <v>95</v>
      </c>
      <c r="J385" t="n">
        <v>90</v>
      </c>
      <c r="K385" t="n">
        <v>2</v>
      </c>
      <c r="L385" t="inlineStr">
        <is>
          <t>Observation</t>
        </is>
      </c>
      <c r="M385" s="27" t="n"/>
      <c r="N385" s="27" t="n"/>
      <c r="O385" s="27" t="n"/>
      <c r="P385" s="27" t="n"/>
      <c r="Q385" s="29" t="n"/>
      <c r="R385" s="27" t="n"/>
    </row>
    <row r="386">
      <c r="A386" t="inlineStr">
        <is>
          <t>ED212241</t>
        </is>
      </c>
      <c r="B386" s="26" t="n">
        <v>46019.42986111111</v>
      </c>
      <c r="C386" t="inlineStr">
        <is>
          <t>Walk-In</t>
        </is>
      </c>
      <c r="D386" t="n">
        <v>4</v>
      </c>
      <c r="E386" t="inlineStr">
        <is>
          <t>Headache</t>
        </is>
      </c>
      <c r="F386" s="28" t="n">
        <v>98.7</v>
      </c>
      <c r="G386" t="n">
        <v>78</v>
      </c>
      <c r="H386" t="n">
        <v>16</v>
      </c>
      <c r="I386" t="n">
        <v>150</v>
      </c>
      <c r="J386" t="n">
        <v>99</v>
      </c>
      <c r="K386" t="n">
        <v>2</v>
      </c>
      <c r="L386" t="inlineStr">
        <is>
          <t>Discharged</t>
        </is>
      </c>
      <c r="M386" s="27" t="n"/>
      <c r="N386" s="27" t="n"/>
      <c r="O386" s="27" t="n"/>
      <c r="P386" s="27" t="n"/>
      <c r="Q386" s="29" t="n"/>
      <c r="R386" s="27" t="n"/>
    </row>
    <row r="387">
      <c r="A387" t="inlineStr">
        <is>
          <t>ED212243</t>
        </is>
      </c>
      <c r="B387" s="26" t="n">
        <v>46019.59097222222</v>
      </c>
      <c r="C387" t="inlineStr">
        <is>
          <t>Walk-In</t>
        </is>
      </c>
      <c r="D387" t="n">
        <v>3</v>
      </c>
      <c r="E387" t="inlineStr">
        <is>
          <t>Vomiting / Dizziness</t>
        </is>
      </c>
      <c r="F387" s="28" t="n">
        <v>98.90000000000001</v>
      </c>
      <c r="G387" t="n">
        <v>116</v>
      </c>
      <c r="H387" t="n">
        <v>13</v>
      </c>
      <c r="I387" t="n">
        <v>127</v>
      </c>
      <c r="J387" t="n">
        <v>96</v>
      </c>
      <c r="K387" t="n">
        <v>3</v>
      </c>
      <c r="L387" t="inlineStr">
        <is>
          <t>Discharged</t>
        </is>
      </c>
      <c r="M387" s="27" t="n"/>
      <c r="N387" s="27" t="n"/>
      <c r="O387" s="27" t="n"/>
      <c r="P387" s="27" t="n"/>
      <c r="Q387" s="29" t="n"/>
      <c r="R387" s="27" t="n"/>
    </row>
    <row r="388">
      <c r="A388" t="inlineStr">
        <is>
          <t>ED212244</t>
        </is>
      </c>
      <c r="B388" s="26" t="n">
        <v>46019.65972222222</v>
      </c>
      <c r="C388" t="inlineStr">
        <is>
          <t>Ambulance</t>
        </is>
      </c>
      <c r="D388" t="n">
        <v>2</v>
      </c>
      <c r="E388" t="inlineStr">
        <is>
          <t>Cough / Trouble Breathing</t>
        </is>
      </c>
      <c r="F388" s="28" t="n">
        <v>97.90000000000001</v>
      </c>
      <c r="G388" t="n">
        <v>130</v>
      </c>
      <c r="H388" t="n">
        <v>37</v>
      </c>
      <c r="I388" t="n">
        <v>96</v>
      </c>
      <c r="J388" t="n">
        <v>87</v>
      </c>
      <c r="K388" t="n">
        <v>0</v>
      </c>
      <c r="L388" t="inlineStr">
        <is>
          <t>Admitted</t>
        </is>
      </c>
      <c r="M388" s="27" t="n"/>
      <c r="N388" s="27" t="n"/>
      <c r="O388" s="27" t="n"/>
      <c r="P388" s="27" t="n"/>
      <c r="Q388" s="29" t="n"/>
      <c r="R388" s="27" t="n"/>
    </row>
    <row r="389">
      <c r="A389" t="inlineStr">
        <is>
          <t>ED212245</t>
        </is>
      </c>
      <c r="B389" s="26" t="n">
        <v>46019.68680555555</v>
      </c>
      <c r="C389" t="inlineStr">
        <is>
          <t>Walk-In</t>
        </is>
      </c>
      <c r="D389" t="n">
        <v>3</v>
      </c>
      <c r="E389" t="inlineStr">
        <is>
          <t>Palpitations</t>
        </is>
      </c>
      <c r="F389" s="28" t="n">
        <v>98.2</v>
      </c>
      <c r="G389" t="n">
        <v>130</v>
      </c>
      <c r="H389" t="n">
        <v>17</v>
      </c>
      <c r="I389" t="n">
        <v>145</v>
      </c>
      <c r="J389" t="n">
        <v>98</v>
      </c>
      <c r="K389" t="n">
        <v>2</v>
      </c>
      <c r="L389" t="inlineStr">
        <is>
          <t>Observation</t>
        </is>
      </c>
      <c r="M389" s="27" t="n"/>
      <c r="N389" s="27" t="n"/>
      <c r="O389" s="27" t="n"/>
      <c r="P389" s="27" t="n"/>
      <c r="Q389" s="29" t="n"/>
      <c r="R389" s="27" t="n"/>
    </row>
    <row r="390">
      <c r="A390" t="inlineStr">
        <is>
          <t>ED212247</t>
        </is>
      </c>
      <c r="B390" s="26" t="n">
        <v>46019.78472222222</v>
      </c>
      <c r="C390" t="inlineStr">
        <is>
          <t>Ambulance</t>
        </is>
      </c>
      <c r="D390" t="n">
        <v>3</v>
      </c>
      <c r="E390" t="inlineStr">
        <is>
          <t>Chest Pain</t>
        </is>
      </c>
      <c r="F390" s="28" t="n">
        <v>98.5</v>
      </c>
      <c r="G390" t="n">
        <v>100</v>
      </c>
      <c r="H390" t="n">
        <v>17</v>
      </c>
      <c r="I390" t="n">
        <v>163</v>
      </c>
      <c r="J390" t="n">
        <v>99</v>
      </c>
      <c r="K390" t="n">
        <v>3</v>
      </c>
      <c r="L390" t="inlineStr">
        <is>
          <t>Observation</t>
        </is>
      </c>
      <c r="M390" s="27" t="n"/>
      <c r="N390" s="27" t="n"/>
      <c r="O390" s="27" t="n"/>
      <c r="P390" s="27" t="n"/>
      <c r="Q390" s="29" t="n"/>
      <c r="R390" s="27" t="n"/>
    </row>
    <row r="391">
      <c r="A391" t="inlineStr">
        <is>
          <t>ED212248</t>
        </is>
      </c>
      <c r="B391" s="26" t="n">
        <v>46019.79861111111</v>
      </c>
      <c r="C391" t="inlineStr">
        <is>
          <t>Walk-In</t>
        </is>
      </c>
      <c r="D391" t="n">
        <v>5</v>
      </c>
      <c r="E391" t="inlineStr">
        <is>
          <t>Back Pain</t>
        </is>
      </c>
      <c r="F391" s="28" t="n">
        <v>98.3</v>
      </c>
      <c r="G391" t="n">
        <v>93</v>
      </c>
      <c r="H391" t="n">
        <v>22</v>
      </c>
      <c r="I391" t="n">
        <v>122</v>
      </c>
      <c r="J391" t="n">
        <v>98</v>
      </c>
      <c r="K391" t="n">
        <v>6</v>
      </c>
      <c r="L391" t="inlineStr">
        <is>
          <t>LWBS</t>
        </is>
      </c>
      <c r="M391" s="27" t="n"/>
      <c r="N391" s="27" t="n"/>
      <c r="O391" s="27" t="n"/>
      <c r="P391" s="27" t="n"/>
      <c r="Q391" s="29" t="n"/>
      <c r="R391" s="27" t="n"/>
    </row>
    <row r="392">
      <c r="A392" t="inlineStr">
        <is>
          <t>ED212249</t>
        </is>
      </c>
      <c r="B392" s="26" t="n">
        <v>46019.975</v>
      </c>
      <c r="C392" t="inlineStr">
        <is>
          <t>Walk-In</t>
        </is>
      </c>
      <c r="D392" t="n">
        <v>3</v>
      </c>
      <c r="E392" t="inlineStr">
        <is>
          <t>Vomiting / Dizziness</t>
        </is>
      </c>
      <c r="F392" s="28" t="n">
        <v>98.7</v>
      </c>
      <c r="G392" t="n">
        <v>81</v>
      </c>
      <c r="H392" t="n">
        <v>19</v>
      </c>
      <c r="I392" t="n">
        <v>101</v>
      </c>
      <c r="J392" t="n">
        <v>96</v>
      </c>
      <c r="K392" t="n">
        <v>0</v>
      </c>
      <c r="L392" t="inlineStr">
        <is>
          <t>Observation</t>
        </is>
      </c>
      <c r="M392" s="27" t="n"/>
      <c r="N392" s="27" t="n"/>
      <c r="O392" s="27" t="n"/>
      <c r="P392" s="27" t="n"/>
      <c r="Q392" s="29" t="n"/>
      <c r="R392" s="27" t="n"/>
    </row>
    <row r="393">
      <c r="A393" t="inlineStr">
        <is>
          <t>ED212250</t>
        </is>
      </c>
      <c r="B393" s="26" t="n">
        <v>46020.11319444444</v>
      </c>
      <c r="C393" t="inlineStr">
        <is>
          <t>Ambulance</t>
        </is>
      </c>
      <c r="D393" t="n">
        <v>3</v>
      </c>
      <c r="E393" t="inlineStr">
        <is>
          <t>Cough / Trouble Breathing</t>
        </is>
      </c>
      <c r="F393" s="28" t="n">
        <v>98.59999999999999</v>
      </c>
      <c r="G393" t="n">
        <v>139</v>
      </c>
      <c r="H393" t="n">
        <v>46</v>
      </c>
      <c r="I393" t="n">
        <v>105</v>
      </c>
      <c r="J393" t="n">
        <v>89</v>
      </c>
      <c r="K393" t="n">
        <v>3</v>
      </c>
      <c r="L393" t="inlineStr">
        <is>
          <t>Discharged</t>
        </is>
      </c>
      <c r="M393" s="27" t="n"/>
      <c r="N393" s="27" t="n"/>
      <c r="O393" s="27" t="n"/>
      <c r="P393" s="27" t="n"/>
      <c r="Q393" s="29" t="n"/>
      <c r="R393" s="27" t="n"/>
    </row>
    <row r="394">
      <c r="A394" t="inlineStr">
        <is>
          <t>ED212251</t>
        </is>
      </c>
      <c r="B394" s="26" t="n">
        <v>46020.32361111111</v>
      </c>
      <c r="C394" t="inlineStr">
        <is>
          <t>Ambulance</t>
        </is>
      </c>
      <c r="D394" t="n">
        <v>2</v>
      </c>
      <c r="E394" t="inlineStr">
        <is>
          <t>Shortness of Breath</t>
        </is>
      </c>
      <c r="F394" s="28" t="n">
        <v>99</v>
      </c>
      <c r="G394" t="n">
        <v>62</v>
      </c>
      <c r="H394" t="n">
        <v>22</v>
      </c>
      <c r="I394" t="n">
        <v>167</v>
      </c>
      <c r="J394" t="n">
        <v>96</v>
      </c>
      <c r="K394" t="n">
        <v>2</v>
      </c>
      <c r="L394" t="inlineStr">
        <is>
          <t>Admitted</t>
        </is>
      </c>
      <c r="M394" s="27" t="n"/>
      <c r="N394" s="27" t="n"/>
      <c r="O394" s="27" t="n"/>
      <c r="P394" s="27" t="n"/>
      <c r="Q394" s="29" t="n"/>
      <c r="R394" s="27" t="n"/>
    </row>
    <row r="395">
      <c r="A395" t="inlineStr">
        <is>
          <t>ED212253</t>
        </is>
      </c>
      <c r="B395" s="26" t="n">
        <v>46020.42569444444</v>
      </c>
      <c r="C395" t="inlineStr">
        <is>
          <t>Ambulance</t>
        </is>
      </c>
      <c r="D395" t="n">
        <v>3</v>
      </c>
      <c r="E395" t="inlineStr">
        <is>
          <t>Palpitations</t>
        </is>
      </c>
      <c r="F395" s="28" t="n">
        <v>97.8</v>
      </c>
      <c r="G395" t="n">
        <v>126</v>
      </c>
      <c r="H395" t="n">
        <v>19</v>
      </c>
      <c r="I395" t="n">
        <v>128</v>
      </c>
      <c r="J395" t="n">
        <v>100</v>
      </c>
      <c r="K395" t="n">
        <v>3</v>
      </c>
      <c r="L395" t="inlineStr">
        <is>
          <t>Admitted</t>
        </is>
      </c>
      <c r="M395" s="27" t="n"/>
      <c r="N395" s="27" t="n"/>
      <c r="O395" s="27" t="n"/>
      <c r="P395" s="27" t="n"/>
      <c r="Q395" s="29" t="n"/>
      <c r="R395" s="27" t="n"/>
    </row>
    <row r="396">
      <c r="A396" t="inlineStr">
        <is>
          <t>ED212255</t>
        </is>
      </c>
      <c r="B396" s="26" t="n">
        <v>46020.64097222222</v>
      </c>
      <c r="C396" t="inlineStr">
        <is>
          <t>Walk-In</t>
        </is>
      </c>
      <c r="D396" t="n">
        <v>2</v>
      </c>
      <c r="E396" t="inlineStr">
        <is>
          <t>Cough / Trouble Breathing</t>
        </is>
      </c>
      <c r="F396" s="28" t="n">
        <v>98.8</v>
      </c>
      <c r="G396" t="n">
        <v>141</v>
      </c>
      <c r="H396" t="n">
        <v>37</v>
      </c>
      <c r="I396" t="n">
        <v>102</v>
      </c>
      <c r="J396" t="n">
        <v>89</v>
      </c>
      <c r="K396" t="n">
        <v>1</v>
      </c>
      <c r="L396" t="inlineStr">
        <is>
          <t>Discharged</t>
        </is>
      </c>
      <c r="M396" s="27" t="n"/>
      <c r="N396" s="27" t="n"/>
      <c r="O396" s="27" t="n"/>
      <c r="P396" s="27" t="n"/>
      <c r="Q396" s="29" t="n"/>
      <c r="R396" s="27" t="n"/>
    </row>
    <row r="397">
      <c r="A397" t="inlineStr">
        <is>
          <t>ED212258</t>
        </is>
      </c>
      <c r="B397" s="26" t="n">
        <v>46020.70972222222</v>
      </c>
      <c r="C397" t="inlineStr">
        <is>
          <t>Walk-In</t>
        </is>
      </c>
      <c r="D397" t="n">
        <v>3</v>
      </c>
      <c r="E397" t="inlineStr">
        <is>
          <t>Painful Urination / Fever</t>
        </is>
      </c>
      <c r="F397" s="28" t="n">
        <v>102.6</v>
      </c>
      <c r="G397" t="n">
        <v>70</v>
      </c>
      <c r="H397" t="n">
        <v>15</v>
      </c>
      <c r="I397" t="n">
        <v>143</v>
      </c>
      <c r="J397" t="n">
        <v>100</v>
      </c>
      <c r="K397" t="n">
        <v>3</v>
      </c>
      <c r="L397" t="inlineStr">
        <is>
          <t>Discharged</t>
        </is>
      </c>
      <c r="M397" s="27" t="n"/>
      <c r="N397" s="27" t="n"/>
      <c r="O397" s="27" t="n"/>
      <c r="P397" s="27" t="n"/>
      <c r="Q397" s="29" t="n"/>
      <c r="R397" s="27" t="n"/>
    </row>
    <row r="398">
      <c r="A398" t="inlineStr">
        <is>
          <t>ED212259</t>
        </is>
      </c>
      <c r="B398" s="26" t="n">
        <v>46020.71944444445</v>
      </c>
      <c r="C398" t="inlineStr">
        <is>
          <t>Walk-In</t>
        </is>
      </c>
      <c r="D398" t="n">
        <v>4</v>
      </c>
      <c r="E398" t="inlineStr">
        <is>
          <t>Cough / Fever</t>
        </is>
      </c>
      <c r="F398" s="28" t="n">
        <v>99.09999999999999</v>
      </c>
      <c r="G398" t="n">
        <v>88</v>
      </c>
      <c r="H398" t="n">
        <v>22</v>
      </c>
      <c r="I398" t="n">
        <v>97</v>
      </c>
      <c r="J398" t="n">
        <v>95</v>
      </c>
      <c r="K398" t="n">
        <v>2</v>
      </c>
      <c r="L398" t="inlineStr">
        <is>
          <t>Discharged</t>
        </is>
      </c>
      <c r="M398" s="27" t="n"/>
      <c r="N398" s="27" t="n"/>
      <c r="O398" s="27" t="n"/>
      <c r="P398" s="27" t="n"/>
      <c r="Q398" s="29" t="n"/>
      <c r="R398" s="27" t="n"/>
    </row>
    <row r="399">
      <c r="A399" t="inlineStr">
        <is>
          <t>ED212260</t>
        </is>
      </c>
      <c r="B399" s="26" t="n">
        <v>46020.80625</v>
      </c>
      <c r="C399" t="inlineStr">
        <is>
          <t>Walk-In</t>
        </is>
      </c>
      <c r="D399" t="n">
        <v>5</v>
      </c>
      <c r="E399" t="inlineStr">
        <is>
          <t>Back Pain</t>
        </is>
      </c>
      <c r="F399" s="28" t="n">
        <v>97.40000000000001</v>
      </c>
      <c r="G399" t="n">
        <v>78</v>
      </c>
      <c r="H399" t="n">
        <v>16</v>
      </c>
      <c r="I399" t="n">
        <v>138</v>
      </c>
      <c r="J399" t="n">
        <v>99</v>
      </c>
      <c r="K399" t="n">
        <v>6</v>
      </c>
      <c r="L399" t="inlineStr">
        <is>
          <t>Discharged</t>
        </is>
      </c>
      <c r="M399" s="27" t="n"/>
      <c r="N399" s="27" t="n"/>
      <c r="O399" s="27" t="n"/>
      <c r="P399" s="27" t="n"/>
      <c r="Q399" s="29" t="n"/>
      <c r="R399" s="27" t="n"/>
    </row>
    <row r="400">
      <c r="A400" t="inlineStr">
        <is>
          <t>ED212261</t>
        </is>
      </c>
      <c r="B400" s="26" t="n">
        <v>46020.81041666667</v>
      </c>
      <c r="C400" t="inlineStr">
        <is>
          <t>Walk-In</t>
        </is>
      </c>
      <c r="D400" t="n">
        <v>3</v>
      </c>
      <c r="E400" t="inlineStr">
        <is>
          <t>Palpitations</t>
        </is>
      </c>
      <c r="F400" s="28" t="n">
        <v>98.09999999999999</v>
      </c>
      <c r="G400" t="n">
        <v>128</v>
      </c>
      <c r="H400" t="n">
        <v>16</v>
      </c>
      <c r="I400" t="n">
        <v>117</v>
      </c>
      <c r="J400" t="n">
        <v>96</v>
      </c>
      <c r="K400" t="n">
        <v>0</v>
      </c>
      <c r="L400" t="inlineStr">
        <is>
          <t>Admitted</t>
        </is>
      </c>
      <c r="M400" s="27" t="n"/>
      <c r="N400" s="27" t="n"/>
      <c r="O400" s="27" t="n"/>
      <c r="P400" s="27" t="n"/>
      <c r="Q400" s="29" t="n"/>
      <c r="R400" s="27" t="n"/>
    </row>
    <row r="401">
      <c r="A401" t="inlineStr">
        <is>
          <t>ED212262</t>
        </is>
      </c>
      <c r="B401" s="26" t="n">
        <v>46020.82430555556</v>
      </c>
      <c r="C401" t="inlineStr">
        <is>
          <t>Walk-In</t>
        </is>
      </c>
      <c r="D401" t="n">
        <v>5</v>
      </c>
      <c r="E401" t="inlineStr">
        <is>
          <t>Cough / Fever</t>
        </is>
      </c>
      <c r="F401" s="28" t="n">
        <v>97.8</v>
      </c>
      <c r="G401" t="n">
        <v>85</v>
      </c>
      <c r="H401" t="n">
        <v>16</v>
      </c>
      <c r="I401" t="n">
        <v>123</v>
      </c>
      <c r="J401" t="n">
        <v>96</v>
      </c>
      <c r="K401" t="n">
        <v>3</v>
      </c>
      <c r="L401" t="inlineStr">
        <is>
          <t>Discharged</t>
        </is>
      </c>
      <c r="M401" s="27" t="n"/>
      <c r="N401" s="27" t="n"/>
      <c r="O401" s="27" t="n"/>
      <c r="P401" s="27" t="n"/>
      <c r="Q401" s="29" t="n"/>
      <c r="R401" s="27" t="n"/>
    </row>
    <row r="402">
      <c r="A402" t="inlineStr">
        <is>
          <t>ED212263</t>
        </is>
      </c>
      <c r="B402" s="26" t="n">
        <v>46020.84305555555</v>
      </c>
      <c r="C402" t="inlineStr">
        <is>
          <t>Walk-In</t>
        </is>
      </c>
      <c r="D402" t="n">
        <v>3</v>
      </c>
      <c r="E402" t="inlineStr">
        <is>
          <t>Seizure</t>
        </is>
      </c>
      <c r="F402" s="28" t="n">
        <v>98</v>
      </c>
      <c r="G402" t="n">
        <v>85</v>
      </c>
      <c r="H402" t="n">
        <v>22</v>
      </c>
      <c r="I402" t="n">
        <v>98</v>
      </c>
      <c r="J402" t="n">
        <v>98</v>
      </c>
      <c r="K402" t="n">
        <v>0</v>
      </c>
      <c r="L402" t="inlineStr">
        <is>
          <t>Discharged</t>
        </is>
      </c>
      <c r="M402" s="27" t="n"/>
      <c r="N402" s="27" t="n"/>
      <c r="O402" s="27" t="n"/>
      <c r="P402" s="27" t="n"/>
      <c r="Q402" s="29" t="n"/>
      <c r="R402" s="27" t="n"/>
    </row>
    <row r="403">
      <c r="A403" t="inlineStr">
        <is>
          <t>ED212265</t>
        </is>
      </c>
      <c r="B403" s="26" t="n">
        <v>46020.88611111111</v>
      </c>
      <c r="C403" t="inlineStr">
        <is>
          <t>Walk-In</t>
        </is>
      </c>
      <c r="D403" t="n">
        <v>3</v>
      </c>
      <c r="E403" t="inlineStr">
        <is>
          <t>Chest Pain</t>
        </is>
      </c>
      <c r="F403" s="28" t="n">
        <v>98.59999999999999</v>
      </c>
      <c r="G403" t="n">
        <v>76</v>
      </c>
      <c r="H403" t="n">
        <v>18</v>
      </c>
      <c r="I403" t="n">
        <v>137</v>
      </c>
      <c r="J403" t="n">
        <v>97</v>
      </c>
      <c r="K403" t="n">
        <v>6</v>
      </c>
      <c r="L403" t="inlineStr">
        <is>
          <t>Discharged</t>
        </is>
      </c>
      <c r="M403" s="27" t="n"/>
      <c r="N403" s="27" t="n"/>
      <c r="O403" s="27" t="n"/>
      <c r="P403" s="27" t="n"/>
      <c r="Q403" s="29" t="n"/>
      <c r="R403" s="27" t="n"/>
    </row>
    <row r="404">
      <c r="A404" t="inlineStr">
        <is>
          <t>ED212266</t>
        </is>
      </c>
      <c r="B404" s="26" t="n">
        <v>46020.93402777778</v>
      </c>
      <c r="C404" t="inlineStr">
        <is>
          <t>Walk-In</t>
        </is>
      </c>
      <c r="D404" t="n">
        <v>2</v>
      </c>
      <c r="E404" t="inlineStr">
        <is>
          <t>Cough / Trouble Breathing</t>
        </is>
      </c>
      <c r="F404" s="28" t="n">
        <v>98.09999999999999</v>
      </c>
      <c r="G404" t="n">
        <v>147</v>
      </c>
      <c r="H404" t="n">
        <v>42</v>
      </c>
      <c r="I404" t="n">
        <v>86</v>
      </c>
      <c r="J404" t="n">
        <v>91</v>
      </c>
      <c r="K404" t="n">
        <v>0</v>
      </c>
      <c r="L404" t="inlineStr">
        <is>
          <t>Discharged</t>
        </is>
      </c>
      <c r="M404" s="27" t="n"/>
      <c r="N404" s="27" t="n"/>
      <c r="O404" s="27" t="n"/>
      <c r="P404" s="27" t="n"/>
      <c r="Q404" s="29" t="n"/>
      <c r="R404" s="27" t="n"/>
    </row>
    <row r="405">
      <c r="A405" t="inlineStr">
        <is>
          <t>ED212267</t>
        </is>
      </c>
      <c r="B405" s="26" t="n">
        <v>46021.04583333333</v>
      </c>
      <c r="C405" t="inlineStr">
        <is>
          <t>Walk-In</t>
        </is>
      </c>
      <c r="D405" t="n">
        <v>3</v>
      </c>
      <c r="E405" t="inlineStr">
        <is>
          <t>Chest Pain</t>
        </is>
      </c>
      <c r="F405" s="28" t="n">
        <v>98</v>
      </c>
      <c r="G405" t="n">
        <v>85</v>
      </c>
      <c r="H405" t="n">
        <v>17</v>
      </c>
      <c r="I405" t="n">
        <v>103</v>
      </c>
      <c r="J405" t="n">
        <v>97</v>
      </c>
      <c r="K405" t="n">
        <v>4</v>
      </c>
      <c r="L405" t="inlineStr">
        <is>
          <t>Discharged</t>
        </is>
      </c>
      <c r="M405" s="27" t="n"/>
      <c r="N405" s="27" t="n"/>
      <c r="O405" s="27" t="n"/>
      <c r="P405" s="27" t="n"/>
      <c r="Q405" s="29" t="n"/>
      <c r="R405" s="27" t="n"/>
    </row>
    <row r="406">
      <c r="A406" t="inlineStr">
        <is>
          <t>ED212268</t>
        </is>
      </c>
      <c r="B406" s="26" t="n">
        <v>46021.34444444445</v>
      </c>
      <c r="C406" t="inlineStr">
        <is>
          <t>Ambulance</t>
        </is>
      </c>
      <c r="D406" t="n">
        <v>3</v>
      </c>
      <c r="E406" t="inlineStr">
        <is>
          <t>Headache</t>
        </is>
      </c>
      <c r="F406" s="28" t="n">
        <v>98.8</v>
      </c>
      <c r="G406" t="n">
        <v>67</v>
      </c>
      <c r="H406" t="n">
        <v>15</v>
      </c>
      <c r="I406" t="n">
        <v>157</v>
      </c>
      <c r="J406" t="n">
        <v>99</v>
      </c>
      <c r="K406" t="n">
        <v>4</v>
      </c>
      <c r="L406" t="inlineStr">
        <is>
          <t>Discharged</t>
        </is>
      </c>
      <c r="M406" s="27" t="n"/>
      <c r="N406" s="27" t="n"/>
      <c r="O406" s="27" t="n"/>
      <c r="P406" s="27" t="n"/>
      <c r="Q406" s="29" t="n"/>
      <c r="R406" s="27" t="n"/>
    </row>
    <row r="407">
      <c r="A407" t="inlineStr">
        <is>
          <t>ED212269</t>
        </is>
      </c>
      <c r="B407" s="26" t="n">
        <v>46021.37916666667</v>
      </c>
      <c r="C407" t="inlineStr">
        <is>
          <t>Walk-In</t>
        </is>
      </c>
      <c r="D407" t="n">
        <v>4</v>
      </c>
      <c r="E407" t="inlineStr">
        <is>
          <t>Headache</t>
        </is>
      </c>
      <c r="F407" s="28" t="n">
        <v>98.5</v>
      </c>
      <c r="G407" t="n">
        <v>78</v>
      </c>
      <c r="H407" t="n">
        <v>14</v>
      </c>
      <c r="I407" t="n">
        <v>168</v>
      </c>
      <c r="J407" t="n">
        <v>99</v>
      </c>
      <c r="K407" t="n">
        <v>5</v>
      </c>
      <c r="L407" t="inlineStr">
        <is>
          <t>Discharged</t>
        </is>
      </c>
      <c r="M407" s="27" t="n"/>
      <c r="N407" s="27" t="n"/>
      <c r="O407" s="27" t="n"/>
      <c r="P407" s="27" t="n"/>
      <c r="Q407" s="29" t="n"/>
      <c r="R407" s="27" t="n"/>
    </row>
    <row r="408">
      <c r="A408" t="inlineStr">
        <is>
          <t>ED212270</t>
        </is>
      </c>
      <c r="B408" s="26" t="n">
        <v>46021.41458333333</v>
      </c>
      <c r="C408" t="inlineStr">
        <is>
          <t>Walk-In</t>
        </is>
      </c>
      <c r="D408" t="n">
        <v>3</v>
      </c>
      <c r="E408" t="inlineStr">
        <is>
          <t>Fainting</t>
        </is>
      </c>
      <c r="F408" s="28" t="n">
        <v>98.2</v>
      </c>
      <c r="G408" t="n">
        <v>73</v>
      </c>
      <c r="H408" t="n">
        <v>15</v>
      </c>
      <c r="I408" t="n">
        <v>118</v>
      </c>
      <c r="J408" t="n">
        <v>98</v>
      </c>
      <c r="K408" t="n">
        <v>0</v>
      </c>
      <c r="L408" t="inlineStr">
        <is>
          <t>Observation</t>
        </is>
      </c>
      <c r="M408" s="27" t="n"/>
      <c r="N408" s="27" t="n"/>
      <c r="O408" s="27" t="n"/>
      <c r="P408" s="27" t="n"/>
      <c r="Q408" s="29" t="n"/>
      <c r="R408" s="27" t="n"/>
    </row>
    <row r="409">
      <c r="A409" t="inlineStr">
        <is>
          <t>ED212271</t>
        </is>
      </c>
      <c r="B409" s="26" t="n">
        <v>46021.47708333333</v>
      </c>
      <c r="C409" t="inlineStr">
        <is>
          <t>Walk-In</t>
        </is>
      </c>
      <c r="D409" t="n">
        <v>4</v>
      </c>
      <c r="E409" t="inlineStr">
        <is>
          <t>Cough / Fever</t>
        </is>
      </c>
      <c r="F409" s="28" t="n">
        <v>98.2</v>
      </c>
      <c r="G409" t="n">
        <v>82</v>
      </c>
      <c r="H409" t="n">
        <v>22</v>
      </c>
      <c r="I409" t="n">
        <v>126</v>
      </c>
      <c r="J409" t="n">
        <v>98</v>
      </c>
      <c r="K409" t="n">
        <v>3</v>
      </c>
      <c r="L409" t="inlineStr">
        <is>
          <t>Discharged</t>
        </is>
      </c>
      <c r="M409" s="27" t="n"/>
      <c r="N409" s="27" t="n"/>
      <c r="O409" s="27" t="n"/>
      <c r="P409" s="27" t="n"/>
      <c r="Q409" s="29" t="n"/>
      <c r="R409" s="27" t="n"/>
    </row>
    <row r="410">
      <c r="A410" t="inlineStr">
        <is>
          <t>ED212273</t>
        </is>
      </c>
      <c r="B410" s="26" t="n">
        <v>46021.49305555555</v>
      </c>
      <c r="C410" t="inlineStr">
        <is>
          <t>Walk-In</t>
        </is>
      </c>
      <c r="D410" t="n">
        <v>4</v>
      </c>
      <c r="E410" t="inlineStr">
        <is>
          <t>Cough / Fever</t>
        </is>
      </c>
      <c r="F410" s="28" t="n">
        <v>97.7</v>
      </c>
      <c r="G410" t="n">
        <v>75</v>
      </c>
      <c r="H410" t="n">
        <v>18</v>
      </c>
      <c r="I410" t="n">
        <v>121</v>
      </c>
      <c r="J410" t="n">
        <v>97</v>
      </c>
      <c r="K410" t="n">
        <v>1</v>
      </c>
      <c r="L410" t="inlineStr">
        <is>
          <t>Discharged</t>
        </is>
      </c>
      <c r="M410" s="27" t="n"/>
      <c r="N410" s="27" t="n"/>
      <c r="O410" s="27" t="n"/>
      <c r="P410" s="27" t="n"/>
      <c r="Q410" s="29" t="n"/>
      <c r="R410" s="27" t="n"/>
    </row>
    <row r="411">
      <c r="A411" t="inlineStr">
        <is>
          <t>ED212274</t>
        </is>
      </c>
      <c r="B411" s="26" t="n">
        <v>46021.67847222222</v>
      </c>
      <c r="C411" t="inlineStr">
        <is>
          <t>Walk-In</t>
        </is>
      </c>
      <c r="D411" t="n">
        <v>4</v>
      </c>
      <c r="E411" t="inlineStr">
        <is>
          <t>Cough / Fever</t>
        </is>
      </c>
      <c r="F411" s="28" t="n">
        <v>98.90000000000001</v>
      </c>
      <c r="G411" t="n">
        <v>78</v>
      </c>
      <c r="H411" t="n">
        <v>17</v>
      </c>
      <c r="I411" t="n">
        <v>136</v>
      </c>
      <c r="J411" t="n">
        <v>100</v>
      </c>
      <c r="K411" t="n">
        <v>1</v>
      </c>
      <c r="L411" t="inlineStr">
        <is>
          <t>Discharged</t>
        </is>
      </c>
      <c r="M411" s="27" t="n"/>
      <c r="N411" s="27" t="n"/>
      <c r="O411" s="27" t="n"/>
      <c r="P411" s="27" t="n"/>
      <c r="Q411" s="29" t="n"/>
      <c r="R411" s="27" t="n"/>
    </row>
    <row r="412">
      <c r="A412" t="inlineStr">
        <is>
          <t>ED212277</t>
        </is>
      </c>
      <c r="B412" s="26" t="n">
        <v>46021.88611111111</v>
      </c>
      <c r="C412" t="inlineStr">
        <is>
          <t>Ambulance</t>
        </is>
      </c>
      <c r="D412" t="n">
        <v>3</v>
      </c>
      <c r="E412" t="inlineStr">
        <is>
          <t>Cough / Fever</t>
        </is>
      </c>
      <c r="F412" s="28" t="n">
        <v>102.8</v>
      </c>
      <c r="G412" t="n">
        <v>104</v>
      </c>
      <c r="H412" t="n">
        <v>26</v>
      </c>
      <c r="I412" t="n">
        <v>133</v>
      </c>
      <c r="J412" t="n">
        <v>88</v>
      </c>
      <c r="K412" t="n">
        <v>1</v>
      </c>
      <c r="L412" t="inlineStr">
        <is>
          <t>Discharged</t>
        </is>
      </c>
      <c r="M412" s="27" t="n"/>
      <c r="N412" s="27" t="n"/>
      <c r="O412" s="27" t="n"/>
      <c r="P412" s="27" t="n"/>
      <c r="Q412" s="29" t="n"/>
      <c r="R412" s="27" t="n"/>
    </row>
    <row r="413">
      <c r="A413" t="inlineStr">
        <is>
          <t>ED212278</t>
        </is>
      </c>
      <c r="B413" s="26" t="n">
        <v>46022.30208333334</v>
      </c>
      <c r="C413" t="inlineStr">
        <is>
          <t>Walk-In</t>
        </is>
      </c>
      <c r="D413" t="n">
        <v>3</v>
      </c>
      <c r="E413" t="inlineStr">
        <is>
          <t>Cough / Trouble Breathing</t>
        </is>
      </c>
      <c r="F413" s="28" t="n">
        <v>98.40000000000001</v>
      </c>
      <c r="G413" t="n">
        <v>138</v>
      </c>
      <c r="H413" t="n">
        <v>35</v>
      </c>
      <c r="I413" t="n">
        <v>101</v>
      </c>
      <c r="J413" t="n">
        <v>87</v>
      </c>
      <c r="K413" t="n">
        <v>3</v>
      </c>
      <c r="L413" t="inlineStr">
        <is>
          <t>Left AMA</t>
        </is>
      </c>
      <c r="M413" s="27" t="n"/>
      <c r="N413" s="27" t="n"/>
      <c r="O413" s="27" t="n"/>
      <c r="P413" s="27" t="n"/>
      <c r="Q413" s="29" t="n"/>
      <c r="R413" s="27" t="n"/>
    </row>
    <row r="414">
      <c r="A414" t="inlineStr">
        <is>
          <t>ED212279</t>
        </is>
      </c>
      <c r="B414" s="26" t="n">
        <v>46022.40208333333</v>
      </c>
      <c r="C414" t="inlineStr">
        <is>
          <t>Walk-In</t>
        </is>
      </c>
      <c r="D414" t="n">
        <v>4</v>
      </c>
      <c r="E414" t="inlineStr">
        <is>
          <t>Cough / Fever</t>
        </is>
      </c>
      <c r="F414" s="28" t="n">
        <v>101.1</v>
      </c>
      <c r="G414" t="n">
        <v>108</v>
      </c>
      <c r="H414" t="n">
        <v>18</v>
      </c>
      <c r="I414" t="n">
        <v>85</v>
      </c>
      <c r="J414" t="n">
        <v>91</v>
      </c>
      <c r="K414" t="n">
        <v>1</v>
      </c>
      <c r="L414" t="inlineStr">
        <is>
          <t>Discharged</t>
        </is>
      </c>
      <c r="M414" s="27" t="n"/>
      <c r="N414" s="27" t="n"/>
      <c r="O414" s="27" t="n"/>
      <c r="P414" s="27" t="n"/>
      <c r="Q414" s="29" t="n"/>
      <c r="R414" s="27" t="n"/>
    </row>
    <row r="415">
      <c r="A415" t="inlineStr">
        <is>
          <t>ED212281</t>
        </is>
      </c>
      <c r="B415" s="26" t="n">
        <v>46022.46041666667</v>
      </c>
      <c r="C415" t="inlineStr">
        <is>
          <t>Walk-In</t>
        </is>
      </c>
      <c r="D415" t="n">
        <v>3</v>
      </c>
      <c r="E415" t="inlineStr">
        <is>
          <t>Headache</t>
        </is>
      </c>
      <c r="F415" s="28" t="n">
        <v>99.7</v>
      </c>
      <c r="G415" t="n">
        <v>87</v>
      </c>
      <c r="H415" t="n">
        <v>16</v>
      </c>
      <c r="I415" t="n">
        <v>191</v>
      </c>
      <c r="J415" t="n">
        <v>98</v>
      </c>
      <c r="K415" t="n">
        <v>0</v>
      </c>
      <c r="L415" t="inlineStr">
        <is>
          <t>Discharged</t>
        </is>
      </c>
      <c r="M415" s="27" t="n"/>
      <c r="N415" s="27" t="n"/>
      <c r="O415" s="27" t="n"/>
      <c r="P415" s="27" t="n"/>
      <c r="Q415" s="29" t="n"/>
      <c r="R415" s="27" t="n"/>
    </row>
    <row r="416">
      <c r="A416" t="inlineStr">
        <is>
          <t>ED212282</t>
        </is>
      </c>
      <c r="B416" s="26" t="n">
        <v>46022.48680555556</v>
      </c>
      <c r="C416" t="inlineStr">
        <is>
          <t>Walk-In</t>
        </is>
      </c>
      <c r="D416" t="n">
        <v>3</v>
      </c>
      <c r="E416" t="inlineStr">
        <is>
          <t>Vomiting / Dizziness</t>
        </is>
      </c>
      <c r="F416" s="28" t="n">
        <v>97.59999999999999</v>
      </c>
      <c r="G416" t="n">
        <v>87</v>
      </c>
      <c r="H416" t="n">
        <v>13</v>
      </c>
      <c r="I416" t="n">
        <v>95</v>
      </c>
      <c r="J416" t="n">
        <v>98</v>
      </c>
      <c r="K416" t="n">
        <v>0</v>
      </c>
      <c r="L416" t="inlineStr">
        <is>
          <t>Discharged</t>
        </is>
      </c>
      <c r="M416" s="27" t="n"/>
      <c r="N416" s="27" t="n"/>
      <c r="O416" s="27" t="n"/>
      <c r="P416" s="27" t="n"/>
      <c r="Q416" s="29" t="n"/>
      <c r="R416" s="27" t="n"/>
    </row>
    <row r="417">
      <c r="A417" t="inlineStr">
        <is>
          <t>ED212283</t>
        </is>
      </c>
      <c r="B417" s="26" t="n">
        <v>46022.48888888889</v>
      </c>
      <c r="C417" t="inlineStr">
        <is>
          <t>Walk-In</t>
        </is>
      </c>
      <c r="D417" t="n">
        <v>4</v>
      </c>
      <c r="E417" t="inlineStr">
        <is>
          <t>Vomiting / Dizziness</t>
        </is>
      </c>
      <c r="F417" s="28" t="n">
        <v>98.09999999999999</v>
      </c>
      <c r="G417" t="n">
        <v>113</v>
      </c>
      <c r="H417" t="n">
        <v>18</v>
      </c>
      <c r="I417" t="n">
        <v>176</v>
      </c>
      <c r="J417" t="n">
        <v>97</v>
      </c>
      <c r="K417" t="n">
        <v>0</v>
      </c>
      <c r="L417" t="inlineStr">
        <is>
          <t>Discharged</t>
        </is>
      </c>
      <c r="M417" s="27" t="n"/>
      <c r="N417" s="27" t="n"/>
      <c r="O417" s="27" t="n"/>
      <c r="P417" s="27" t="n"/>
      <c r="Q417" s="29" t="n"/>
      <c r="R417" s="27" t="n"/>
    </row>
    <row r="418">
      <c r="A418" t="inlineStr">
        <is>
          <t>ED212284</t>
        </is>
      </c>
      <c r="B418" s="26" t="n">
        <v>46022.49444444444</v>
      </c>
      <c r="C418" t="inlineStr">
        <is>
          <t>Ambulance</t>
        </is>
      </c>
      <c r="D418" t="n">
        <v>2</v>
      </c>
      <c r="E418" t="inlineStr">
        <is>
          <t>Shortness of Breath</t>
        </is>
      </c>
      <c r="F418" s="28" t="n">
        <v>98</v>
      </c>
      <c r="G418" t="n">
        <v>90</v>
      </c>
      <c r="H418" t="n">
        <v>24</v>
      </c>
      <c r="I418" t="n">
        <v>131</v>
      </c>
      <c r="J418" t="n">
        <v>95</v>
      </c>
      <c r="K418" t="n">
        <v>0</v>
      </c>
      <c r="L418" t="inlineStr">
        <is>
          <t>Discharged</t>
        </is>
      </c>
      <c r="M418" s="27" t="n"/>
      <c r="N418" s="27" t="n"/>
      <c r="O418" s="27" t="n"/>
      <c r="P418" s="27" t="n"/>
      <c r="Q418" s="29" t="n"/>
      <c r="R418" s="27" t="n"/>
    </row>
    <row r="419">
      <c r="A419" t="inlineStr">
        <is>
          <t>ED212286</t>
        </is>
      </c>
      <c r="B419" s="26" t="n">
        <v>46022.57430555556</v>
      </c>
      <c r="C419" t="inlineStr">
        <is>
          <t>Walk-In</t>
        </is>
      </c>
      <c r="D419" t="n">
        <v>4</v>
      </c>
      <c r="E419" t="inlineStr">
        <is>
          <t>Cough / Fever</t>
        </is>
      </c>
      <c r="F419" s="28" t="n">
        <v>98.7</v>
      </c>
      <c r="G419" t="n">
        <v>62</v>
      </c>
      <c r="H419" t="n">
        <v>18</v>
      </c>
      <c r="I419" t="n">
        <v>124</v>
      </c>
      <c r="J419" t="n">
        <v>97</v>
      </c>
      <c r="K419" t="n">
        <v>0</v>
      </c>
      <c r="L419" t="inlineStr">
        <is>
          <t>Discharged</t>
        </is>
      </c>
      <c r="M419" s="27" t="n"/>
      <c r="N419" s="27" t="n"/>
      <c r="O419" s="27" t="n"/>
      <c r="P419" s="27" t="n"/>
      <c r="Q419" s="29" t="n"/>
      <c r="R419" s="27" t="n"/>
    </row>
    <row r="420">
      <c r="A420" t="inlineStr">
        <is>
          <t>ED212287</t>
        </is>
      </c>
      <c r="B420" s="26" t="n">
        <v>46022.61319444444</v>
      </c>
      <c r="C420" t="inlineStr">
        <is>
          <t>Walk-In</t>
        </is>
      </c>
      <c r="D420" t="n">
        <v>3</v>
      </c>
      <c r="E420" t="inlineStr">
        <is>
          <t>Cough / Trouble Breathing</t>
        </is>
      </c>
      <c r="F420" s="28" t="n">
        <v>97.5</v>
      </c>
      <c r="G420" t="n">
        <v>114</v>
      </c>
      <c r="H420" t="n">
        <v>35</v>
      </c>
      <c r="J420" t="n">
        <v>89</v>
      </c>
      <c r="K420" t="n">
        <v>2</v>
      </c>
      <c r="L420" t="inlineStr">
        <is>
          <t>Discharged</t>
        </is>
      </c>
      <c r="M420" s="27" t="n"/>
      <c r="N420" s="27" t="n"/>
      <c r="O420" s="27" t="n"/>
      <c r="P420" s="27" t="n"/>
      <c r="Q420" s="29" t="n"/>
      <c r="R420" s="27" t="n"/>
    </row>
    <row r="421">
      <c r="A421" t="inlineStr">
        <is>
          <t>ED212288</t>
        </is>
      </c>
      <c r="B421" s="26" t="n">
        <v>46022.62222222222</v>
      </c>
      <c r="C421" t="inlineStr">
        <is>
          <t>Walk-In</t>
        </is>
      </c>
      <c r="D421" t="n">
        <v>4</v>
      </c>
      <c r="E421" t="inlineStr">
        <is>
          <t>Headache</t>
        </is>
      </c>
      <c r="F421" s="28" t="n">
        <v>97.5</v>
      </c>
      <c r="G421" t="n">
        <v>80</v>
      </c>
      <c r="H421" t="n">
        <v>14</v>
      </c>
      <c r="I421" t="n">
        <v>151</v>
      </c>
      <c r="J421" t="n">
        <v>96</v>
      </c>
      <c r="K421" t="n">
        <v>6</v>
      </c>
      <c r="L421" t="inlineStr">
        <is>
          <t>Discharged</t>
        </is>
      </c>
      <c r="M421" s="27" t="n"/>
      <c r="N421" s="27" t="n"/>
      <c r="O421" s="27" t="n"/>
      <c r="P421" s="27" t="n"/>
      <c r="Q421" s="29" t="n"/>
      <c r="R421" s="27" t="n"/>
    </row>
    <row r="422">
      <c r="A422" t="inlineStr">
        <is>
          <t>ED212290</t>
        </is>
      </c>
      <c r="B422" s="26" t="n">
        <v>46022.67777777778</v>
      </c>
      <c r="C422" t="inlineStr">
        <is>
          <t>Walk-In</t>
        </is>
      </c>
      <c r="D422" t="n">
        <v>3</v>
      </c>
      <c r="E422" t="inlineStr">
        <is>
          <t>Abdominal Pain</t>
        </is>
      </c>
      <c r="F422" s="28" t="n">
        <v>98.5</v>
      </c>
      <c r="G422" t="n">
        <v>97</v>
      </c>
      <c r="H422" t="n">
        <v>14</v>
      </c>
      <c r="I422" t="n">
        <v>128</v>
      </c>
      <c r="J422" t="n">
        <v>98</v>
      </c>
      <c r="K422" t="n">
        <v>4</v>
      </c>
      <c r="L422" t="inlineStr">
        <is>
          <t>Discharged</t>
        </is>
      </c>
      <c r="M422" s="27" t="n"/>
      <c r="N422" s="27" t="n"/>
      <c r="O422" s="27" t="n"/>
      <c r="P422" s="27" t="n"/>
      <c r="Q422" s="29" t="n"/>
      <c r="R422" s="27" t="n"/>
    </row>
    <row r="423">
      <c r="A423" t="inlineStr">
        <is>
          <t>ED212291</t>
        </is>
      </c>
      <c r="B423" s="26" t="n">
        <v>46022.68402777778</v>
      </c>
      <c r="C423" t="inlineStr">
        <is>
          <t>Walk-In</t>
        </is>
      </c>
      <c r="D423" t="n">
        <v>2</v>
      </c>
      <c r="E423" t="inlineStr">
        <is>
          <t>Shortness of Breath</t>
        </is>
      </c>
      <c r="F423" s="28" t="n">
        <v>98.7</v>
      </c>
      <c r="G423" t="n">
        <v>108</v>
      </c>
      <c r="H423" t="n">
        <v>25</v>
      </c>
      <c r="I423" t="n">
        <v>129</v>
      </c>
      <c r="J423" t="n">
        <v>90</v>
      </c>
      <c r="K423" t="n">
        <v>0</v>
      </c>
      <c r="L423" t="inlineStr">
        <is>
          <t>Discharged</t>
        </is>
      </c>
      <c r="M423" s="27" t="n"/>
      <c r="N423" s="27" t="n"/>
      <c r="O423" s="27" t="n"/>
      <c r="P423" s="27" t="n"/>
      <c r="Q423" s="29" t="n"/>
      <c r="R423" s="27" t="n"/>
    </row>
    <row r="424">
      <c r="A424" t="inlineStr">
        <is>
          <t>ED212292</t>
        </is>
      </c>
      <c r="B424" s="26" t="n">
        <v>46022.74722222222</v>
      </c>
      <c r="C424" t="inlineStr">
        <is>
          <t>Walk-In</t>
        </is>
      </c>
      <c r="D424" t="n">
        <v>4</v>
      </c>
      <c r="E424" t="inlineStr">
        <is>
          <t>Painful Urination / Fever</t>
        </is>
      </c>
      <c r="F424" s="28" t="n">
        <v>100.2</v>
      </c>
      <c r="G424" t="n">
        <v>86</v>
      </c>
      <c r="H424" t="n">
        <v>14</v>
      </c>
      <c r="I424" t="n">
        <v>121</v>
      </c>
      <c r="J424" t="n">
        <v>98</v>
      </c>
      <c r="K424" t="n">
        <v>0</v>
      </c>
      <c r="L424" t="inlineStr">
        <is>
          <t>Discharged</t>
        </is>
      </c>
      <c r="M424" s="27" t="n"/>
      <c r="N424" s="27" t="n"/>
      <c r="O424" s="27" t="n"/>
      <c r="P424" s="27" t="n"/>
      <c r="Q424" s="29" t="n"/>
      <c r="R424" s="27"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2.1 · Bonus: A qSOFA-style sepsis screen at triage</t>
        </is>
      </c>
    </row>
    <row r="2" ht="64" customHeight="1">
      <c r="A2" s="14" t="inlineStr">
        <is>
          <t>The sepsis committee wants to know what a quick qSOFA-style screen would flag if triage nurses scored every ED patient. This simplified, educational version (not clinical guidance) gives one point for each of three findings. (1) RespRate is 22 or more. (2) SystolicBP is 100 or less. A blank (not recorded) SystolicBP earns NO point. (3) Altered mentation, meaning the ChiefComplaint contains the word "Altered" or "Confusion" anywhere. A score of 2 or more is screen-positive. Build the score in the yellow qSOFA column on the ED sheet, then answer the questions.</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Fill the qSOFA column (0–3) on the ED sheet, starting in R2. The gray cell adds up your whole column. What is the total number of qSOFA points?</t>
        </is>
      </c>
      <c r="C6" s="20" t="inlineStr">
        <is>
          <t>Add three tests. Guard the BP test with I2&lt;&gt;"". ISNUMBER(SEARCH("altered", E2)) tests 'contains'</t>
        </is>
      </c>
      <c r="D6" cm="1" s="23">
        <f t="array" ref="D6">IF(COUNTA('ED'!$R$2:$R$424)=0,"",SUM('ED'!$R$2:$R$424))</f>
        <v/>
      </c>
      <c r="E6" s="22">
        <f>IF(IFERROR(D6="",FALSE),"",IF(IFERROR(AND(ISNUMBER(D6),OR(ABS(D6-'Bonus Key'!$C$5)&lt;=0.0001)),FALSE),"✔ Correct","✘ Not yet"))</f>
        <v/>
      </c>
    </row>
    <row r="7" ht="30" customHeight="1">
      <c r="A7" s="18" t="inlineStr">
        <is>
          <t>B2</t>
        </is>
      </c>
      <c r="B7" s="19" t="inlineStr">
        <is>
          <t>How many visits are screen-positive (a qSOFA score of 2 or more)?</t>
        </is>
      </c>
      <c r="C7" s="20" t="inlineStr">
        <is>
          <t>COUNTIF on your qSOFA column</t>
        </is>
      </c>
      <c r="D7" s="21" t="n"/>
      <c r="E7" s="22">
        <f>IF(IFERROR(D7="",FALSE),"",IF(IFERROR(AND(ISNUMBER(D7),OR(ABS(D7-'Bonus Key'!$C$6)&lt;=0.0001)),FALSE),"✔ Correct","✘ Not yet"))</f>
        <v/>
      </c>
    </row>
    <row r="8" ht="36" customHeight="1">
      <c r="A8" s="18" t="inlineStr">
        <is>
          <t>B3</t>
        </is>
      </c>
      <c r="B8" s="19" t="inlineStr">
        <is>
          <t>What was the average HeartRate of the screen-positive visits? Round to 1 decimal place.</t>
        </is>
      </c>
      <c r="C8" s="20" t="inlineStr">
        <is>
          <t>AVERAGE(IF(test_range&gt;=2, values_range)). AVERAGEIF (Lesson 2.5) also works</t>
        </is>
      </c>
      <c r="D8" s="30" t="n"/>
      <c r="E8" s="22">
        <f>IF(IFERROR(D8="",FALSE),"",IF(IFERROR(AND(ISNUMBER(D8),OR(ABS(D8-'Bonus Key'!$C$7)&lt;=0.051)),FALSE),"✔ Correct","✘ Not yet"))</f>
        <v/>
      </c>
    </row>
    <row r="9" ht="36" customHeight="1">
      <c r="A9" s="18" t="inlineStr">
        <is>
          <t>B4</t>
        </is>
      </c>
      <c r="B9" s="19" t="inlineStr">
        <is>
          <t>Safety check: how many screen-positive visits ended with EDDisposition "Discharged" (sent home)?</t>
        </is>
      </c>
      <c r="C9" s="20" t="inlineStr">
        <is>
          <t>Two conditions over whole columns: multiply the TRUE/FALSE lists</t>
        </is>
      </c>
      <c r="D9" s="21" t="n"/>
      <c r="E9" s="22">
        <f>IF(IFERROR(D9="",FALSE),"",IF(IFERROR(AND(ISNUMBER(D9),OR(ABS(D9-'Bonus Key'!$C$8)&lt;=0.0001)),FALSE),"✔ Correct","✘ Not yet"))</f>
        <v/>
      </c>
    </row>
    <row r="10" ht="51" customHeight="1">
      <c r="A10" s="18" t="inlineStr">
        <is>
          <t>B5</t>
        </is>
      </c>
      <c r="B10" s="19" t="inlineStr">
        <is>
          <t>The two screens don't always agree. How many visits are qSOFA screen-positive (2 or more) but NOT SIRS-positive (SIRS score below 2 in your SIRS column from task 9)?</t>
        </is>
      </c>
      <c r="C10" s="20" t="inlineStr">
        <is>
          <t>Same pattern as B4. 'NOT SIRS-positive' is simply SIRS&lt;2</t>
        </is>
      </c>
      <c r="D10" s="21" t="n"/>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31" t="inlineStr">
        <is>
          <t>🔑 Answer Key — Lesson 2.1</t>
        </is>
      </c>
    </row>
    <row r="2" ht="32" customHeight="1">
      <c r="A2" s="32" t="inlineStr">
        <is>
          <t>Spoiler alert — try every task before reading this sheet. Column C is the value the Check column compares against. Column D is a sample solution; column E is that same formula, live, proving it works.</t>
        </is>
      </c>
    </row>
    <row r="4">
      <c r="A4" s="33" t="inlineStr">
        <is>
          <t>#</t>
        </is>
      </c>
      <c r="B4" s="33" t="inlineStr">
        <is>
          <t>Task</t>
        </is>
      </c>
      <c r="C4" s="33" t="inlineStr">
        <is>
          <t>Answer</t>
        </is>
      </c>
      <c r="D4" s="33" t="inlineStr">
        <is>
          <t>Sample solution</t>
        </is>
      </c>
      <c r="E4" s="33" t="inlineStr">
        <is>
          <t>Live result</t>
        </is>
      </c>
      <c r="F4" s="33" t="inlineStr">
        <is>
          <t>Explanation</t>
        </is>
      </c>
    </row>
    <row r="5" ht="81" customHeight="1">
      <c r="A5" s="18" t="inlineStr">
        <is>
          <t>1</t>
        </is>
      </c>
      <c r="B5" s="19" t="inlineStr">
        <is>
          <t>Labs row 38 holds a White Blood Cell Count result of 11 K/uL. Write a comparison that returns TRUE if that ResultValue is greater than its RefHigh, and FALSE if not.</t>
        </is>
      </c>
      <c r="C5" s="34" t="b">
        <v>0</v>
      </c>
      <c r="D5" s="35" t="inlineStr">
        <is>
          <t>=Labs!E38&gt;Labs!H38</t>
        </is>
      </c>
      <c r="E5" cm="1" s="36">
        <f t="array" ref="E5">Labs!E38&gt;Labs!H38</f>
        <v/>
      </c>
      <c r="F5" s="19" t="inlineStr">
        <is>
          <t>A comparison always returns TRUE or FALSE. Here the result (11) is exactly equal to the upper limit (11), and *equal* is not *greater than*, so the answer is FALSE. With &gt;= it would be TRUE. Choosing between &gt; and &gt;= is a definition decision, so always check the rule you were given.</t>
        </is>
      </c>
    </row>
    <row r="6" ht="96" customHeight="1">
      <c r="A6" s="18" t="inlineStr">
        <is>
          <t>2</t>
        </is>
      </c>
      <c r="B6" s="19" t="inlineStr">
        <is>
          <t>How many of the lab results are above their reference high (ResultValue greater than RefHigh)? Use one formula that turns every row's comparison into a 1 or 0 and adds them up.</t>
        </is>
      </c>
      <c r="C6" s="34" t="n">
        <v>114</v>
      </c>
      <c r="D6" s="35" t="inlineStr">
        <is>
          <t>=SUMPRODUCT(--(Labs!E2:E392&gt;Labs!H2:H392))</t>
        </is>
      </c>
      <c r="E6" cm="1" s="36">
        <f t="array" ref="E6">SUMPRODUCT(--(Labs!E2:E392&gt;Labs!H2:H392))</f>
        <v/>
      </c>
      <c r="F6" s="19" t="inlineStr">
        <is>
          <t>Comparing two ranges row by row gives a list of TRUE/FALSE values. The double minus (--) converts them to 1s and 0s, and SUMPRODUCT adds them. In Microsoft 365 and Excel 2021 or later, =SUM(--(…&gt;…)) works too. Plain SUM over a column of TRUE/FALSE *cells* returns 0, because SUM ignores logical values stored in cells.</t>
        </is>
      </c>
    </row>
    <row r="7" ht="111" customHeight="1">
      <c r="A7" s="18" t="inlineStr">
        <is>
          <t>3</t>
        </is>
      </c>
      <c r="B7" s="19" t="inlineStr">
        <is>
          <t>Fill the yellow Flag column on the Labs sheet with a nested IF: "High" if ResultValue is greater than RefHigh, "Low" if it is less than RefLow, otherwise "Normal". A result exactly on a limit is Normal. Start in J2. The gray cell counts your "Normal" flags.</t>
        </is>
      </c>
      <c r="C7" s="34" t="n">
        <v>254</v>
      </c>
      <c r="D7" s="35" t="inlineStr">
        <is>
          <t>=IF(E2&gt;H2,"High",IF(E2&lt;G2,"Low","Normal"))</t>
        </is>
      </c>
      <c r="E7" cm="1" s="36">
        <f t="array" ref="E7">SUMPRODUCT((Labs!E2:E392&gt;=Labs!G2:G392)*(Labs!E2:E392&lt;=Labs!H2:H392))</f>
        <v/>
      </c>
      <c r="F7" s="19" t="inlineStr">
        <is>
          <t>The first IF handles High. Its *value_if_false* argument is a second IF that handles Low, and "Normal" is whatever is left. Because the tests use &gt; and &lt;, the 14 results sitting exactly on a limit fall through to Normal. In the Table you may see it as =IF([@ResultValue]&gt;[@RefHigh],"High",IF([@ResultValue]&lt;[@RefLow],"Low","Normal")), which is the same formula.</t>
        </is>
      </c>
    </row>
    <row r="8" ht="81" customHeight="1">
      <c r="A8" s="18" t="inlineStr">
        <is>
          <t>4</t>
        </is>
      </c>
      <c r="B8" s="19" t="inlineStr">
        <is>
          <t>Fill the yellow PainLevel column on the ED sheet with IFS: PainScore 0 is "None", 1–3 is "Mild", 4–6 is "Moderate", and 7–10 is "Severe". Start in M2. The gray cell counts your "Moderate" rows.</t>
        </is>
      </c>
      <c r="C8" s="34" t="n">
        <v>40</v>
      </c>
      <c r="D8" s="35" t="inlineStr">
        <is>
          <t>=IFS(K2=0,"None",K2&lt;=3,"Mild",K2&lt;=6,"Moderate",TRUE,"Severe")</t>
        </is>
      </c>
      <c r="E8" cm="1" s="36">
        <f t="array" ref="E8">SUMPRODUCT((ED!K2:K424&gt;=4)*(ED!K2:K424&lt;=6))</f>
        <v/>
      </c>
      <c r="F8" s="19" t="inlineStr">
        <is>
          <t>IFS returns the result of the first test that is TRUE, so order matters. Testing &lt;=3 before &lt;=6 means a score of 2 stops at "Mild" and never reaches "Moderate". The final TRUE,"Severe" pair is the catch-all for everything left (7–10). Without it, any value that fails every test returns #N/A.</t>
        </is>
      </c>
    </row>
    <row r="9" ht="111" customHeight="1">
      <c r="A9" s="18" t="inlineStr">
        <is>
          <t>5</t>
        </is>
      </c>
      <c r="B9" s="19" t="inlineStr">
        <is>
          <t>How many ED visits had an abnormal temperature: TempF above 100.4 OR below 96.8?</t>
        </is>
      </c>
      <c r="C9" s="34" t="n">
        <v>66</v>
      </c>
      <c r="D9" s="35" t="inlineStr">
        <is>
          <t>=SUMPRODUCT((ED!F2:F424&gt;100.4)+(ED!F2:F424&lt;96.8))</t>
        </is>
      </c>
      <c r="E9" cm="1" s="36">
        <f t="array" ref="E9">SUMPRODUCT((ED!F2:F424&gt;100.4)+(ED!F2:F424&lt;96.8))</f>
        <v/>
      </c>
      <c r="F9" s="19" t="inlineStr">
        <is>
          <t>+ acts as OR over whole ranges, because each row scores 1 if either test is TRUE. That's safe here because no temperature can be both above 100.4 and below 96.8. (When both tests *can* be TRUE, write --((…)+(…)&gt;0) so a row counts once. The -- is needed because &gt;0 turns the sums back into TRUE/FALSE.) =COUNTIF(ED!F2:F424,"&gt;100.4")+COUNTIF(ED!F2:F424,"&lt;96.8") gives the same answer.</t>
        </is>
      </c>
    </row>
    <row r="10" ht="96" customHeight="1">
      <c r="A10" s="18" t="inlineStr">
        <is>
          <t>6</t>
        </is>
      </c>
      <c r="B10" s="19" t="inlineStr">
        <is>
          <t>How many visits had BOTH a fever (TempF above 100.4) AND tachycardia (HeartRate above 90)?</t>
        </is>
      </c>
      <c r="C10" s="34" t="n">
        <v>44</v>
      </c>
      <c r="D10" s="35" t="inlineStr">
        <is>
          <t>=SUMPRODUCT((ED!F2:F424&gt;100.4)*(ED!G2:G424&gt;90))</t>
        </is>
      </c>
      <c r="E10" cm="1" s="36">
        <f t="array" ref="E10">SUMPRODUCT((ED!F2:F424&gt;100.4)*(ED!G2:G424&gt;90))</f>
        <v/>
      </c>
      <c r="F10" s="19" t="inlineStr">
        <is>
          <t>* acts as AND over whole ranges. 1 × 1 = 1 only when both tests are TRUE, and anything × 0 = 0. =SUMPRODUCT(--AND(…)) does not work, because AND collapses the whole range into a single TRUE or FALSE instead of testing row by row. To use the AND function itself, put =AND(F2&gt;100.4,G2&gt;90) in a helper column and count the TRUEs with COUNTIF(range,TRUE).</t>
        </is>
      </c>
    </row>
    <row r="11" ht="111" customHeight="1">
      <c r="A11" s="18" t="inlineStr">
        <is>
          <t>7</t>
        </is>
      </c>
      <c r="B11" s="19" t="inlineStr">
        <is>
          <t>The sepsis coordinator already reviews visits with both signs. How many visits had exactly ONE of the two: a fever (TempF above 100.4) or tachycardia (HeartRate above 90), but not both?</t>
        </is>
      </c>
      <c r="C11" s="34" t="n">
        <v>189</v>
      </c>
      <c r="D11" s="35" t="inlineStr">
        <is>
          <t>=SUMPRODUCT(--((ED!F2:F424&gt;100.4)&lt;&gt;(ED!G2:G424&gt;90)))</t>
        </is>
      </c>
      <c r="E11" cm="1" s="36">
        <f t="array" ref="E11">SUMPRODUCT(--((ED!F2:F424&gt;100.4)&lt;&gt;(ED!G2:G424&gt;90)))</f>
        <v/>
      </c>
      <c r="F11" s="19" t="inlineStr">
        <is>
          <t>"Exactly one of two" is XOR. =XOR(F2&gt;100.4,G2&gt;90) answers it for one row, so a helper column plus COUNTIF(range,TRUE) works. Over whole ranges, &lt;&gt; is XOR: TRUE&lt;&gt;FALSE is TRUE, while TRUE&lt;&gt;TRUE and FALSE&lt;&gt;FALSE are FALSE. Like AND and OR, the XOR function collapses a range into one value, so SUMPRODUCT(--XOR(range&gt;…, range&gt;…)) gives the wrong answer. Check: fever count + tachycardia count − 2 × both = exactly one.</t>
        </is>
      </c>
    </row>
    <row r="12" ht="111" customHeight="1">
      <c r="A12" s="18" t="inlineStr">
        <is>
          <t>8</t>
        </is>
      </c>
      <c r="B12" s="19" t="inlineStr">
        <is>
          <t>Fill the yellow FastTrack column: "Fast Track" when ESILevel is 4 or 5 AND ArrivalMode is "Walk-In" AND the ChiefComplaint is NOT "Chest Pain" or "Shortness of Breath" (it is neither one). Every other visit is "Main ED". Start in N2. The gray cell counts your "Fast Track" rows.</t>
        </is>
      </c>
      <c r="C12" s="34" t="n">
        <v>136</v>
      </c>
      <c r="D12" s="35" t="inlineStr">
        <is>
          <t>=IF(AND(D2&gt;=4,C2="Walk-In",NOT(OR(E2="Chest Pain",E2="Shortness of Breath"))),"Fast Track","Main ED")</t>
        </is>
      </c>
      <c r="E12" cm="1" s="36">
        <f t="array" ref="E12">SUMPRODUCT((ED!D2:D424&gt;=4)*(ED!C2:C424="Walk-In")*(ED!E2:E424&lt;&gt;"Chest Pain")*(ED!E2:E424&lt;&gt;"Shortness of Breath"))</f>
        <v/>
      </c>
      <c r="F12" s="19" t="inlineStr">
        <is>
          <t>AND needs all three parts to be TRUE. The third part, NOT(OR(complaint="Chest Pain", complaint="Shortness of Breath")), is TRUE only when the complaint is neither one. AND(…&lt;&gt;"Chest Pain", …&lt;&gt;"Shortness of Breath") is the same test written the other way round (De Morgan's law). ESILevel&gt;=4 covers 4 and 5 because ESI only goes up to 5. Text comparisons ignore case, so "walk-in" also matches.</t>
        </is>
      </c>
    </row>
    <row r="13" ht="111" customHeight="1">
      <c r="A13" s="18" t="inlineStr">
        <is>
          <t>9</t>
        </is>
      </c>
      <c r="B13" s="19" t="inlineStr">
        <is>
          <t>Fill the yellow SIRS column with a vital-sign SIRS score from 0 to 3: one point for an abnormal temperature (TempF above 100.4 OR below 96.8), one for HeartRate above 90, and one for RespRate above 20. Start in O2. The gray cell adds up your whole column.</t>
        </is>
      </c>
      <c r="C13" s="34" t="n">
        <v>397</v>
      </c>
      <c r="D13" s="35" t="inlineStr">
        <is>
          <t>=OR(F2&gt;100.4,F2&lt;96.8)+(G2&gt;90)+(H2&gt;20)</t>
        </is>
      </c>
      <c r="E13" cm="1" s="36">
        <f t="array" ref="E13">SUMPRODUCT(((ED!F2:F424&gt;100.4)+(ED!F2:F424&lt;96.8))+(ED!G2:G424&gt;90)+(ED!H2:H424&gt;20))</f>
        <v/>
      </c>
      <c r="F13" s="19" t="inlineStr">
        <is>
          <t>When you do arithmetic on TRUE/FALSE, Excel treats TRUE as 1 and FALSE as 0, so adding three tests gives a score from 0 to 3 with no IF at all. The temperature point uses OR because *either* direction counts, but only once. If your column shows TRUE/FALSE instead of numbers, you used AND/OR around everything. The full SIRS criteria also include the white-blood-cell count, which isn't on this sheet.</t>
        </is>
      </c>
    </row>
    <row r="14" ht="66" customHeight="1">
      <c r="A14" s="18" t="inlineStr">
        <is>
          <t>10</t>
        </is>
      </c>
      <c r="B14" s="19" t="inlineStr">
        <is>
          <t>How many visits are SIRS-positive, meaning a score of 2 or more in your SIRS column?</t>
        </is>
      </c>
      <c r="C14" s="34" t="n">
        <v>115</v>
      </c>
      <c r="D14" s="35" t="inlineStr">
        <is>
          <t>=COUNTIF(ED!O2:O424,"&gt;=2")</t>
        </is>
      </c>
      <c r="E14" cm="1" s="36">
        <f t="array" ref="E14">SUMPRODUCT(--((((ED!F2:F424&gt;100.4)+(ED!F2:F424&lt;96.8))+(ED!G2:G424&gt;90)+(ED!H2:H424&gt;20))&gt;=2))</f>
        <v/>
      </c>
      <c r="F14" s="19" t="inlineStr">
        <is>
          <t>Once the score is a number, COUNTIF can count any threshold. The key's live formula does the whole thing in one cell: it builds the score for every row as an array, then counts the rows where it is &gt;=2.</t>
        </is>
      </c>
    </row>
    <row r="15" ht="96" customHeight="1">
      <c r="A15" s="18" t="inlineStr">
        <is>
          <t>11</t>
        </is>
      </c>
      <c r="B15" s="19" t="inlineStr">
        <is>
          <t>Fill the yellow ESIName column with SWITCH: ESILevel 1 is "Resuscitation", 2 is "Emergent", 3 is "Urgent", 4 is "Less Urgent", 5 is "Non-Urgent". Start in P2. The gray cell counts your "Emergent" rows.</t>
        </is>
      </c>
      <c r="C15" s="34" t="n">
        <v>87</v>
      </c>
      <c r="D15" s="35" t="inlineStr">
        <is>
          <t>=SWITCH(D2,1,"Resuscitation",2,"Emergent",3,"Urgent",4,"Less Urgent",5,"Non-Urgent")</t>
        </is>
      </c>
      <c r="E15" cm="1" s="36">
        <f t="array" ref="E15">SUMPRODUCT(--(ED!D2:D424=2))</f>
        <v/>
      </c>
      <c r="F15" s="19" t="inlineStr">
        <is>
          <t>SWITCH compares one value against a list and returns the result paired with the first exact match. It's shorter than five nested IFs, and you write the cell reference only once. Leaving out a default is a deliberate choice here. If a bad code like 6 ever appears, SWITCH returns #N/A and the problem stays visible.</t>
        </is>
      </c>
    </row>
    <row r="16" ht="111" customHeight="1">
      <c r="A16" s="18" t="inlineStr">
        <is>
          <t>12</t>
        </is>
      </c>
      <c r="B16" s="19" t="inlineStr">
        <is>
          <t>Shock index = HeartRate ÷ SystolicBP, and 1.0 or more is a warning sign. Fill the yellow ShockIndex column, wrapping the division in IFERROR so the 12 visits with no SystolicBP show a blank ("") instead of #DIV/0!. Start in Q2. The gray cell counts visits with a shock index of 1.0 or higher (it asks you to fix any errors first).</t>
        </is>
      </c>
      <c r="C16" s="34" t="n">
        <v>54</v>
      </c>
      <c r="D16" s="35" t="inlineStr">
        <is>
          <t>=IFERROR(G2/I2,"")</t>
        </is>
      </c>
      <c r="E16" cm="1" s="36">
        <f t="array" ref="E16">SUMPRODUCT((ED!I2:I424&lt;&gt;"")*(ED!G2:G424&gt;=ED!I2:I424))</f>
        <v/>
      </c>
      <c r="F16" s="19" t="inlineStr">
        <is>
          <t>Dividing by an empty cell divides by zero, so those rows show #DIV/0!. IFERROR(G2/I2,"") returns the division when it works and an empty text string when it fails. COUNTIF then skips the blanks because they are text. =IF(I2="","",G2/I2) is an even better formula, because it handles the one problem you expect (a missing BP) and still lets any *other* mistake show up as an error.</t>
        </is>
      </c>
    </row>
    <row r="17" ht="96" customHeight="1">
      <c r="A17" s="18" t="inlineStr">
        <is>
          <t>13</t>
        </is>
      </c>
      <c r="B17" s="19" t="inlineStr">
        <is>
          <t>Visit ED211716 (ED row 13) has no SystolicBP. In the yellow cell, calculate its shock index again, but wrap the division in IFNA(…, "") instead of IFERROR. The check turns green when your cell shows the error that IFNA lets through.</t>
        </is>
      </c>
      <c r="C17" s="34" t="inlineStr">
        <is>
          <t>#DIV/0! (IFNA traps only #N/A, so the divide-by-zero error passes through)</t>
        </is>
      </c>
      <c r="D17" s="35" t="inlineStr">
        <is>
          <t>=IFNA(ED!G13/ED!I13,"")</t>
        </is>
      </c>
      <c r="E17" s="18" t="inlineStr">
        <is>
          <t>—</t>
        </is>
      </c>
      <c r="F17" s="19" t="inlineStr">
        <is>
          <t>IFERROR catches every error type. IFNA catches only #N/A, the "value not available" error that lookups return when they can't find a match (Lesson 2.6). A divide-by-zero is a different error, so IFNA hands it straight back. That's the point of IFNA. It hides the one error you expect and leaves every other mistake visible.</t>
        </is>
      </c>
    </row>
  </sheetData>
  <mergeCells count="1">
    <mergeCell ref="A2:F2"/>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31" t="inlineStr">
        <is>
          <t>🔑 Bonus Key — Lesson 2.1</t>
        </is>
      </c>
    </row>
    <row r="2" ht="32" customHeight="1">
      <c r="A2" s="32" t="inlineStr">
        <is>
          <t>Spoiler alert — try every task before reading this sheet. Column C is the value the Check column compares against. Column D is a sample solution; column E is that same formula, live, proving it works.</t>
        </is>
      </c>
    </row>
    <row r="4">
      <c r="A4" s="33" t="inlineStr">
        <is>
          <t>#</t>
        </is>
      </c>
      <c r="B4" s="33" t="inlineStr">
        <is>
          <t>Task</t>
        </is>
      </c>
      <c r="C4" s="33" t="inlineStr">
        <is>
          <t>Answer</t>
        </is>
      </c>
      <c r="D4" s="33" t="inlineStr">
        <is>
          <t>Sample solution</t>
        </is>
      </c>
      <c r="E4" s="33" t="inlineStr">
        <is>
          <t>Live result</t>
        </is>
      </c>
      <c r="F4" s="33" t="inlineStr">
        <is>
          <t>Explanation</t>
        </is>
      </c>
    </row>
    <row r="5" ht="171" customHeight="1">
      <c r="A5" s="18" t="inlineStr">
        <is>
          <t>B1</t>
        </is>
      </c>
      <c r="B5" s="19" t="inlineStr">
        <is>
          <t>Fill the qSOFA column (0–3) on the ED sheet, starting in R2. The gray cell adds up your whole column. What is the total number of qSOFA points?</t>
        </is>
      </c>
      <c r="C5" s="34" t="n">
        <v>165</v>
      </c>
      <c r="D5" s="35" t="inlineStr">
        <is>
          <t>=(H2&gt;=22)+AND(I2&lt;&gt;"",I2&lt;=100)+OR(ISNUMBER(SEARCH("altered",E2)),ISNUMBER(SEARCH("confusion",E2)))</t>
        </is>
      </c>
      <c r="E5" cm="1" s="36">
        <f t="array" ref="E5">SUMPRODUCT(((ED!H2:H424&gt;=22)+(ED!I2:I424&lt;&gt;"")*(ED!I2:I424&lt;=100)+ISNUMBER(SEARCH("altered",ED!E2:E424))+ISNUMBER(SEARCH("confusion",ED!E2:E424))))</f>
        <v/>
      </c>
      <c r="F5" s="19" t="inlineStr">
        <is>
          <t>Each part is a TRUE/FALSE test, and adding them gives the score. Watch for two traps. First, an empty cell counts as 0 in a comparison, so a bare I2&lt;=100 gives a point to every visit with no BP. AND(I2&lt;&gt;"",I2&lt;=100) scores only a recorded BP. Without that guard the 12 visits with no BP each gain a point, so the total is 177 instead of 165. Second, SEARCH returns the position of the text, or #VALUE! when it isn't there, so ISNUMBER(SEARCH(…)) turns that into TRUE/FALSE. SEARCH ignores case, so "altered" finds "Altered". Wrapping the two SEARCH tests in OR keeps the mentation point at 1 even if a complaint ever mentions both words.</t>
        </is>
      </c>
    </row>
    <row r="6" ht="66" customHeight="1">
      <c r="A6" s="18" t="inlineStr">
        <is>
          <t>B2</t>
        </is>
      </c>
      <c r="B6" s="19" t="inlineStr">
        <is>
          <t>How many visits are screen-positive (a qSOFA score of 2 or more)?</t>
        </is>
      </c>
      <c r="C6" s="34" t="n">
        <v>31</v>
      </c>
      <c r="D6" s="35" t="inlineStr">
        <is>
          <t>=COUNTIF(ED!R2:R424,"&gt;=2")</t>
        </is>
      </c>
      <c r="E6" cm="1" s="36">
        <f t="array" ref="E6">SUMPRODUCT(--(((ED!H2:H424&gt;=22)+(ED!I2:I424&lt;&gt;"")*(ED!I2:I424&lt;=100)+ISNUMBER(SEARCH("altered",ED!E2:E424))+ISNUMBER(SEARCH("confusion",ED!E2:E424)))&gt;=2))</f>
        <v/>
      </c>
      <c r="F6" s="19" t="inlineStr">
        <is>
          <t>Once the score is a number, COUNTIF counts any threshold. If your column scored the missing BPs, you'd count 35 here instead of 31, so the blank-cell guard changes a real quality number.</t>
        </is>
      </c>
    </row>
    <row r="7" ht="96" customHeight="1">
      <c r="A7" s="18" t="inlineStr">
        <is>
          <t>B3</t>
        </is>
      </c>
      <c r="B7" s="19" t="inlineStr">
        <is>
          <t>What was the average HeartRate of the screen-positive visits? Round to 1 decimal place.</t>
        </is>
      </c>
      <c r="C7" s="37" t="n">
        <v>115.8</v>
      </c>
      <c r="D7" s="35" t="inlineStr">
        <is>
          <t>=ROUND(AVERAGE(IF(ED!R2:R424&gt;=2,ED!G2:G424)),1)</t>
        </is>
      </c>
      <c r="E7" cm="1" s="38">
        <f t="array" ref="E7">ROUND(AVERAGE(IF(((ED!H2:H424&gt;=22)+(ED!I2:I424&lt;&gt;"")*(ED!I2:I424&lt;=100)+ISNUMBER(SEARCH("altered",ED!E2:E424))+ISNUMBER(SEARCH("confusion",ED!E2:E424)))&gt;=2,ED!G2:G424)),1)</f>
        <v/>
      </c>
      <c r="F7" s="19" t="inlineStr">
        <is>
          <t>IF(range&gt;=2, HeartRate) returns the heart rate for screen-positive rows and FALSE for the rest, and AVERAGE skips FALSE. Microsoft 365 and Excel 2021 evaluate this array formula automatically. In Excel 2019 and earlier, confirm it with Ctrl + Shift + Enter (Mac: ⌘ + Shift + Return). =AVERAGEIF(ED!R2:R424,"&gt;=2",ED!G2:G424) gives the same result.</t>
        </is>
      </c>
    </row>
    <row r="8" ht="66" customHeight="1">
      <c r="A8" s="18" t="inlineStr">
        <is>
          <t>B4</t>
        </is>
      </c>
      <c r="B8" s="19" t="inlineStr">
        <is>
          <t>Safety check: how many screen-positive visits ended with EDDisposition "Discharged" (sent home)?</t>
        </is>
      </c>
      <c r="C8" s="34" t="n">
        <v>19</v>
      </c>
      <c r="D8" s="35" t="inlineStr">
        <is>
          <t>=SUMPRODUCT((ED!R2:R424&gt;=2)*(ED!L2:L424="Discharged"))</t>
        </is>
      </c>
      <c r="E8" cm="1" s="36">
        <f t="array" ref="E8">SUMPRODUCT((((ED!H2:H424&gt;=22)+(ED!I2:I424&lt;&gt;"")*(ED!I2:I424&lt;=100)+ISNUMBER(SEARCH("altered",ED!E2:E424))+ISNUMBER(SEARCH("confusion",ED!E2:E424)))&gt;=2)*(ED!L2:L424="Discharged"))</f>
        <v/>
      </c>
      <c r="F8" s="19" t="inlineStr">
        <is>
          <t>Multiplying the two lists keeps a 1 only where both are TRUE (AND logic), and SUMPRODUCT counts them. These are the charts a sepsis committee would pull for review, because the patients screened positive but went home.</t>
        </is>
      </c>
    </row>
    <row r="9" ht="81" customHeight="1">
      <c r="A9" s="18" t="inlineStr">
        <is>
          <t>B5</t>
        </is>
      </c>
      <c r="B9" s="19" t="inlineStr">
        <is>
          <t>The two screens don't always agree. How many visits are qSOFA screen-positive (2 or more) but NOT SIRS-positive (SIRS score below 2 in your SIRS column from task 9)?</t>
        </is>
      </c>
      <c r="C9" s="34" t="n">
        <v>3</v>
      </c>
      <c r="D9" s="35" t="inlineStr">
        <is>
          <t>=SUMPRODUCT((ED!R2:R424&gt;=2)*(ED!O2:O424&lt;2))</t>
        </is>
      </c>
      <c r="E9" cm="1" s="36">
        <f t="array" ref="E9">SUMPRODUCT((((ED!H2:H424&gt;=22)+(ED!I2:I424&lt;&gt;"")*(ED!I2:I424&lt;=100)+ISNUMBER(SEARCH("altered",ED!E2:E424))+ISNUMBER(SEARCH("confusion",ED!E2:E424)))&gt;=2)*((((ED!F2:F424&gt;100.4)+(ED!F2:F424&lt;96.8))+(ED!G2:G424&gt;90)+(ED!H2:H424&gt;20))&lt;2))</f>
        <v/>
      </c>
      <c r="F9" s="19" t="inlineStr">
        <is>
          <t>NOT(score&gt;=2) is the same as score&lt;2, so you don't need the NOT function over a range. SIRS looks at temperature, heart rate, and breathing. qSOFA looks at breathing, blood pressure, and mental status. Each catches patients the other misses, which is why hospitals don't rely on one screen alone.</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2.1 — Logical Functions: IF, AND, OR, IFS &amp; More</dc:title>
  <dcterms:created xsi:type="dcterms:W3CDTF">2026-10-02T16:23:24Z</dcterms:created>
  <dcterms:modified xsi:type="dcterms:W3CDTF">2026-10-02T16:23:24Z</dcterms:modified>
</cp:coreProperties>
</file>
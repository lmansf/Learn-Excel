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Budget" sheetId="3" state="visible" r:id="rId3"/>
    <sheet name="Registry" sheetId="4" state="visible" r:id="rId4"/>
    <sheet name="Stays" sheetId="5" state="visible" r:id="rId5"/>
    <sheet name="Bonus" sheetId="6" state="visible" r:id="rId6"/>
    <sheet name="Dec Report" sheetId="7" state="visible" r:id="rId7"/>
    <sheet name="Answer Key" sheetId="8" state="hidden" r:id="rId8"/>
    <sheet name="Bonus Key" sheetId="9" state="hidden" r:id="rId9"/>
    <sheet name="Budget Key" sheetId="10" state="hidden" r:id="rId10"/>
    <sheet name="Report Key" sheetId="11" state="hidden" r:id="rId11"/>
  </sheets>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9">
    <numFmt numFmtId="164" formatCode="$#,##0,&quot;K&quot;"/>
    <numFmt numFmtId="165" formatCode="yyyy-mm-dd h:mm:ss"/>
    <numFmt numFmtId="166" formatCode="mm/dd/yyyy hh:mm"/>
    <numFmt numFmtId="167" formatCode="0.0"/>
    <numFmt numFmtId="168" formatCode="0.0%"/>
    <numFmt numFmtId="169" formatCode="$#,##0.0,&quot;K&quot;"/>
    <numFmt numFmtId="170" formatCode="$#,##0.0,&quot;K&quot;;[Red]($#,##0.0,&quot;K&quot;)"/>
    <numFmt numFmtId="171" formatCode="0.0%;[Red](0.0%)"/>
    <numFmt numFmtId="172" formatCode="[&gt;=1000000]$#,##0.00,,&quot;M&quot;;[&gt;=1000]$#,##0,&quot;K&quot;;$#,##0"/>
  </numFmts>
  <fonts count="21">
    <font>
      <name val="Calibri"/>
      <family val="2"/>
      <color theme="1"/>
      <sz val="11"/>
      <scheme val="minor"/>
    </font>
    <font>
      <b val="1"/>
      <color rgb="007B2C2C"/>
      <sz val="16"/>
    </font>
    <font>
      <i val="1"/>
      <color rgb="00595959"/>
    </font>
    <font>
      <b val="1"/>
      <color rgb="00FFFFFF"/>
    </font>
    <font>
      <b val="1"/>
    </font>
    <font>
      <name val="Consolas"/>
      <sz val="10"/>
    </font>
    <font>
      <b val="1"/>
      <color rgb="001F4E79"/>
      <sz val="16"/>
    </font>
    <font>
      <color rgb="00404040"/>
      <sz val="11"/>
    </font>
    <font>
      <i val="1"/>
      <color rgb="00404040"/>
      <sz val="11"/>
    </font>
    <font>
      <i val="1"/>
      <color rgb="007F7F7F"/>
    </font>
    <font>
      <b val="1"/>
      <color rgb="00375623"/>
      <sz val="12"/>
    </font>
    <font>
      <b val="1"/>
      <color rgb="002E75B6"/>
      <sz val="12"/>
    </font>
    <font>
      <b val="1"/>
      <color rgb="001F4E79"/>
      <sz val="22"/>
    </font>
    <font>
      <b val="1"/>
      <color rgb="00FFFFFF"/>
      <sz val="13"/>
    </font>
    <font/>
    <font>
      <b val="1"/>
      <sz val="12"/>
    </font>
    <font>
      <i val="1"/>
      <sz val="10"/>
    </font>
    <font>
      <b val="1"/>
      <color rgb="001F4E79"/>
      <sz val="13"/>
    </font>
    <font>
      <i val="1"/>
      <color rgb="00595959"/>
      <sz val="10"/>
    </font>
    <font>
      <name val="Cambria"/>
      <family val="2"/>
      <b val="1"/>
      <color theme="3"/>
      <sz val="18"/>
      <scheme val="major"/>
    </font>
    <font>
      <name val="Calibri"/>
      <family val="2"/>
      <b val="1"/>
      <color theme="1"/>
      <sz val="12"/>
      <scheme val="minor"/>
    </font>
  </fonts>
  <fills count="8">
    <fill>
      <patternFill/>
    </fill>
    <fill>
      <patternFill patternType="gray125"/>
    </fill>
    <fill>
      <patternFill patternType="solid">
        <fgColor rgb="007B2C2C"/>
      </patternFill>
    </fill>
    <fill>
      <patternFill patternType="solid">
        <fgColor rgb="001F4E79"/>
      </patternFill>
    </fill>
    <fill>
      <patternFill patternType="solid">
        <fgColor rgb="00FFF2CC"/>
      </patternFill>
    </fill>
    <fill>
      <patternFill patternType="solid">
        <fgColor rgb="00C6EFCE"/>
      </patternFill>
    </fill>
    <fill>
      <patternFill patternType="solid">
        <fgColor rgb="00FFC7CE"/>
      </patternFill>
    </fill>
    <fill>
      <patternFill patternType="solid">
        <fgColor rgb="00E7E6E6"/>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
      <left style="thin">
        <color rgb="00A6A6A6"/>
      </left>
      <right style="thin">
        <color rgb="00A6A6A6"/>
      </right>
      <top style="thin">
        <color rgb="00A6A6A6"/>
      </top>
      <bottom style="thin">
        <color rgb="00A6A6A6"/>
      </bottom>
    </border>
    <border>
      <left/>
      <right/>
      <top style="thin">
        <color theme="4"/>
      </top>
      <bottom style="double">
        <color theme="4"/>
      </bottom>
      <diagonal/>
    </border>
  </borders>
  <cellStyleXfs count="3">
    <xf numFmtId="0" fontId="0" fillId="0" borderId="0"/>
    <xf numFmtId="0" fontId="19" fillId="0" borderId="0"/>
    <xf numFmtId="0" fontId="20" fillId="0" borderId="4"/>
  </cellStyleXfs>
  <cellXfs count="60">
    <xf numFmtId="0" fontId="0" fillId="0" borderId="0" pivotButton="0" quotePrefix="0" xfId="0"/>
    <xf numFmtId="0" fontId="11" fillId="0" borderId="0" pivotButton="0" quotePrefix="0" xfId="0"/>
    <xf numFmtId="0" fontId="12" fillId="0" borderId="0" pivotButton="0" quotePrefix="0" xfId="0"/>
    <xf numFmtId="0" fontId="2" fillId="0" borderId="0" pivotButton="0" quotePrefix="0" xfId="0"/>
    <xf numFmtId="0" fontId="13" fillId="3" borderId="0" pivotButton="0" quotePrefix="0" xfId="0"/>
    <xf numFmtId="0" fontId="0" fillId="3"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4" fillId="4" borderId="0" applyAlignment="1" pivotButton="0" quotePrefix="0" xfId="0">
      <alignment vertical="top" wrapText="1"/>
    </xf>
    <xf numFmtId="0" fontId="4" fillId="5" borderId="0" applyAlignment="1" pivotButton="0" quotePrefix="0" xfId="0">
      <alignment vertical="top" wrapText="1"/>
    </xf>
    <xf numFmtId="0" fontId="4" fillId="6"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xf numFmtId="0" fontId="10" fillId="0" borderId="0" pivotButton="0" quotePrefix="0" xfId="0"/>
    <xf numFmtId="0" fontId="3" fillId="3"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9" fillId="0" borderId="1" applyAlignment="1" pivotButton="0" quotePrefix="0" xfId="0">
      <alignment vertical="top" wrapText="1"/>
    </xf>
    <xf numFmtId="49" fontId="0" fillId="4" borderId="2" applyAlignment="1" pivotButton="0" quotePrefix="0" xfId="0">
      <alignment horizontal="left" vertical="top"/>
    </xf>
    <xf numFmtId="0" fontId="4" fillId="0" borderId="1" applyAlignment="1" pivotButton="0" quotePrefix="0" xfId="0">
      <alignment vertical="top"/>
    </xf>
    <xf numFmtId="0" fontId="0" fillId="4" borderId="2" applyAlignment="1" pivotButton="0" quotePrefix="0" xfId="0">
      <alignment horizontal="right" vertical="top"/>
    </xf>
    <xf numFmtId="49" fontId="0" fillId="4" borderId="2" applyAlignment="1" pivotButton="0" quotePrefix="0" xfId="0">
      <alignment horizontal="right" vertical="top"/>
    </xf>
    <xf numFmtId="0" fontId="15" fillId="0" borderId="0" applyAlignment="1" pivotButton="0" quotePrefix="0" xfId="0">
      <alignment horizontal="center"/>
    </xf>
    <xf numFmtId="0" fontId="16" fillId="0" borderId="0" pivotButton="0" quotePrefix="0" xfId="0"/>
    <xf numFmtId="0" fontId="0" fillId="0" borderId="0" applyAlignment="1" pivotButton="0" quotePrefix="0" xfId="0">
      <alignment horizontal="center" vertical="center"/>
    </xf>
    <xf numFmtId="164" fontId="0" fillId="0" borderId="0" pivotButton="0" quotePrefix="0" xfId="0"/>
    <xf numFmtId="0" fontId="17" fillId="0" borderId="0" pivotButton="0" quotePrefix="0" xfId="0"/>
    <xf numFmtId="0" fontId="18" fillId="0" borderId="0" pivotButton="0" quotePrefix="0" xfId="0"/>
    <xf numFmtId="0" fontId="4" fillId="7" borderId="3" pivotButton="0" quotePrefix="0" xfId="0"/>
    <xf numFmtId="166" fontId="0" fillId="0" borderId="0" pivotButton="0" quotePrefix="0" xfId="0"/>
    <xf numFmtId="167"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pivotButton="0" quotePrefix="0" xfId="0"/>
    <xf numFmtId="49" fontId="4" fillId="0" borderId="1" applyAlignment="1" pivotButton="0" quotePrefix="0" xfId="0">
      <alignment vertical="top" wrapText="1"/>
    </xf>
    <xf numFmtId="0" fontId="5" fillId="0" borderId="1" applyAlignment="1" pivotButton="0" quotePrefix="1" xfId="0">
      <alignment vertical="top" wrapText="1"/>
    </xf>
    <xf numFmtId="49" fontId="0" fillId="0" borderId="1" applyAlignment="1" pivotButton="0" quotePrefix="0" xfId="0">
      <alignment vertical="top" wrapText="1"/>
    </xf>
    <xf numFmtId="0" fontId="4" fillId="0" borderId="1" applyAlignment="1" pivotButton="0" quotePrefix="0" xfId="0">
      <alignment vertical="top" wrapText="1"/>
    </xf>
    <xf numFmtId="0" fontId="19" fillId="0" borderId="0" applyAlignment="1" pivotButton="0" quotePrefix="0" xfId="1">
      <alignment horizontal="centerContinuous"/>
    </xf>
    <xf numFmtId="0" fontId="0" fillId="0" borderId="0" applyAlignment="1" pivotButton="0" quotePrefix="0" xfId="0">
      <alignment horizontal="centerContinuous"/>
    </xf>
    <xf numFmtId="0" fontId="3" fillId="3" borderId="3" applyAlignment="1" pivotButton="0" quotePrefix="0" xfId="0">
      <alignment horizontal="center" vertical="center" wrapText="1"/>
    </xf>
    <xf numFmtId="0" fontId="0" fillId="0" borderId="3" pivotButton="0" quotePrefix="0" xfId="0"/>
    <xf numFmtId="164" fontId="0" fillId="0" borderId="3" pivotButton="0" quotePrefix="0" xfId="0"/>
    <xf numFmtId="168" fontId="0" fillId="0" borderId="3" pivotButton="0" quotePrefix="0" xfId="0"/>
    <xf numFmtId="0" fontId="20" fillId="0" borderId="4" pivotButton="0" quotePrefix="0" xfId="2"/>
    <xf numFmtId="164" fontId="20" fillId="0" borderId="4" pivotButton="0" quotePrefix="0" xfId="2"/>
    <xf numFmtId="168" fontId="20" fillId="0" borderId="4" pivotButton="0" quotePrefix="0" xfId="2"/>
    <xf numFmtId="0" fontId="3" fillId="3" borderId="0" applyAlignment="1" pivotButton="0" quotePrefix="0" xfId="0">
      <alignment horizontal="center" vertical="center" wrapText="1"/>
    </xf>
    <xf numFmtId="169" fontId="0" fillId="0" borderId="0" pivotButton="0" quotePrefix="0" xfId="0"/>
    <xf numFmtId="170" fontId="0" fillId="0" borderId="0" pivotButton="0" quotePrefix="0" xfId="0"/>
    <xf numFmtId="171" fontId="0" fillId="0" borderId="0" pivotButton="0" quotePrefix="0" xfId="0"/>
    <xf numFmtId="172" fontId="0" fillId="0" borderId="0" pivotButton="0" quotePrefix="0" xfId="0"/>
    <xf numFmtId="169" fontId="20" fillId="0" borderId="4" pivotButton="0" quotePrefix="0" xfId="2"/>
    <xf numFmtId="170" fontId="20" fillId="0" borderId="4" pivotButton="0" quotePrefix="0" xfId="2"/>
    <xf numFmtId="171" fontId="20" fillId="0" borderId="4" pivotButton="0" quotePrefix="0" xfId="2"/>
    <xf numFmtId="172" fontId="20" fillId="0" borderId="4" pivotButton="0" quotePrefix="0" xfId="2"/>
    <xf numFmtId="0" fontId="4" fillId="0" borderId="0" pivotButton="0" quotePrefix="0" xfId="0"/>
    <xf numFmtId="0" fontId="5" fillId="0" borderId="0" pivotButton="0" quotePrefix="1" xfId="0"/>
  </cellXfs>
  <cellStyles count="3">
    <cellStyle name="Normal" xfId="0" builtinId="0" hidden="0"/>
    <cellStyle name="Title" xfId="1" builtinId="15" hidden="0"/>
    <cellStyle name="Total" xfId="2" builtinId="25" hidden="0"/>
  </cellStyles>
  <dxfs count="2">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 Id="rIdXlcMeta"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B2:C32"/>
  <sheetViews>
    <sheetView tabSelected="1" workbookViewId="0">
      <selection activeCell="A1" sqref="A1"/>
    </sheetView>
  </sheetViews>
  <sheetFormatPr baseColWidth="8" defaultRowHeight="15"/>
  <cols>
    <col width="3" customWidth="1" min="1" max="1"/>
    <col width="26" customWidth="1" min="2" max="2"/>
    <col width="95" customWidth="1" min="3" max="3"/>
  </cols>
  <sheetData>
    <row r="2">
      <c r="B2" s="1" t="inlineStr">
        <is>
          <t>Lesson 1.3</t>
        </is>
      </c>
    </row>
    <row r="3">
      <c r="B3" s="2" t="inlineStr">
        <is>
          <t>Formatting Cells &amp; Number Formats</t>
        </is>
      </c>
    </row>
    <row r="4">
      <c r="B4" s="3" t="inlineStr">
        <is>
          <t>Beginner  ·  about 100 minutes  ·  Bluestone Health System (fictional)</t>
        </is>
      </c>
    </row>
    <row r="6">
      <c r="B6" s="4" t="inlineStr">
        <is>
          <t>What you'll learn</t>
        </is>
      </c>
      <c r="C6" s="5" t="n"/>
    </row>
    <row r="7" ht="18" customHeight="1">
      <c r="B7" s="6" t="inlineStr">
        <is>
          <t>•</t>
        </is>
      </c>
      <c r="C7" s="7" t="inlineStr">
        <is>
          <t>Apply number formats: Number, Currency vs Accounting, Percentage, Date, Time, Text</t>
        </is>
      </c>
    </row>
    <row r="8" ht="18" customHeight="1">
      <c r="B8" s="6" t="inlineStr">
        <is>
          <t>•</t>
        </is>
      </c>
      <c r="C8" s="7" t="inlineStr">
        <is>
          <t>Write custom number formats (leading zeros, units, colors, thousands)</t>
        </is>
      </c>
    </row>
    <row r="9" ht="18" customHeight="1">
      <c r="B9" s="6" t="inlineStr">
        <is>
          <t>•</t>
        </is>
      </c>
      <c r="C9" s="7" t="inlineStr">
        <is>
          <t>Format fonts, fills, borders, alignment, and wrap text — and avoid merged cells</t>
        </is>
      </c>
    </row>
    <row r="10" ht="18" customHeight="1">
      <c r="B10" s="6" t="inlineStr">
        <is>
          <t>•</t>
        </is>
      </c>
      <c r="C10" s="7" t="inlineStr">
        <is>
          <t>Use Format Painter, cell styles, and themes for consistent reports</t>
        </is>
      </c>
    </row>
    <row r="11" ht="18" customHeight="1">
      <c r="B11" s="6" t="inlineStr">
        <is>
          <t>•</t>
        </is>
      </c>
      <c r="C11" s="7" t="inlineStr">
        <is>
          <t>Understand that formatting changes how a value looks, not the value itself</t>
        </is>
      </c>
    </row>
    <row r="13">
      <c r="B13" s="4" t="inlineStr">
        <is>
          <t>How to use this workbook</t>
        </is>
      </c>
      <c r="C13" s="5" t="n"/>
    </row>
    <row r="14" ht="33" customHeight="1">
      <c r="B14" s="8" t="inlineStr">
        <is>
          <t>1. Read the guide</t>
        </is>
      </c>
      <c r="C14" s="7" t="inlineStr">
        <is>
          <t>The lesson guide (README) explains each skill with examples: https://github.com/lmansf/learn-excel/tree/main/01-foundations/03-formatting-cells</t>
        </is>
      </c>
    </row>
    <row r="15" ht="18" customHeight="1">
      <c r="B15" s="8" t="inlineStr">
        <is>
          <t>2. Practice</t>
        </is>
      </c>
      <c r="C15" s="7" t="inlineStr">
        <is>
          <t>Go to the 'Practice' sheet. Type a formula or value into each yellow cell.</t>
        </is>
      </c>
    </row>
    <row r="16" ht="18" customHeight="1">
      <c r="B16" s="8" t="inlineStr">
        <is>
          <t>3. Check yourself</t>
        </is>
      </c>
      <c r="C16" s="7" t="inlineStr">
        <is>
          <t>The Check column shows ✔ Correct (green) or ✘ Not yet (red).</t>
        </is>
      </c>
    </row>
    <row r="17" ht="18" customHeight="1">
      <c r="B17" s="8" t="inlineStr">
        <is>
          <t>4. Bonus</t>
        </is>
      </c>
      <c r="C17" s="7" t="inlineStr">
        <is>
          <t>Finished? Try the harder 'Bonus' sheet.</t>
        </is>
      </c>
    </row>
    <row r="18" ht="33" customHeight="1">
      <c r="B18" s="8" t="inlineStr">
        <is>
          <t>5. Answers</t>
        </is>
      </c>
      <c r="C18" s="7" t="inlineStr">
        <is>
          <t>The 'Answer Key' and 'Bonus Key' sheets are hidden. Right-click any sheet tab → Unhide… → pick one → OK. (Try first!)</t>
        </is>
      </c>
    </row>
    <row r="19" ht="33" customHeight="1">
      <c r="B19" s="8" t="inlineStr">
        <is>
          <t>Note</t>
        </is>
      </c>
      <c r="C19" s="7" t="inlineStr">
        <is>
          <t>Work sheets: Budget (tasks 1–4 and 12–13), Registry (tasks 5–7), Stays (tasks 8–11), and Dec Report (bonus).</t>
        </is>
      </c>
    </row>
    <row r="20" ht="33" customHeight="1">
      <c r="B20" s="8" t="inlineStr">
        <is>
          <t>Note</t>
        </is>
      </c>
      <c r="C20" s="7" t="inlineStr">
        <is>
          <t>Two more hidden sheets, Budget Key and Report Key, show the finished, formatted versions of the Budget and Dec Report sheets. Unhide them to compare once you've tried.</t>
        </is>
      </c>
    </row>
    <row r="21" ht="18" customHeight="1">
      <c r="B21" s="8" t="inlineStr">
        <is>
          <t>Note</t>
        </is>
      </c>
      <c r="C21" s="7" t="inlineStr">
        <is>
          <t>Answers assume US regional settings ($, comma thousands separators, month/day/year dates).</t>
        </is>
      </c>
    </row>
    <row r="23">
      <c r="B23" s="4" t="inlineStr">
        <is>
          <t>Color legend</t>
        </is>
      </c>
      <c r="C23" s="5" t="n"/>
    </row>
    <row r="24" ht="18" customHeight="1">
      <c r="B24" s="9" t="inlineStr">
        <is>
          <t>Yellow cell</t>
        </is>
      </c>
      <c r="C24" s="7" t="inlineStr">
        <is>
          <t>Your answer goes here.</t>
        </is>
      </c>
    </row>
    <row r="25" ht="18" customHeight="1">
      <c r="B25" s="10" t="inlineStr">
        <is>
          <t>✔ Correct</t>
        </is>
      </c>
      <c r="C25" s="7" t="inlineStr">
        <is>
          <t>Your answer matches the key.</t>
        </is>
      </c>
    </row>
    <row r="26" ht="18" customHeight="1">
      <c r="B26" s="11" t="inlineStr">
        <is>
          <t>✘ Not yet</t>
        </is>
      </c>
      <c r="C26" s="7" t="inlineStr">
        <is>
          <t>Not matching yet. Check the hint and try again.</t>
        </is>
      </c>
    </row>
    <row r="28">
      <c r="B28" s="4" t="inlineStr">
        <is>
          <t>Sheets in this workbook</t>
        </is>
      </c>
      <c r="C28" s="5" t="n"/>
    </row>
    <row r="29" ht="18" customHeight="1">
      <c r="B29" s="8" t="inlineStr">
        <is>
          <t>Practice</t>
        </is>
      </c>
      <c r="C29" s="7" t="inlineStr">
        <is>
          <t>13 practice tasks, each with a Check cell.</t>
        </is>
      </c>
    </row>
    <row r="30" ht="18" customHeight="1">
      <c r="B30" s="8" t="inlineStr">
        <is>
          <t>Bonus</t>
        </is>
      </c>
      <c r="C30" s="7" t="inlineStr">
        <is>
          <t>The bonus challenge (5 parts).</t>
        </is>
      </c>
    </row>
    <row r="31" ht="63" customHeight="1">
      <c r="B31" s="8" t="inlineStr">
        <is>
          <t>About the data</t>
        </is>
      </c>
      <c r="C31" s="7" t="inlineStr">
        <is>
          <t>Bluestone Memorial Hospital's 2025 expense budget vs actual by department, two days of ED registrations (12/30–12/31/2025), December 2025 discharges from Cardiac Step-Down, and the Emergency Department's December 2025 budget report (bonus). Every number arrives unformatted, the way it comes out of a source system.</t>
        </is>
      </c>
    </row>
    <row r="32" ht="18" customHeight="1">
      <c r="B32" s="8" t="inlineStr">
        <is>
          <t>Disclaimer</t>
        </is>
      </c>
      <c r="C32" s="7" t="inlineStr">
        <is>
          <t>All people, places, and numbers are synthetic and fictional. Not clinical guidance.</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18"/>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6" customWidth="1" min="4" max="4"/>
    <col width="14" customWidth="1" min="5" max="5"/>
  </cols>
  <sheetData>
    <row r="1">
      <c r="A1" s="12" t="inlineStr">
        <is>
          <t>Lesson 1.3 · Practice</t>
        </is>
      </c>
    </row>
    <row r="2" ht="64" customHeight="1">
      <c r="A2" s="13" t="inlineStr">
        <is>
          <t>Tasks 1–4 and 12–13 use the Budget sheet, tasks 5–7 the Registry sheet, and tasks 8–11 the Stays sheet. Work in order, because some tasks build on earlier ones. Most tasks ask you to apply a format and then type exactly what the cell displays, including any dollar sign, commas, parentheses, minus sign, or % sign. Those yellow cells are formatted as Text, so Excel keeps your entry exactly as you type it. Type the answer rather than pasting a copied cell, because pasting brings the cell's number and format along. Tasks 3, 9, and 12 ask for a plain number instead. Answers assume US regional settings.</t>
        </is>
      </c>
    </row>
    <row r="3" ht="34" customHeight="1">
      <c r="A3" s="14" t="inlineStr">
        <is>
          <t>Type a formula or value in each yellow cell. The Check column turns green when your answer matches. Stuck? Read the hint, then the lesson guide. Answers: right-click a sheet tab → Unhide… → 'Answer Key'.</t>
        </is>
      </c>
    </row>
    <row r="4">
      <c r="A4" s="15">
        <f>"Score: "&amp;COUNTIF(E6:E18,"✔*")&amp;" of 13 auto-checked tasks correct"</f>
        <v/>
      </c>
    </row>
    <row r="5">
      <c r="A5" s="16" t="inlineStr">
        <is>
          <t>#</t>
        </is>
      </c>
      <c r="B5" s="16" t="inlineStr">
        <is>
          <t>Task</t>
        </is>
      </c>
      <c r="C5" s="16" t="inlineStr">
        <is>
          <t>Hint</t>
        </is>
      </c>
      <c r="D5" s="16" t="inlineStr">
        <is>
          <t>Your Answer</t>
        </is>
      </c>
      <c r="E5" s="16" t="inlineStr">
        <is>
          <t>Check</t>
        </is>
      </c>
    </row>
    <row r="6" ht="51" customHeight="1">
      <c r="A6" s="17" t="inlineStr">
        <is>
          <t>1</t>
        </is>
      </c>
      <c r="B6" s="18" t="inlineStr">
        <is>
          <t>On the Budget sheet, select the Variance cells E5:E21 and press Ctrl + Shift + $ (Mac: ⌃ + Shift + $). What does E11 (Emergency Department, which spent more than its budget) display now?</t>
        </is>
      </c>
      <c r="C6" s="19" t="inlineStr">
        <is>
          <t>Negative amounts in this format don't use a minus sign</t>
        </is>
      </c>
      <c r="D6" s="20" t="n"/>
      <c r="E6" s="21">
        <f>IF(IFERROR(D6="",FALSE),"",IF(IFERROR(OR(LOWER(TRIM(D6&amp;""))=LOWER(TRIM('Answer Key'!$C$5&amp;""))),FALSE),"✔ Correct","✘ Not yet"))</f>
        <v/>
      </c>
    </row>
    <row r="7" ht="51" customHeight="1">
      <c r="A7" s="17" t="inlineStr">
        <is>
          <t>2</t>
        </is>
      </c>
      <c r="B7" s="18" t="inlineStr">
        <is>
          <t>Select the Variance % cells F5:F21, press Ctrl + Shift + % (Mac: ⌃ + Shift + %), then click Home → Increase Decimal once. What does F17 (Orthopedics &amp; Spine) display?</t>
        </is>
      </c>
      <c r="C7" s="19" t="inlineStr">
        <is>
          <t>The shortcut shows 0 decimals; each Increase Decimal click adds one</t>
        </is>
      </c>
      <c r="D7" s="20" t="n"/>
      <c r="E7" s="21">
        <f>IF(IFERROR(D7="",FALSE),"",IF(IFERROR(OR(LOWER(TRIM(D7&amp;""))=LOWER(TRIM('Answer Key'!$C$6&amp;""))),FALSE),"✔ Correct","✘ Not yet"))</f>
        <v/>
      </c>
    </row>
    <row r="8" ht="51" customHeight="1">
      <c r="A8" s="17" t="inlineStr">
        <is>
          <t>3</t>
        </is>
      </c>
      <c r="B8" s="18" t="inlineStr">
        <is>
          <t>C5 already has a finance format: it shows the Laboratory budget in thousands with a K. What number is actually stored in C5? Click the cell and read the formula bar.</t>
        </is>
      </c>
      <c r="C8" s="19" t="inlineStr">
        <is>
          <t>The cell shows one thing; the formula bar shows another</t>
        </is>
      </c>
      <c r="D8" s="22" t="n"/>
      <c r="E8" s="21">
        <f>IF(IFERROR(D8="",FALSE),"",IF(IFERROR(AND(ISNUMBER(D8),OR(ABS(D8-'Answer Key'!$C$7)&lt;=0.0001)),FALSE),"✔ Correct","✘ Not yet"))</f>
        <v/>
      </c>
    </row>
    <row r="9" ht="66" customHeight="1">
      <c r="A9" s="17" t="inlineStr">
        <is>
          <t>4</t>
        </is>
      </c>
      <c r="B9" s="18" t="inlineStr">
        <is>
          <t>Copy C5's format to the rest of the money columns with Format Painter: select C5, double-click Home → Format Painter, drag over C5:E20, then drag over the Total row C21:E21, and press Esc. What does E6 (Pharmacy's variance) display now?</t>
        </is>
      </c>
      <c r="C9" s="19" t="inlineStr">
        <is>
          <t>A format with only one section puts a minus sign in front of negatives</t>
        </is>
      </c>
      <c r="D9" s="20" t="n"/>
      <c r="E9" s="21">
        <f>IF(IFERROR(D9="",FALSE),"",IF(IFERROR(OR(LOWER(TRIM(D9&amp;""))=LOWER(TRIM('Answer Key'!$C$8&amp;""))),FALSE),"✔ Correct","✘ Not yet"))</f>
        <v/>
      </c>
    </row>
    <row r="10" ht="51" customHeight="1">
      <c r="A10" s="17" t="inlineStr">
        <is>
          <t>5</t>
        </is>
      </c>
      <c r="B10" s="18" t="inlineStr">
        <is>
          <t>On the Registry sheet, select the PatientDue cells F5:F24 and click Home → Accounting Number Format (the $ button). Cox, Ronald (row 5) owes nothing for this visit. What character does F5 show where the 0 used to be?</t>
        </is>
      </c>
      <c r="C10" s="19" t="inlineStr">
        <is>
          <t>Compare Accounting with Currency in the guide's table</t>
        </is>
      </c>
      <c r="D10" s="20" t="n"/>
      <c r="E10" s="21">
        <f>IF(IFERROR(D10="",FALSE),"",IF(IFERROR(OR(LOWER(TRIM(D10&amp;""))=LOWER(TRIM('Answer Key'!$C$9&amp;"")),LOWER(TRIM(D10&amp;""))="$ -",LOWER(TRIM(D10&amp;""))="$-",LOWER(TRIM(D10&amp;""))="dash",LOWER(TRIM(D10&amp;""))="a dash",LOWER(TRIM(D10&amp;""))="hyphen",LOWER(TRIM(D10&amp;""))="a hyphen",LOWER(TRIM(D10&amp;""))="–",LOWER(TRIM(D10&amp;""))="$ –"),FALSE),"✔ Correct","✘ Not yet"))</f>
        <v/>
      </c>
    </row>
    <row r="11" ht="66" customHeight="1">
      <c r="A11" s="17" t="inlineStr">
        <is>
          <t>6</t>
        </is>
      </c>
      <c r="B11" s="18" t="inlineStr">
        <is>
          <t>The MRN column lost its leading zeros on the way out of the registration system. Bluestone MRNs are always 8 digits. Select B5:B24, open Format Cells (Ctrl + 1; Mac: ⌘ + 1), choose Custom, and type the code 00000000 in the Type box. What does B13 display?</t>
        </is>
      </c>
      <c r="C11" s="19" t="inlineStr">
        <is>
          <t>Each 0 in the code is a digit that always shows, even when it's a zero</t>
        </is>
      </c>
      <c r="D11" s="20" t="n"/>
      <c r="E11" s="21">
        <f>IF(IFERROR(D11="",FALSE),"",IF(IFERROR(OR(LOWER(TRIM(D11&amp;""))=LOWER(TRIM('Answer Key'!$C$10&amp;""))),FALSE),"✔ Correct","✘ Not yet"))</f>
        <v/>
      </c>
    </row>
    <row r="12" ht="81" customHeight="1">
      <c r="A12" s="17" t="inlineStr">
        <is>
          <t>7</t>
        </is>
      </c>
      <c r="B12" s="18" t="inlineStr">
        <is>
          <t>The Phone column (D) stores 10-digit numbers. Write a custom number format that shows each one the usual US way: the first three digits in parentheses, a space, three digits, a hyphen, and the last four digits. For example, D5 (5555298330) should display as (555) 529-8330. Apply your format to D5:D24, then type the format code you used.</t>
        </is>
      </c>
      <c r="C12" s="19" t="inlineStr">
        <is>
          <t>0 is a digit placeholder; parentheses, spaces, and hyphens can be typed as they are</t>
        </is>
      </c>
      <c r="D12" s="23" t="n"/>
      <c r="E12" s="21">
        <f>IF(IFERROR(D12="",FALSE),"",IF(IFERROR(OR(LOWER(TRIM(SUBSTITUTE(SUBSTITUTE(SUBSTITUTE(D12&amp;"","\",""),CHAR(34),""),"#","0")))="(000) 000-0000",LOWER(TRIM(SUBSTITUTE(SUBSTITUTE(SUBSTITUTE(D12&amp;"","\",""),CHAR(34),""),"#","0")))="[&lt;=9999999]000-0000;(000) 000-0000"),FALSE),"✔ Correct","✘ Not yet"))</f>
        <v/>
      </c>
    </row>
    <row r="13" ht="51" customHeight="1">
      <c r="A13" s="17" t="inlineStr">
        <is>
          <t>8</t>
        </is>
      </c>
      <c r="B13" s="18" t="inlineStr">
        <is>
          <t>On the Stays sheet, the Admitted column (C) shows serial numbers because the export lost its date format. Select C5:C40 and apply the custom format ddd mm/dd/yyyy h:mm AM/PM. What does C6 display?</t>
        </is>
      </c>
      <c r="C13" s="19" t="inlineStr">
        <is>
          <t>ddd is the short day name; mm right after h means minutes</t>
        </is>
      </c>
      <c r="D13" s="20" t="n"/>
      <c r="E13" s="21">
        <f>IF(IFERROR(D13="",FALSE),"",IF(IFERROR(OR(LOWER(TRIM(D13&amp;""))=LOWER(TRIM('Answer Key'!$C$12&amp;""))),FALSE),"✔ Correct","✘ Not yet"))</f>
        <v/>
      </c>
    </row>
    <row r="14" ht="51" customHeight="1">
      <c r="A14" s="17" t="inlineStr">
        <is>
          <t>9</t>
        </is>
      </c>
      <c r="B14" s="18" t="inlineStr">
        <is>
          <t>The LOS (days) column is formatted to show one decimal place. E7 shows 3.1. What value is actually stored in that cell? Read the formula bar and enter at least 4 decimal places.</t>
        </is>
      </c>
      <c r="C14" s="19" t="inlineStr">
        <is>
          <t>Formatting rounds the display, not the value</t>
        </is>
      </c>
      <c r="D14" s="22" t="n"/>
      <c r="E14" s="21">
        <f>IF(IFERROR(D14="",FALSE),"",IF(IFERROR(AND(ISNUMBER(D14),OR(ABS(D14-'Answer Key'!$C$13)&lt;=0.0001)),FALSE),"✔ Correct","✘ Not yet"))</f>
        <v/>
      </c>
    </row>
    <row r="15" ht="36" customHeight="1">
      <c r="A15" s="17" t="inlineStr">
        <is>
          <t>10</t>
        </is>
      </c>
      <c r="B15" s="18" t="inlineStr">
        <is>
          <t>Hospitals often track length of stay in hours. Select E5:E40 and apply the custom format [h]:mm. What does E15 (the longest stay of the month) display?</t>
        </is>
      </c>
      <c r="C15" s="19" t="inlineStr">
        <is>
          <t>Square brackets let the hours keep counting past 24</t>
        </is>
      </c>
      <c r="D15" s="20" t="n"/>
      <c r="E15" s="21">
        <f>IF(IFERROR(D15="",FALSE),"",IF(IFERROR(OR(LOWER(TRIM(D15&amp;""))=LOWER(TRIM('Answer Key'!$C$14&amp;""))),FALSE),"✔ Correct","✘ Not yet"))</f>
        <v/>
      </c>
    </row>
    <row r="16" ht="81" customHeight="1">
      <c r="A16" s="17" t="inlineStr">
        <is>
          <t>11</t>
        </is>
      </c>
      <c r="B16" s="18" t="inlineStr">
        <is>
          <t>Column G (LOS vs Expected) stores LOS minus the diagnosis's expected LOS, in days, so a positive value means the patient stayed longer than expected. Write a two-section custom format for G5:G40: positive values in red with a plus sign and the word days (like +2.1 days), and negative values with a minus sign (like -0.4 days), each with one decimal. What does G5 display?</t>
        </is>
      </c>
      <c r="C16" s="19" t="inlineStr">
        <is>
          <t>Sections are separated by semicolons: positive;negative. The second section needs its own minus sign</t>
        </is>
      </c>
      <c r="D16" s="20" t="n"/>
      <c r="E16" s="21">
        <f>IF(IFERROR(D16="",FALSE),"",IF(IFERROR(OR(LOWER(TRIM(D16&amp;""))=LOWER(TRIM('Answer Key'!$C$15&amp;""))),FALSE),"✔ Correct","✘ Not yet"))</f>
        <v/>
      </c>
    </row>
    <row r="17" ht="66" customHeight="1">
      <c r="A17" s="17" t="inlineStr">
        <is>
          <t>12</t>
        </is>
      </c>
      <c r="B17" s="18" t="inlineStr">
        <is>
          <t>Back on the Budget sheet, column A labels each department's service line with merged cells. Select A5:A20 and read Count on the status bar (it counts cells that aren't empty). How many of those 16 cells actually contain a service-line label?</t>
        </is>
      </c>
      <c r="C17" s="19" t="inlineStr">
        <is>
          <t>A merged block stores its text in one cell only</t>
        </is>
      </c>
      <c r="D17" s="22" t="n"/>
      <c r="E17" s="21">
        <f>IF(IFERROR(D17="",FALSE),"",IF(IFERROR(AND(ISNUMBER(D17),OR(ABS(D17-'Answer Key'!$C$16)&lt;=0.0001)),FALSE),"✔ Correct","✘ Not yet"))</f>
        <v/>
      </c>
    </row>
    <row r="18" ht="126" customHeight="1">
      <c r="A18" s="17" t="inlineStr">
        <is>
          <t>13</t>
        </is>
      </c>
      <c r="B18" s="18" t="inlineStr">
        <is>
          <t>Finish the Budget report so it looks like the hidden Budget Key sheet: (1) unmerge A1:F1 and center the title with Center Across Selection; (2) unmerge column A and fill each service line down so every row has its label; (3) make header row 4 bold with white text on a dark blue fill, wrapped and centered; (4) add All Borders to A4:F21; (5) apply the Total cell style to A21:F21; (6) select A4:F21 and AutoFit the columns with Home → Format → AutoFit Column Width. Then zoom in on row 21: what kind of line does the Total style draw along the bottom of the row? Answer in a word or two.</t>
        </is>
      </c>
      <c r="C18" s="19" t="inlineStr">
        <is>
          <t>Cell Styles is on the Home tab; look closely at the bottom edge of the total row</t>
        </is>
      </c>
      <c r="D18" s="20" t="n"/>
      <c r="E18" s="21">
        <f>IF(IFERROR(D18="",FALSE),"",IF(IFERROR(OR(LOWER(TRIM(D18&amp;""))=LOWER(TRIM('Answer Key'!$C$17&amp;"")),LOWER(TRIM(D18&amp;""))="double line",LOWER(TRIM(D18&amp;""))="a double line",LOWER(TRIM(D18&amp;""))="double border",LOWER(TRIM(D18&amp;""))="a double border",LOWER(TRIM(D18&amp;""))="double bottom border",LOWER(TRIM(D18&amp;""))="a double bottom border",LOWER(TRIM(D18&amp;""))="bottom double border",LOWER(TRIM(D18&amp;""))="double line border",LOWER(TRIM(D18&amp;""))="double underline",LOWER(TRIM(D18&amp;""))="double-line",LOWER(TRIM(D18&amp;""))="two lines",LOWER(TRIM(D18&amp;""))="2 lines",LOWER(TRIM(D18&amp;""))="double lines"),FALSE),"✔ Correct","✘ Not yet"))</f>
        <v/>
      </c>
    </row>
  </sheetData>
  <mergeCells count="3">
    <mergeCell ref="A2:E2"/>
    <mergeCell ref="A4:C4"/>
    <mergeCell ref="A3:E3"/>
  </mergeCells>
  <conditionalFormatting sqref="E6:E18">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tabColor rgb="002E75B6"/>
    <outlinePr summaryBelow="1" summaryRight="1"/>
    <pageSetUpPr/>
  </sheetPr>
  <dimension ref="A1:F21"/>
  <sheetViews>
    <sheetView tabSelected="0" workbookViewId="0">
      <pane ySplit="4" topLeftCell="A5" activePane="bottomLeft" state="frozen"/>
      <selection pane="bottomLeft" activeCell="A1" sqref="A1"/>
    </sheetView>
  </sheetViews>
  <sheetFormatPr baseColWidth="8" defaultRowHeight="15"/>
  <cols>
    <col width="18" customWidth="1" min="1" max="1"/>
    <col width="26" customWidth="1" min="2" max="2"/>
    <col width="17" customWidth="1" min="3" max="3"/>
    <col width="17" customWidth="1" min="4" max="4"/>
    <col width="17" customWidth="1" min="5" max="5"/>
    <col width="13" customWidth="1" min="6" max="6"/>
  </cols>
  <sheetData>
    <row r="1">
      <c r="A1" s="24" t="inlineStr">
        <is>
          <t>Bluestone Memorial Hospital · 2025 Expense Budget vs Actual</t>
        </is>
      </c>
    </row>
    <row r="2">
      <c r="A2" s="25" t="inlineStr">
        <is>
          <t>Finance system export, 12/31/2025. Variance = Budget − Actual (negative = over budget). Variance % = Variance ÷ Budget.</t>
        </is>
      </c>
    </row>
    <row r="4">
      <c r="A4" t="inlineStr">
        <is>
          <t>Service Line</t>
        </is>
      </c>
      <c r="B4" t="inlineStr">
        <is>
          <t>Department</t>
        </is>
      </c>
      <c r="C4" t="inlineStr">
        <is>
          <t>Budget</t>
        </is>
      </c>
      <c r="D4" t="inlineStr">
        <is>
          <t>Actual</t>
        </is>
      </c>
      <c r="E4" t="inlineStr">
        <is>
          <t>Variance</t>
        </is>
      </c>
      <c r="F4" t="inlineStr">
        <is>
          <t>Variance %</t>
        </is>
      </c>
    </row>
    <row r="5">
      <c r="A5" s="26" t="inlineStr">
        <is>
          <t>Ancillary</t>
        </is>
      </c>
      <c r="B5" t="inlineStr">
        <is>
          <t>Laboratory</t>
        </is>
      </c>
      <c r="C5" s="27" t="n">
        <v>11736897</v>
      </c>
      <c r="D5" t="n">
        <v>11940898</v>
      </c>
      <c r="E5" t="n">
        <v>-204001</v>
      </c>
      <c r="F5" t="n">
        <v>-0.01738116982708462</v>
      </c>
    </row>
    <row r="6">
      <c r="B6" t="inlineStr">
        <is>
          <t>Pharmacy</t>
        </is>
      </c>
      <c r="C6" t="n">
        <v>6946916</v>
      </c>
      <c r="D6" t="n">
        <v>7177608</v>
      </c>
      <c r="E6" t="n">
        <v>-230692</v>
      </c>
      <c r="F6" t="n">
        <v>-0.03320782920075614</v>
      </c>
    </row>
    <row r="7">
      <c r="B7" t="inlineStr">
        <is>
          <t>Radiology</t>
        </is>
      </c>
      <c r="C7" t="n">
        <v>9165952</v>
      </c>
      <c r="D7" t="n">
        <v>8908151</v>
      </c>
      <c r="E7" t="n">
        <v>257801</v>
      </c>
      <c r="F7" t="n">
        <v>0.02812593825496795</v>
      </c>
    </row>
    <row r="8">
      <c r="A8" s="26" t="inlineStr">
        <is>
          <t>Behavioral Health</t>
        </is>
      </c>
      <c r="B8" t="inlineStr">
        <is>
          <t>Behavioral Health</t>
        </is>
      </c>
      <c r="C8" t="n">
        <v>6261550</v>
      </c>
      <c r="D8" t="n">
        <v>6272799</v>
      </c>
      <c r="E8" t="n">
        <v>-11249</v>
      </c>
      <c r="F8" t="n">
        <v>-0.001796520030982744</v>
      </c>
    </row>
    <row r="9">
      <c r="A9" s="26" t="inlineStr">
        <is>
          <t>Cardiovascular</t>
        </is>
      </c>
      <c r="B9" t="inlineStr">
        <is>
          <t>Cardiac Step-Down</t>
        </is>
      </c>
      <c r="C9" t="n">
        <v>8348725</v>
      </c>
      <c r="D9" t="n">
        <v>8557688</v>
      </c>
      <c r="E9" t="n">
        <v>-208963</v>
      </c>
      <c r="F9" t="n">
        <v>-0.02502933082596445</v>
      </c>
    </row>
    <row r="10">
      <c r="A10" s="26" t="inlineStr">
        <is>
          <t>Critical Care</t>
        </is>
      </c>
      <c r="B10" t="inlineStr">
        <is>
          <t>Intensive Care Unit</t>
        </is>
      </c>
      <c r="C10" t="n">
        <v>11314622</v>
      </c>
      <c r="D10" t="n">
        <v>11343688</v>
      </c>
      <c r="E10" t="n">
        <v>-29066</v>
      </c>
      <c r="F10" t="n">
        <v>-0.002568888293395926</v>
      </c>
    </row>
    <row r="11">
      <c r="A11" s="26" t="inlineStr">
        <is>
          <t>Emergency</t>
        </is>
      </c>
      <c r="B11" t="inlineStr">
        <is>
          <t>Emergency Department</t>
        </is>
      </c>
      <c r="C11" t="n">
        <v>16990557</v>
      </c>
      <c r="D11" t="n">
        <v>17563319</v>
      </c>
      <c r="E11" t="n">
        <v>-572762</v>
      </c>
      <c r="F11" t="n">
        <v>-0.03371060760397673</v>
      </c>
    </row>
    <row r="12">
      <c r="A12" s="26" t="inlineStr">
        <is>
          <t>Medicine</t>
        </is>
      </c>
      <c r="B12" t="inlineStr">
        <is>
          <t>Medical-Surgical 4 West</t>
        </is>
      </c>
      <c r="C12" t="n">
        <v>12523079</v>
      </c>
      <c r="D12" t="n">
        <v>12172461</v>
      </c>
      <c r="E12" t="n">
        <v>350618</v>
      </c>
      <c r="F12" t="n">
        <v>0.02799774719939082</v>
      </c>
    </row>
    <row r="13">
      <c r="B13" t="inlineStr">
        <is>
          <t>Medical-Surgical 5 East</t>
        </is>
      </c>
      <c r="C13" t="n">
        <v>11131624</v>
      </c>
      <c r="D13" t="n">
        <v>11370076</v>
      </c>
      <c r="E13" t="n">
        <v>-238452</v>
      </c>
      <c r="F13" t="n">
        <v>-0.02142113316080385</v>
      </c>
    </row>
    <row r="14">
      <c r="B14" t="inlineStr">
        <is>
          <t>Observation Unit</t>
        </is>
      </c>
      <c r="C14" t="n">
        <v>4174351</v>
      </c>
      <c r="D14" t="n">
        <v>4147444</v>
      </c>
      <c r="E14" t="n">
        <v>26907</v>
      </c>
      <c r="F14" t="n">
        <v>0.006445792411802457</v>
      </c>
    </row>
    <row r="15">
      <c r="A15" s="26" t="inlineStr">
        <is>
          <t>Neuroscience</t>
        </is>
      </c>
      <c r="B15" t="inlineStr">
        <is>
          <t>Neuroscience &amp; Stroke</t>
        </is>
      </c>
      <c r="C15" t="n">
        <v>5565810</v>
      </c>
      <c r="D15" t="n">
        <v>5586800</v>
      </c>
      <c r="E15" t="n">
        <v>-20990</v>
      </c>
      <c r="F15" t="n">
        <v>-0.003771239046967108</v>
      </c>
    </row>
    <row r="16">
      <c r="A16" s="26" t="inlineStr">
        <is>
          <t>Oncology</t>
        </is>
      </c>
      <c r="B16" t="inlineStr">
        <is>
          <t>Oncology</t>
        </is>
      </c>
      <c r="C16" t="n">
        <v>8143173</v>
      </c>
      <c r="D16" t="n">
        <v>8259303</v>
      </c>
      <c r="E16" t="n">
        <v>-116130</v>
      </c>
      <c r="F16" t="n">
        <v>-0.01426102576968462</v>
      </c>
    </row>
    <row r="17">
      <c r="A17" s="26" t="inlineStr">
        <is>
          <t>Orthopedics</t>
        </is>
      </c>
      <c r="B17" t="inlineStr">
        <is>
          <t>Orthopedics &amp; Spine</t>
        </is>
      </c>
      <c r="C17" t="n">
        <v>7652992</v>
      </c>
      <c r="D17" t="n">
        <v>8006587</v>
      </c>
      <c r="E17" t="n">
        <v>-353595</v>
      </c>
      <c r="F17" t="n">
        <v>-0.04620349792603991</v>
      </c>
    </row>
    <row r="18">
      <c r="A18" s="26" t="inlineStr">
        <is>
          <t>Surgery</t>
        </is>
      </c>
      <c r="B18" t="inlineStr">
        <is>
          <t>Perioperative Services</t>
        </is>
      </c>
      <c r="C18" t="n">
        <v>18294658</v>
      </c>
      <c r="D18" t="n">
        <v>18584793</v>
      </c>
      <c r="E18" t="n">
        <v>-290135</v>
      </c>
      <c r="F18" t="n">
        <v>-0.01585900102641984</v>
      </c>
    </row>
    <row r="19">
      <c r="A19" s="26" t="inlineStr">
        <is>
          <t>Women &amp; Children</t>
        </is>
      </c>
      <c r="B19" t="inlineStr">
        <is>
          <t>Labor &amp; Delivery</t>
        </is>
      </c>
      <c r="C19" t="n">
        <v>6957277</v>
      </c>
      <c r="D19" t="n">
        <v>7118781</v>
      </c>
      <c r="E19" t="n">
        <v>-161504</v>
      </c>
      <c r="F19" t="n">
        <v>-0.02321367971980992</v>
      </c>
    </row>
    <row r="20">
      <c r="B20" t="inlineStr">
        <is>
          <t>Pediatrics</t>
        </is>
      </c>
      <c r="C20" t="n">
        <v>4870099</v>
      </c>
      <c r="D20" t="n">
        <v>4851882</v>
      </c>
      <c r="E20" t="n">
        <v>18217</v>
      </c>
      <c r="F20" t="n">
        <v>0.003740581043629709</v>
      </c>
    </row>
    <row r="21">
      <c r="A21" t="inlineStr">
        <is>
          <t>Total</t>
        </is>
      </c>
      <c r="C21" t="n">
        <v>150078282</v>
      </c>
      <c r="D21" t="n">
        <v>151862278</v>
      </c>
      <c r="E21" t="n">
        <v>-1783996</v>
      </c>
      <c r="F21" t="n">
        <v>-0.0118871030253398</v>
      </c>
    </row>
  </sheetData>
  <mergeCells count="4">
    <mergeCell ref="A12:A14"/>
    <mergeCell ref="A5:A7"/>
    <mergeCell ref="A19:A20"/>
    <mergeCell ref="A1:F1"/>
  </mergeCells>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F24"/>
  <sheetViews>
    <sheetView tabSelected="0" workbookViewId="0">
      <pane ySplit="4" topLeftCell="A5" activePane="bottomLeft" state="frozen"/>
      <selection pane="bottomLeft" activeCell="A1" sqref="A1"/>
    </sheetView>
  </sheetViews>
  <sheetFormatPr baseColWidth="8" defaultRowHeight="15"/>
  <cols>
    <col width="17" customWidth="1" min="1" max="1"/>
    <col width="12" customWidth="1" min="2" max="2"/>
    <col width="22" customWidth="1" min="3" max="3"/>
    <col width="17" customWidth="1" min="4" max="4"/>
    <col width="30" customWidth="1" min="5" max="5"/>
    <col width="14" customWidth="1" min="6" max="6"/>
  </cols>
  <sheetData>
    <row r="1">
      <c r="A1" s="28" t="inlineStr">
        <is>
          <t>Bluestone Memorial ED · registrations, 12/30–12/31/2025 (export)</t>
        </is>
      </c>
    </row>
    <row r="2">
      <c r="A2" s="29" t="inlineStr">
        <is>
          <t>MRN and Phone arrived as plain numbers, so the leading zeros and punctuation are gone. PatientDue = the patient's share of this visit's claim, in dollars.</t>
        </is>
      </c>
    </row>
    <row r="4">
      <c r="A4" s="30" t="inlineStr">
        <is>
          <t>Arrived</t>
        </is>
      </c>
      <c r="B4" s="30" t="inlineStr">
        <is>
          <t>MRN</t>
        </is>
      </c>
      <c r="C4" s="30" t="inlineStr">
        <is>
          <t>Patient</t>
        </is>
      </c>
      <c r="D4" s="30" t="inlineStr">
        <is>
          <t>Phone</t>
        </is>
      </c>
      <c r="E4" s="30" t="inlineStr">
        <is>
          <t>Payer</t>
        </is>
      </c>
      <c r="F4" s="30" t="inlineStr">
        <is>
          <t>PatientDue</t>
        </is>
      </c>
    </row>
    <row r="5">
      <c r="A5" s="31" t="n">
        <v>46021.04583333333</v>
      </c>
      <c r="B5" t="n">
        <v>3601518</v>
      </c>
      <c r="C5" t="inlineStr">
        <is>
          <t>Cox, Ronald</t>
        </is>
      </c>
      <c r="D5" t="n">
        <v>5555298330</v>
      </c>
      <c r="E5" t="inlineStr">
        <is>
          <t>State Medicaid</t>
        </is>
      </c>
      <c r="F5" t="n">
        <v>0</v>
      </c>
    </row>
    <row r="6">
      <c r="A6" s="31" t="n">
        <v>46021.34444444445</v>
      </c>
      <c r="B6" t="n">
        <v>1927734</v>
      </c>
      <c r="C6" t="inlineStr">
        <is>
          <t>Yilmaz, Natalie</t>
        </is>
      </c>
      <c r="D6" t="n">
        <v>5559671131</v>
      </c>
      <c r="E6" t="inlineStr">
        <is>
          <t>Evergreen Mutual Insurance</t>
        </is>
      </c>
      <c r="F6" t="n">
        <v>212.08</v>
      </c>
    </row>
    <row r="7">
      <c r="A7" s="31" t="n">
        <v>46021.37916666667</v>
      </c>
      <c r="B7" t="n">
        <v>6086499</v>
      </c>
      <c r="C7" t="inlineStr">
        <is>
          <t>Nguyen, Liam</t>
        </is>
      </c>
      <c r="D7" t="n">
        <v>5556619507</v>
      </c>
      <c r="E7" t="inlineStr">
        <is>
          <t>Self-Pay</t>
        </is>
      </c>
      <c r="F7" t="n">
        <v>385.94</v>
      </c>
    </row>
    <row r="8">
      <c r="A8" s="31" t="n">
        <v>46021.41458333333</v>
      </c>
      <c r="B8" t="n">
        <v>5077908</v>
      </c>
      <c r="C8" t="inlineStr">
        <is>
          <t>Garza, Rosa</t>
        </is>
      </c>
      <c r="D8" t="n">
        <v>5555169517</v>
      </c>
      <c r="E8" t="inlineStr">
        <is>
          <t>Keystone Health Partners</t>
        </is>
      </c>
      <c r="F8" t="n">
        <v>801.3</v>
      </c>
    </row>
    <row r="9">
      <c r="A9" s="31" t="n">
        <v>46021.47708333333</v>
      </c>
      <c r="B9" t="n">
        <v>5094809</v>
      </c>
      <c r="C9" t="inlineStr">
        <is>
          <t>Gomez, Elizabeth</t>
        </is>
      </c>
      <c r="D9" t="n">
        <v>5557012318</v>
      </c>
      <c r="E9" t="inlineStr">
        <is>
          <t>State Medicaid</t>
        </is>
      </c>
      <c r="F9" t="n">
        <v>0</v>
      </c>
    </row>
    <row r="10">
      <c r="A10" s="31" t="n">
        <v>46021.49305555555</v>
      </c>
      <c r="B10" t="n">
        <v>6814000</v>
      </c>
      <c r="C10" t="inlineStr">
        <is>
          <t>Collins, Nicole</t>
        </is>
      </c>
      <c r="D10" t="n">
        <v>5554961382</v>
      </c>
      <c r="E10" t="inlineStr">
        <is>
          <t>State Medicaid</t>
        </is>
      </c>
      <c r="F10" t="n">
        <v>0</v>
      </c>
    </row>
    <row r="11">
      <c r="A11" s="31" t="n">
        <v>46021.67847222222</v>
      </c>
      <c r="B11" t="n">
        <v>2001795</v>
      </c>
      <c r="C11" t="inlineStr">
        <is>
          <t>Lane, Frances</t>
        </is>
      </c>
      <c r="D11" t="n">
        <v>5558013246</v>
      </c>
      <c r="E11" t="inlineStr">
        <is>
          <t>State Medicaid</t>
        </is>
      </c>
      <c r="F11" t="n">
        <v>0</v>
      </c>
    </row>
    <row r="12">
      <c r="A12" s="31" t="n">
        <v>46021.88611111111</v>
      </c>
      <c r="B12" t="n">
        <v>1518534</v>
      </c>
      <c r="C12" t="inlineStr">
        <is>
          <t>Hernandez, Albert</t>
        </is>
      </c>
      <c r="D12" t="n">
        <v>5555060873</v>
      </c>
      <c r="E12" t="inlineStr">
        <is>
          <t>Medicare</t>
        </is>
      </c>
      <c r="F12" t="n">
        <v>138.68</v>
      </c>
    </row>
    <row r="13">
      <c r="A13" s="31" t="n">
        <v>46022.30208333334</v>
      </c>
      <c r="B13" t="n">
        <v>440415</v>
      </c>
      <c r="C13" t="inlineStr">
        <is>
          <t>Hunter, Edward</t>
        </is>
      </c>
      <c r="D13" t="n">
        <v>5556842598</v>
      </c>
      <c r="E13" t="inlineStr">
        <is>
          <t>State Medicaid</t>
        </is>
      </c>
      <c r="F13" t="n">
        <v>0</v>
      </c>
    </row>
    <row r="14">
      <c r="A14" s="31" t="n">
        <v>46022.40208333333</v>
      </c>
      <c r="B14" t="n">
        <v>3279315</v>
      </c>
      <c r="C14" t="inlineStr">
        <is>
          <t>Vazquez, Harper</t>
        </is>
      </c>
      <c r="D14" t="n">
        <v>5553472385</v>
      </c>
      <c r="E14" t="inlineStr">
        <is>
          <t>Medicare</t>
        </is>
      </c>
      <c r="F14" t="n">
        <v>0</v>
      </c>
    </row>
    <row r="15">
      <c r="A15" s="31" t="n">
        <v>46022.46041666667</v>
      </c>
      <c r="B15" t="n">
        <v>9254099</v>
      </c>
      <c r="C15" t="inlineStr">
        <is>
          <t>Stone, Ethan</t>
        </is>
      </c>
      <c r="D15" t="n">
        <v>5556723317</v>
      </c>
      <c r="E15" t="inlineStr">
        <is>
          <t>Evergreen Mutual Insurance</t>
        </is>
      </c>
      <c r="F15" t="n">
        <v>84.13</v>
      </c>
    </row>
    <row r="16">
      <c r="A16" s="31" t="n">
        <v>46022.48680555556</v>
      </c>
      <c r="B16" t="n">
        <v>2718484</v>
      </c>
      <c r="C16" t="inlineStr">
        <is>
          <t>King, Gerald</t>
        </is>
      </c>
      <c r="D16" t="n">
        <v>5556085815</v>
      </c>
      <c r="E16" t="inlineStr">
        <is>
          <t>State Medicaid</t>
        </is>
      </c>
      <c r="F16" t="n">
        <v>0</v>
      </c>
    </row>
    <row r="17">
      <c r="A17" s="31" t="n">
        <v>46022.48888888889</v>
      </c>
      <c r="B17" t="n">
        <v>787672</v>
      </c>
      <c r="C17" t="inlineStr">
        <is>
          <t>Cruz, Bobby</t>
        </is>
      </c>
      <c r="D17" t="n">
        <v>5554932519</v>
      </c>
      <c r="E17" t="inlineStr">
        <is>
          <t>Medicare</t>
        </is>
      </c>
      <c r="F17" t="n">
        <v>67.53</v>
      </c>
    </row>
    <row r="18">
      <c r="A18" s="31" t="n">
        <v>46022.49444444444</v>
      </c>
      <c r="B18" t="n">
        <v>5525049</v>
      </c>
      <c r="C18" t="inlineStr">
        <is>
          <t>Rice, Jennifer</t>
        </is>
      </c>
      <c r="D18" t="n">
        <v>5558850695</v>
      </c>
      <c r="E18" t="inlineStr">
        <is>
          <t>Silverline Medicare Advantage</t>
        </is>
      </c>
      <c r="F18" t="n">
        <v>0</v>
      </c>
    </row>
    <row r="19">
      <c r="A19" s="31" t="n">
        <v>46022.57430555556</v>
      </c>
      <c r="B19" t="n">
        <v>9708123</v>
      </c>
      <c r="C19" t="inlineStr">
        <is>
          <t>Gonzales, Marilyn</t>
        </is>
      </c>
      <c r="D19" t="n">
        <v>5555476506</v>
      </c>
      <c r="E19" t="inlineStr">
        <is>
          <t>State Medicaid</t>
        </is>
      </c>
      <c r="F19" t="n">
        <v>0</v>
      </c>
    </row>
    <row r="20">
      <c r="A20" s="31" t="n">
        <v>46022.61319444444</v>
      </c>
      <c r="B20" t="n">
        <v>6895046</v>
      </c>
      <c r="C20" t="inlineStr">
        <is>
          <t>Mills, Judith</t>
        </is>
      </c>
      <c r="D20" t="n">
        <v>5552444192</v>
      </c>
      <c r="E20" t="inlineStr">
        <is>
          <t>Keystone Health Partners</t>
        </is>
      </c>
      <c r="F20" t="n">
        <v>186.79</v>
      </c>
    </row>
    <row r="21">
      <c r="A21" s="31" t="n">
        <v>46022.62222222222</v>
      </c>
      <c r="B21" t="n">
        <v>1507990</v>
      </c>
      <c r="C21" t="inlineStr">
        <is>
          <t>Wood, Brittany</t>
        </is>
      </c>
      <c r="D21" t="n">
        <v>5553805195</v>
      </c>
      <c r="E21" t="inlineStr">
        <is>
          <t>Summit Choice PPO</t>
        </is>
      </c>
      <c r="F21" t="n">
        <v>65.2</v>
      </c>
    </row>
    <row r="22">
      <c r="A22" s="31" t="n">
        <v>46022.67777777778</v>
      </c>
      <c r="B22" t="n">
        <v>4379109</v>
      </c>
      <c r="C22" t="inlineStr">
        <is>
          <t>Black, Brian</t>
        </is>
      </c>
      <c r="D22" t="n">
        <v>5553009393</v>
      </c>
      <c r="E22" t="inlineStr">
        <is>
          <t>State Medicaid</t>
        </is>
      </c>
      <c r="F22" t="n">
        <v>0</v>
      </c>
    </row>
    <row r="23">
      <c r="A23" s="31" t="n">
        <v>46022.68402777778</v>
      </c>
      <c r="B23" t="n">
        <v>9028357</v>
      </c>
      <c r="C23" t="inlineStr">
        <is>
          <t>Simmons, Russell</t>
        </is>
      </c>
      <c r="D23" t="n">
        <v>5553734002</v>
      </c>
      <c r="E23" t="inlineStr">
        <is>
          <t>State Medicaid</t>
        </is>
      </c>
      <c r="F23" t="n">
        <v>0</v>
      </c>
    </row>
    <row r="24">
      <c r="A24" s="31" t="n">
        <v>46022.74722222222</v>
      </c>
      <c r="B24" t="n">
        <v>1508745</v>
      </c>
      <c r="C24" t="inlineStr">
        <is>
          <t>Harrison, Catherine</t>
        </is>
      </c>
      <c r="D24" t="n">
        <v>5553154437</v>
      </c>
      <c r="E24" t="inlineStr">
        <is>
          <t>State Medicaid</t>
        </is>
      </c>
      <c r="F24" t="n">
        <v>0</v>
      </c>
    </row>
  </sheetData>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G40"/>
  <sheetViews>
    <sheetView tabSelected="0" workbookViewId="0">
      <pane ySplit="4" topLeftCell="A5" activePane="bottomLeft" state="frozen"/>
      <selection pane="bottomLeft" activeCell="A1" sqref="A1"/>
    </sheetView>
  </sheetViews>
  <sheetFormatPr baseColWidth="8" defaultRowHeight="15"/>
  <cols>
    <col width="13" customWidth="1" min="1" max="1"/>
    <col width="44" customWidth="1" min="2" max="2"/>
    <col width="25" customWidth="1" min="3" max="3"/>
    <col width="17" customWidth="1" min="4" max="4"/>
    <col width="11" customWidth="1" min="5" max="5"/>
    <col width="13" customWidth="1" min="6" max="6"/>
    <col width="16" customWidth="1" min="7" max="7"/>
  </cols>
  <sheetData>
    <row r="1">
      <c r="A1" s="28" t="inlineStr">
        <is>
          <t>Cardiac Step-Down (Bluestone Memorial) · inpatient discharges · December 2025</t>
        </is>
      </c>
    </row>
    <row r="2">
      <c r="A2" s="29" t="inlineStr">
        <is>
          <t>Admitted lost its date format in the export. LOS = Discharged − Admitted, in days. Expected LOS is the diagnosis benchmark. LOS vs Expected = LOS − Expected LOS (positive = stayed longer than expected).</t>
        </is>
      </c>
    </row>
    <row r="4">
      <c r="A4" s="30" t="inlineStr">
        <is>
          <t>EncounterID</t>
        </is>
      </c>
      <c r="B4" s="30" t="inlineStr">
        <is>
          <t>Diagnosis</t>
        </is>
      </c>
      <c r="C4" s="30" t="inlineStr">
        <is>
          <t>Admitted</t>
        </is>
      </c>
      <c r="D4" s="30" t="inlineStr">
        <is>
          <t>Discharged</t>
        </is>
      </c>
      <c r="E4" s="30" t="inlineStr">
        <is>
          <t>LOS (days)</t>
        </is>
      </c>
      <c r="F4" s="30" t="inlineStr">
        <is>
          <t>Expected LOS</t>
        </is>
      </c>
      <c r="G4" s="30" t="inlineStr">
        <is>
          <t>LOS vs Expected</t>
        </is>
      </c>
    </row>
    <row r="5">
      <c r="A5" t="inlineStr">
        <is>
          <t>ENC120695</t>
        </is>
      </c>
      <c r="B5" t="inlineStr">
        <is>
          <t>Heart failure, unspecified</t>
        </is>
      </c>
      <c r="C5" t="n">
        <v>45990.53611111111</v>
      </c>
      <c r="D5" s="31" t="n">
        <v>45992.66111111111</v>
      </c>
      <c r="E5" s="32" t="n">
        <v>2.125</v>
      </c>
      <c r="F5" s="32" t="n">
        <v>4.1</v>
      </c>
      <c r="G5" t="n">
        <v>-1.975</v>
      </c>
    </row>
    <row r="6">
      <c r="A6" t="inlineStr">
        <is>
          <t>ENC120564</t>
        </is>
      </c>
      <c r="B6" t="inlineStr">
        <is>
          <t>Heart failure, unspecified</t>
        </is>
      </c>
      <c r="C6" t="n">
        <v>45986.49861111111</v>
      </c>
      <c r="D6" s="31" t="n">
        <v>45992.68888888889</v>
      </c>
      <c r="E6" s="32" t="n">
        <v>6.190277777777778</v>
      </c>
      <c r="F6" s="32" t="n">
        <v>4.1</v>
      </c>
      <c r="G6" t="n">
        <v>2.0903</v>
      </c>
    </row>
    <row r="7">
      <c r="A7" t="inlineStr">
        <is>
          <t>ENC120742</t>
        </is>
      </c>
      <c r="B7" t="inlineStr">
        <is>
          <t>Unspecified atrial fibrillation</t>
        </is>
      </c>
      <c r="C7" t="n">
        <v>45992.39166666667</v>
      </c>
      <c r="D7" s="31" t="n">
        <v>45995.53263888889</v>
      </c>
      <c r="E7" s="32" t="n">
        <v>3.140972222222222</v>
      </c>
      <c r="F7" s="32" t="n">
        <v>2.9</v>
      </c>
      <c r="G7" t="n">
        <v>0.241</v>
      </c>
    </row>
    <row r="8">
      <c r="A8" t="inlineStr">
        <is>
          <t>ENC120707</t>
        </is>
      </c>
      <c r="B8" t="inlineStr">
        <is>
          <t>Unspecified atrial fibrillation</t>
        </is>
      </c>
      <c r="C8" t="n">
        <v>45990.81180555555</v>
      </c>
      <c r="D8" s="31" t="n">
        <v>45995.63611111111</v>
      </c>
      <c r="E8" s="32" t="n">
        <v>4.824305555555555</v>
      </c>
      <c r="F8" s="32" t="n">
        <v>2.9</v>
      </c>
      <c r="G8" t="n">
        <v>1.9243</v>
      </c>
    </row>
    <row r="9">
      <c r="A9" t="inlineStr">
        <is>
          <t>ENC120879</t>
        </is>
      </c>
      <c r="B9" t="inlineStr">
        <is>
          <t>Non-ST elevation (NSTEMI) myocardial infarction</t>
        </is>
      </c>
      <c r="C9" t="n">
        <v>45995.48402777778</v>
      </c>
      <c r="D9" s="31" t="n">
        <v>45996.53958333333</v>
      </c>
      <c r="E9" s="32" t="n">
        <v>1.055555555555556</v>
      </c>
      <c r="F9" s="32" t="n">
        <v>3.4</v>
      </c>
      <c r="G9" t="n">
        <v>-2.3444</v>
      </c>
    </row>
    <row r="10">
      <c r="A10" t="inlineStr">
        <is>
          <t>ENC120694</t>
        </is>
      </c>
      <c r="B10" t="inlineStr">
        <is>
          <t>Heart failure, unspecified</t>
        </is>
      </c>
      <c r="C10" t="n">
        <v>45990.53402777778</v>
      </c>
      <c r="D10" s="31" t="n">
        <v>45996.72430555556</v>
      </c>
      <c r="E10" s="32" t="n">
        <v>6.190277777777778</v>
      </c>
      <c r="F10" s="32" t="n">
        <v>4.1</v>
      </c>
      <c r="G10" t="n">
        <v>2.0903</v>
      </c>
    </row>
    <row r="11">
      <c r="A11" t="inlineStr">
        <is>
          <t>ENC120833</t>
        </is>
      </c>
      <c r="B11" t="inlineStr">
        <is>
          <t>Non-ST elevation (NSTEMI) myocardial infarction</t>
        </is>
      </c>
      <c r="C11" t="n">
        <v>45994.42222222222</v>
      </c>
      <c r="D11" s="31" t="n">
        <v>45997.51111111111</v>
      </c>
      <c r="E11" s="32" t="n">
        <v>3.088888888888889</v>
      </c>
      <c r="F11" s="32" t="n">
        <v>3.4</v>
      </c>
      <c r="G11" t="n">
        <v>-0.3111</v>
      </c>
    </row>
    <row r="12">
      <c r="A12" t="inlineStr">
        <is>
          <t>ENC120883</t>
        </is>
      </c>
      <c r="B12" t="inlineStr">
        <is>
          <t>Unspecified atrial fibrillation</t>
        </is>
      </c>
      <c r="C12" t="n">
        <v>45995.71180555555</v>
      </c>
      <c r="D12" s="31" t="n">
        <v>45998.61597222222</v>
      </c>
      <c r="E12" s="32" t="n">
        <v>2.904166666666667</v>
      </c>
      <c r="F12" s="32" t="n">
        <v>2.9</v>
      </c>
      <c r="G12" t="n">
        <v>0.0042</v>
      </c>
    </row>
    <row r="13">
      <c r="A13" t="inlineStr">
        <is>
          <t>ENC120956</t>
        </is>
      </c>
      <c r="B13" t="inlineStr">
        <is>
          <t>Heart failure, unspecified</t>
        </is>
      </c>
      <c r="C13" t="n">
        <v>45997.02083333334</v>
      </c>
      <c r="D13" s="31" t="n">
        <v>45999.67152777778</v>
      </c>
      <c r="E13" s="32" t="n">
        <v>2.650694444444444</v>
      </c>
      <c r="F13" s="32" t="n">
        <v>4.1</v>
      </c>
      <c r="G13" t="n">
        <v>-1.4493</v>
      </c>
    </row>
    <row r="14">
      <c r="A14" t="inlineStr">
        <is>
          <t>ENC120906</t>
        </is>
      </c>
      <c r="B14" t="inlineStr">
        <is>
          <t>Heart failure, unspecified</t>
        </is>
      </c>
      <c r="C14" t="n">
        <v>45995.98680555556</v>
      </c>
      <c r="D14" s="31" t="n">
        <v>46000.64236111111</v>
      </c>
      <c r="E14" s="32" t="n">
        <v>4.655555555555556</v>
      </c>
      <c r="F14" s="32" t="n">
        <v>4.1</v>
      </c>
      <c r="G14" t="n">
        <v>0.5556</v>
      </c>
    </row>
    <row r="15">
      <c r="A15" t="inlineStr">
        <is>
          <t>ENC120589</t>
        </is>
      </c>
      <c r="B15" t="inlineStr">
        <is>
          <t>Heart failure, unspecified</t>
        </is>
      </c>
      <c r="C15" t="n">
        <v>45987.16388888889</v>
      </c>
      <c r="D15" s="31" t="n">
        <v>46004.36319444444</v>
      </c>
      <c r="E15" s="32" t="n">
        <v>17.19930555555555</v>
      </c>
      <c r="F15" s="32" t="n">
        <v>4.1</v>
      </c>
      <c r="G15" t="n">
        <v>13.0993</v>
      </c>
    </row>
    <row r="16">
      <c r="A16" t="inlineStr">
        <is>
          <t>ENC121171</t>
        </is>
      </c>
      <c r="B16" t="inlineStr">
        <is>
          <t>Heart failure, unspecified</t>
        </is>
      </c>
      <c r="C16" t="n">
        <v>46002.82152777778</v>
      </c>
      <c r="D16" s="31" t="n">
        <v>46005.65416666667</v>
      </c>
      <c r="E16" s="32" t="n">
        <v>2.832638888888889</v>
      </c>
      <c r="F16" s="32" t="n">
        <v>4.1</v>
      </c>
      <c r="G16" t="n">
        <v>-1.2674</v>
      </c>
    </row>
    <row r="17">
      <c r="A17" t="inlineStr">
        <is>
          <t>ENC121214</t>
        </is>
      </c>
      <c r="B17" t="inlineStr">
        <is>
          <t>Non-ST elevation (NSTEMI) myocardial infarction</t>
        </is>
      </c>
      <c r="C17" t="n">
        <v>46004.02708333333</v>
      </c>
      <c r="D17" s="31" t="n">
        <v>46006.50902777778</v>
      </c>
      <c r="E17" s="32" t="n">
        <v>2.481944444444444</v>
      </c>
      <c r="F17" s="32" t="n">
        <v>3.4</v>
      </c>
      <c r="G17" t="n">
        <v>-0.9181</v>
      </c>
    </row>
    <row r="18">
      <c r="A18" t="inlineStr">
        <is>
          <t>ENC121219</t>
        </is>
      </c>
      <c r="B18" t="inlineStr">
        <is>
          <t>Heart failure, unspecified</t>
        </is>
      </c>
      <c r="C18" t="n">
        <v>46004.47152777778</v>
      </c>
      <c r="D18" s="31" t="n">
        <v>46007.57986111111</v>
      </c>
      <c r="E18" s="32" t="n">
        <v>3.108333333333333</v>
      </c>
      <c r="F18" s="32" t="n">
        <v>4.1</v>
      </c>
      <c r="G18" t="n">
        <v>-0.9917</v>
      </c>
    </row>
    <row r="19">
      <c r="A19" t="inlineStr">
        <is>
          <t>ENC121296</t>
        </is>
      </c>
      <c r="B19" t="inlineStr">
        <is>
          <t>Unspecified atrial fibrillation</t>
        </is>
      </c>
      <c r="C19" t="n">
        <v>46007.25</v>
      </c>
      <c r="D19" s="31" t="n">
        <v>46008.62291666667</v>
      </c>
      <c r="E19" s="32" t="n">
        <v>1.372916666666667</v>
      </c>
      <c r="F19" s="32" t="n">
        <v>2.9</v>
      </c>
      <c r="G19" t="n">
        <v>-1.5271</v>
      </c>
    </row>
    <row r="20">
      <c r="A20" t="inlineStr">
        <is>
          <t>ENC121200</t>
        </is>
      </c>
      <c r="B20" t="inlineStr">
        <is>
          <t>Heart failure, unspecified</t>
        </is>
      </c>
      <c r="C20" t="n">
        <v>46003.79375</v>
      </c>
      <c r="D20" s="31" t="n">
        <v>46009.42986111111</v>
      </c>
      <c r="E20" s="32" t="n">
        <v>5.636111111111111</v>
      </c>
      <c r="F20" s="32" t="n">
        <v>4.1</v>
      </c>
      <c r="G20" t="n">
        <v>1.5361</v>
      </c>
    </row>
    <row r="21">
      <c r="A21" t="inlineStr">
        <is>
          <t>ENC121043</t>
        </is>
      </c>
      <c r="B21" t="inlineStr">
        <is>
          <t>Heart failure, unspecified</t>
        </is>
      </c>
      <c r="C21" t="n">
        <v>45999.97152777778</v>
      </c>
      <c r="D21" s="31" t="n">
        <v>46009.45625</v>
      </c>
      <c r="E21" s="32" t="n">
        <v>9.484722222222222</v>
      </c>
      <c r="F21" s="32" t="n">
        <v>4.1</v>
      </c>
      <c r="G21" t="n">
        <v>5.3847</v>
      </c>
    </row>
    <row r="22">
      <c r="A22" t="inlineStr">
        <is>
          <t>ENC121316</t>
        </is>
      </c>
      <c r="B22" t="inlineStr">
        <is>
          <t>Unspecified atrial fibrillation</t>
        </is>
      </c>
      <c r="C22" t="n">
        <v>46007.52708333333</v>
      </c>
      <c r="D22" s="31" t="n">
        <v>46009.65486111111</v>
      </c>
      <c r="E22" s="32" t="n">
        <v>2.127777777777778</v>
      </c>
      <c r="F22" s="32" t="n">
        <v>2.9</v>
      </c>
      <c r="G22" t="n">
        <v>-0.7722</v>
      </c>
    </row>
    <row r="23">
      <c r="A23" t="inlineStr">
        <is>
          <t>ENC121328</t>
        </is>
      </c>
      <c r="B23" t="inlineStr">
        <is>
          <t>Unspecified atrial fibrillation</t>
        </is>
      </c>
      <c r="C23" t="n">
        <v>46007.91319444445</v>
      </c>
      <c r="D23" s="31" t="n">
        <v>46010.75972222222</v>
      </c>
      <c r="E23" s="32" t="n">
        <v>2.846527777777778</v>
      </c>
      <c r="F23" s="32" t="n">
        <v>2.9</v>
      </c>
      <c r="G23" t="n">
        <v>-0.0535</v>
      </c>
    </row>
    <row r="24">
      <c r="A24" t="inlineStr">
        <is>
          <t>ENC121394</t>
        </is>
      </c>
      <c r="B24" t="inlineStr">
        <is>
          <t>Heart failure, unspecified</t>
        </is>
      </c>
      <c r="C24" t="n">
        <v>46009.42152777778</v>
      </c>
      <c r="D24" s="31" t="n">
        <v>46012.54444444444</v>
      </c>
      <c r="E24" s="32" t="n">
        <v>3.122916666666667</v>
      </c>
      <c r="F24" s="32" t="n">
        <v>4.1</v>
      </c>
      <c r="G24" t="n">
        <v>-0.9771</v>
      </c>
    </row>
    <row r="25">
      <c r="A25" t="inlineStr">
        <is>
          <t>ENC121223</t>
        </is>
      </c>
      <c r="B25" t="inlineStr">
        <is>
          <t>Heart failure, unspecified</t>
        </is>
      </c>
      <c r="C25" t="n">
        <v>46004.56666666667</v>
      </c>
      <c r="D25" s="31" t="n">
        <v>46012.59722222222</v>
      </c>
      <c r="E25" s="32" t="n">
        <v>8.030555555555555</v>
      </c>
      <c r="F25" s="32" t="n">
        <v>4.1</v>
      </c>
      <c r="G25" t="n">
        <v>3.9306</v>
      </c>
    </row>
    <row r="26">
      <c r="A26" t="inlineStr">
        <is>
          <t>ENC121437</t>
        </is>
      </c>
      <c r="B26" t="inlineStr">
        <is>
          <t>Heart failure, unspecified</t>
        </is>
      </c>
      <c r="C26" t="n">
        <v>46010.50902777778</v>
      </c>
      <c r="D26" s="31" t="n">
        <v>46013.56805555556</v>
      </c>
      <c r="E26" s="32" t="n">
        <v>3.059027777777778</v>
      </c>
      <c r="F26" s="32" t="n">
        <v>4.1</v>
      </c>
      <c r="G26" t="n">
        <v>-1.041</v>
      </c>
    </row>
    <row r="27">
      <c r="A27" t="inlineStr">
        <is>
          <t>ENC120925</t>
        </is>
      </c>
      <c r="B27" t="inlineStr">
        <is>
          <t>Heart failure, unspecified</t>
        </is>
      </c>
      <c r="C27" t="n">
        <v>45996.6</v>
      </c>
      <c r="D27" s="31" t="n">
        <v>46013.61597222222</v>
      </c>
      <c r="E27" s="32" t="n">
        <v>17.01597222222222</v>
      </c>
      <c r="F27" s="32" t="n">
        <v>4.1</v>
      </c>
      <c r="G27" t="n">
        <v>12.916</v>
      </c>
    </row>
    <row r="28">
      <c r="A28" t="inlineStr">
        <is>
          <t>ENC121500</t>
        </is>
      </c>
      <c r="B28" t="inlineStr">
        <is>
          <t>Heart failure, unspecified</t>
        </is>
      </c>
      <c r="C28" t="n">
        <v>46012.69444444445</v>
      </c>
      <c r="D28" s="31" t="n">
        <v>46015.65277777778</v>
      </c>
      <c r="E28" s="32" t="n">
        <v>2.958333333333333</v>
      </c>
      <c r="F28" s="32" t="n">
        <v>4.1</v>
      </c>
      <c r="G28" t="n">
        <v>-1.1417</v>
      </c>
    </row>
    <row r="29">
      <c r="A29" t="inlineStr">
        <is>
          <t>ENC121388</t>
        </is>
      </c>
      <c r="B29" t="inlineStr">
        <is>
          <t>Non-ST elevation (NSTEMI) myocardial infarction</t>
        </is>
      </c>
      <c r="C29" t="n">
        <v>46009.25138888889</v>
      </c>
      <c r="D29" s="31" t="n">
        <v>46016.70138888889</v>
      </c>
      <c r="E29" s="32" t="n">
        <v>7.45</v>
      </c>
      <c r="F29" s="32" t="n">
        <v>3.4</v>
      </c>
      <c r="G29" t="n">
        <v>4.05</v>
      </c>
    </row>
    <row r="30">
      <c r="A30" t="inlineStr">
        <is>
          <t>ENC121632</t>
        </is>
      </c>
      <c r="B30" t="inlineStr">
        <is>
          <t>Unspecified atrial fibrillation</t>
        </is>
      </c>
      <c r="C30" t="n">
        <v>46015.73194444444</v>
      </c>
      <c r="D30" s="31" t="n">
        <v>46017.60555555556</v>
      </c>
      <c r="E30" s="32" t="n">
        <v>1.873611111111111</v>
      </c>
      <c r="F30" s="32" t="n">
        <v>2.9</v>
      </c>
      <c r="G30" t="n">
        <v>-1.0264</v>
      </c>
    </row>
    <row r="31">
      <c r="A31" t="inlineStr">
        <is>
          <t>ENC121629</t>
        </is>
      </c>
      <c r="B31" t="inlineStr">
        <is>
          <t>Non-ST elevation (NSTEMI) myocardial infarction</t>
        </is>
      </c>
      <c r="C31" t="n">
        <v>46015.60625</v>
      </c>
      <c r="D31" s="31" t="n">
        <v>46017.82361111111</v>
      </c>
      <c r="E31" s="32" t="n">
        <v>2.217361111111111</v>
      </c>
      <c r="F31" s="32" t="n">
        <v>3.4</v>
      </c>
      <c r="G31" t="n">
        <v>-1.1826</v>
      </c>
    </row>
    <row r="32">
      <c r="A32" t="inlineStr">
        <is>
          <t>ENC121580</t>
        </is>
      </c>
      <c r="B32" t="inlineStr">
        <is>
          <t>Heart failure, unspecified</t>
        </is>
      </c>
      <c r="C32" t="n">
        <v>46014.64583333334</v>
      </c>
      <c r="D32" s="31" t="n">
        <v>46018.57013888889</v>
      </c>
      <c r="E32" s="32" t="n">
        <v>3.924305555555556</v>
      </c>
      <c r="F32" s="32" t="n">
        <v>4.1</v>
      </c>
      <c r="G32" t="n">
        <v>-0.1757</v>
      </c>
    </row>
    <row r="33">
      <c r="A33" t="inlineStr">
        <is>
          <t>ENC121495</t>
        </is>
      </c>
      <c r="B33" t="inlineStr">
        <is>
          <t>Heart failure, unspecified</t>
        </is>
      </c>
      <c r="C33" t="n">
        <v>46012.65972222222</v>
      </c>
      <c r="D33" s="31" t="n">
        <v>46020.5375</v>
      </c>
      <c r="E33" s="32" t="n">
        <v>7.877777777777778</v>
      </c>
      <c r="F33" s="32" t="n">
        <v>4.1</v>
      </c>
      <c r="G33" t="n">
        <v>3.7778</v>
      </c>
    </row>
    <row r="34">
      <c r="A34" t="inlineStr">
        <is>
          <t>ENC121529</t>
        </is>
      </c>
      <c r="B34" t="inlineStr">
        <is>
          <t>Heart failure, unspecified</t>
        </is>
      </c>
      <c r="C34" t="n">
        <v>46013.68611111111</v>
      </c>
      <c r="D34" s="31" t="n">
        <v>46020.6125</v>
      </c>
      <c r="E34" s="32" t="n">
        <v>6.926388888888889</v>
      </c>
      <c r="F34" s="32" t="n">
        <v>4.1</v>
      </c>
      <c r="G34" t="n">
        <v>2.8264</v>
      </c>
    </row>
    <row r="35">
      <c r="A35" t="inlineStr">
        <is>
          <t>ENC121738</t>
        </is>
      </c>
      <c r="B35" t="inlineStr">
        <is>
          <t>Unspecified atrial fibrillation</t>
        </is>
      </c>
      <c r="C35" t="n">
        <v>46018.86180555556</v>
      </c>
      <c r="D35" s="31" t="n">
        <v>46021.475</v>
      </c>
      <c r="E35" s="32" t="n">
        <v>2.613194444444444</v>
      </c>
      <c r="F35" s="32" t="n">
        <v>2.9</v>
      </c>
      <c r="G35" t="n">
        <v>-0.2868</v>
      </c>
    </row>
    <row r="36">
      <c r="A36" t="inlineStr">
        <is>
          <t>ENC121755</t>
        </is>
      </c>
      <c r="B36" t="inlineStr">
        <is>
          <t>Non-ST elevation (NSTEMI) myocardial infarction</t>
        </is>
      </c>
      <c r="C36" t="n">
        <v>46020.20833333334</v>
      </c>
      <c r="D36" s="31" t="n">
        <v>46021.62569444445</v>
      </c>
      <c r="E36" s="32" t="n">
        <v>1.417361111111111</v>
      </c>
      <c r="F36" s="32" t="n">
        <v>3.4</v>
      </c>
      <c r="G36" t="n">
        <v>-1.9826</v>
      </c>
    </row>
    <row r="37">
      <c r="A37" t="inlineStr">
        <is>
          <t>ENC121765</t>
        </is>
      </c>
      <c r="B37" t="inlineStr">
        <is>
          <t>Unspecified atrial fibrillation</t>
        </is>
      </c>
      <c r="C37" t="n">
        <v>46020.53958333333</v>
      </c>
      <c r="D37" s="31" t="n">
        <v>46022.52430555555</v>
      </c>
      <c r="E37" s="32" t="n">
        <v>1.984722222222222</v>
      </c>
      <c r="F37" s="32" t="n">
        <v>2.9</v>
      </c>
      <c r="G37" t="n">
        <v>-0.9153</v>
      </c>
    </row>
    <row r="38">
      <c r="A38" t="inlineStr">
        <is>
          <t>ENC121637</t>
        </is>
      </c>
      <c r="B38" t="inlineStr">
        <is>
          <t>Heart failure, unspecified</t>
        </is>
      </c>
      <c r="C38" t="n">
        <v>46015.87291666667</v>
      </c>
      <c r="D38" s="31" t="n">
        <v>46022.52708333333</v>
      </c>
      <c r="E38" s="32" t="n">
        <v>6.654166666666667</v>
      </c>
      <c r="F38" s="32" t="n">
        <v>4.1</v>
      </c>
      <c r="G38" t="n">
        <v>2.5542</v>
      </c>
    </row>
    <row r="39">
      <c r="A39" t="inlineStr">
        <is>
          <t>ENC121756</t>
        </is>
      </c>
      <c r="B39" t="inlineStr">
        <is>
          <t>Heart failure, unspecified</t>
        </is>
      </c>
      <c r="C39" t="n">
        <v>46020.41319444445</v>
      </c>
      <c r="D39" s="31" t="n">
        <v>46022.52708333333</v>
      </c>
      <c r="E39" s="32" t="n">
        <v>2.113888888888889</v>
      </c>
      <c r="F39" s="32" t="n">
        <v>4.1</v>
      </c>
      <c r="G39" t="n">
        <v>-1.9861</v>
      </c>
    </row>
    <row r="40">
      <c r="A40" t="inlineStr">
        <is>
          <t>ENC121789</t>
        </is>
      </c>
      <c r="B40" t="inlineStr">
        <is>
          <t>Unspecified atrial fibrillation</t>
        </is>
      </c>
      <c r="C40" t="n">
        <v>46020.96180555555</v>
      </c>
      <c r="D40" s="31" t="n">
        <v>46022.63263888889</v>
      </c>
      <c r="E40" s="32" t="n">
        <v>1.670833333333333</v>
      </c>
      <c r="F40" s="32" t="n">
        <v>2.9</v>
      </c>
      <c r="G40" t="n">
        <v>-1.2292</v>
      </c>
    </row>
  </sheetData>
  <pageMargins left="0.75" right="0.75" top="1" bottom="1" header="0.5" footer="0.5"/>
</worksheet>
</file>

<file path=xl/worksheets/sheet6.xml><?xml version="1.0" encoding="utf-8"?>
<worksheet xmlns="http://schemas.openxmlformats.org/spreadsheetml/2006/main">
  <sheetPr>
    <tabColor rgb="00BF9000"/>
    <outlinePr summaryBelow="1" summaryRight="1"/>
    <pageSetUpPr fitToPage="1"/>
  </sheetPr>
  <dimension ref="A1:E10"/>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6" customWidth="1" min="4" max="4"/>
    <col width="14" customWidth="1" min="5" max="5"/>
  </cols>
  <sheetData>
    <row r="1">
      <c r="A1" s="12" t="inlineStr">
        <is>
          <t>Lesson 1.3 · Bonus: Format the ED's monthly budget report</t>
        </is>
      </c>
    </row>
    <row r="2" ht="184" customHeight="1">
      <c r="A2" s="13" t="inlineStr">
        <is>
          <t>The Emergency Department director presents the December 2025 operating report to the CFO next week. Finance's style guide has five rules for department reports. Apply them on the Dec Report sheet, writing every custom format code yourself. Then type what each listed Dec Report cell displays into the yellow cells on the Bonus sheet. When you finish, compare your sheet with the hidden Report Key sheet.
- Rule 1: Center the title across A1:I1 without merging. Make the header row bold white text on a dark blue fill, wrapped and centered. Give the Total row the Total cell style.
- Rule 2: Show Dec Budget and Dec Actual in thousands with one decimal place, a dollar sign, and a K, so 843,879 displays as $843.9K.
- Rule 3: Show both Variance columns the same way, except that negative variances (over budget) are red and in parentheses instead of having a minus sign, so -25,403 displays as ($25.4K).
- Rule 4: Show both Var % columns with one decimal place, with negatives red and in parentheses, so -0.1075… displays as (10.8%).
- Rule 5: Show YTD Budget and YTD Actual with a dollar sign: in millions with two decimals and an M when the amount is 1,000,000 or more (10,290,782 displays as $10.29M), and otherwise in thousands with no decimals and a K.</t>
        </is>
      </c>
    </row>
    <row r="3" ht="34" customHeight="1">
      <c r="A3" s="14" t="inlineStr">
        <is>
          <t>Type a formula or value in each yellow cell. The Check column turns green when your answer matches. Stuck? Read the hint, then the lesson guide. Answers: right-click a sheet tab → Unhide… → 'Bonus Key'.</t>
        </is>
      </c>
    </row>
    <row r="4">
      <c r="A4" s="15">
        <f>"Score: "&amp;COUNTIF(E6:E10,"✔*")&amp;" of 5 auto-checked tasks correct"</f>
        <v/>
      </c>
    </row>
    <row r="5">
      <c r="A5" s="16" t="inlineStr">
        <is>
          <t>#</t>
        </is>
      </c>
      <c r="B5" s="16" t="inlineStr">
        <is>
          <t>Task</t>
        </is>
      </c>
      <c r="C5" s="16" t="inlineStr">
        <is>
          <t>Hint</t>
        </is>
      </c>
      <c r="D5" s="16" t="inlineStr">
        <is>
          <t>Your Answer</t>
        </is>
      </c>
      <c r="E5" s="16" t="inlineStr">
        <is>
          <t>Check</t>
        </is>
      </c>
    </row>
    <row r="6" ht="36" customHeight="1">
      <c r="A6" s="17" t="inlineStr">
        <is>
          <t>B1</t>
        </is>
      </c>
      <c r="B6" s="18" t="inlineStr">
        <is>
          <t>Rule 2: on the Dec Report sheet, what does C5 (Employee Benefits, Dec Actual) display?</t>
        </is>
      </c>
      <c r="C6" s="19" t="inlineStr">
        <is>
          <t>One comma after the last digit placeholder divides the display by 1,000</t>
        </is>
      </c>
      <c r="D6" s="20" t="n"/>
      <c r="E6" s="21">
        <f>IF(IFERROR(D6="",FALSE),"",IF(IFERROR(OR(LOWER(TRIM(D6&amp;""))=LOWER(TRIM('Bonus Key'!$C$5&amp;""))),FALSE),"✔ Correct","✘ Not yet"))</f>
        <v/>
      </c>
    </row>
    <row r="7" ht="36" customHeight="1">
      <c r="A7" s="17" t="inlineStr">
        <is>
          <t>B2</t>
        </is>
      </c>
      <c r="B7" s="18" t="inlineStr">
        <is>
          <t>Rule 3: on the Dec Report sheet, what does D11 (Salaries &amp; Wages, Dec Variance) display?</t>
        </is>
      </c>
      <c r="C7" s="19" t="inlineStr">
        <is>
          <t>Two sections: positive;negative. Put the color first in the negative section</t>
        </is>
      </c>
      <c r="D7" s="20" t="n"/>
      <c r="E7" s="21">
        <f>IF(IFERROR(D7="",FALSE),"",IF(IFERROR(OR(LOWER(TRIM(D7&amp;""))=LOWER(TRIM('Bonus Key'!$C$6&amp;""))),FALSE),"✔ Correct","✘ Not yet"))</f>
        <v/>
      </c>
    </row>
    <row r="8" ht="36" customHeight="1">
      <c r="A8" s="17" t="inlineStr">
        <is>
          <t>B3</t>
        </is>
      </c>
      <c r="B8" s="18" t="inlineStr">
        <is>
          <t>Rule 4: on the Dec Report sheet, what does I6 (Equipment &amp; Maintenance, YTD Var %) display?</t>
        </is>
      </c>
      <c r="C8" s="19" t="inlineStr">
        <is>
          <t>A % in a custom code multiplies by 100, in every section where it appears</t>
        </is>
      </c>
      <c r="D8" s="20" t="n"/>
      <c r="E8" s="21">
        <f>IF(IFERROR(D8="",FALSE),"",IF(IFERROR(OR(LOWER(TRIM(D8&amp;""))=LOWER(TRIM('Bonus Key'!$C$7&amp;""))),FALSE),"✔ Correct","✘ Not yet"))</f>
        <v/>
      </c>
    </row>
    <row r="9" ht="36" customHeight="1">
      <c r="A9" s="17" t="inlineStr">
        <is>
          <t>B4</t>
        </is>
      </c>
      <c r="B9" s="18" t="inlineStr">
        <is>
          <t>Rule 5: on the Dec Report sheet, what does G12 (the Total row's YTD Actual) display?</t>
        </is>
      </c>
      <c r="C9" s="19" t="inlineStr">
        <is>
          <t>Conditions go in square brackets at the start of a section, like [&gt;=1000000]</t>
        </is>
      </c>
      <c r="D9" s="20" t="n"/>
      <c r="E9" s="21">
        <f>IF(IFERROR(D9="",FALSE),"",IF(IFERROR(OR(LOWER(TRIM(D9&amp;""))=LOWER(TRIM('Bonus Key'!$C$8&amp;""))),FALSE),"✔ Correct","✘ Not yet"))</f>
        <v/>
      </c>
    </row>
    <row r="10" ht="36" customHeight="1">
      <c r="A10" s="17" t="inlineStr">
        <is>
          <t>B5</t>
        </is>
      </c>
      <c r="B10" s="18" t="inlineStr">
        <is>
          <t>Rule 5: on the Dec Report sheet, what does F8 (Other Operating, YTD Budget) display?</t>
        </is>
      </c>
      <c r="C10" s="19" t="inlineStr">
        <is>
          <t>A value that fails the first condition moves on to the next section</t>
        </is>
      </c>
      <c r="D10" s="20" t="n"/>
      <c r="E10" s="21">
        <f>IF(IFERROR(D10="",FALSE),"",IF(IFERROR(OR(LOWER(TRIM(D10&amp;""))=LOWER(TRIM('Bonus Key'!$C$9&amp;""))),FALSE),"✔ Correct","✘ Not yet"))</f>
        <v/>
      </c>
    </row>
  </sheetData>
  <mergeCells count="3">
    <mergeCell ref="A2:E2"/>
    <mergeCell ref="A4:C4"/>
    <mergeCell ref="A3:E3"/>
  </mergeCells>
  <conditionalFormatting sqref="E6:E10">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7.xml><?xml version="1.0" encoding="utf-8"?>
<worksheet xmlns="http://schemas.openxmlformats.org/spreadsheetml/2006/main">
  <sheetPr>
    <tabColor rgb="00BF9000"/>
    <outlinePr summaryBelow="1" summaryRight="1"/>
    <pageSetUpPr/>
  </sheetPr>
  <dimension ref="A1:I12"/>
  <sheetViews>
    <sheetView tabSelected="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t="inlineStr">
        <is>
          <t>Emergency Department · Monthly Operating Expense Report · December 2025</t>
        </is>
      </c>
    </row>
    <row r="2">
      <c r="A2" t="inlineStr">
        <is>
          <t>Bluestone Memorial Hospital, cost center 6100. Variance = Budget − Actual (negative = over budget). YTD = January–December 2025.</t>
        </is>
      </c>
    </row>
    <row r="4">
      <c r="A4" t="inlineStr">
        <is>
          <t>Expense category</t>
        </is>
      </c>
      <c r="B4" t="inlineStr">
        <is>
          <t>Dec Budget</t>
        </is>
      </c>
      <c r="C4" t="inlineStr">
        <is>
          <t>Dec Actual</t>
        </is>
      </c>
      <c r="D4" t="inlineStr">
        <is>
          <t>Dec Variance</t>
        </is>
      </c>
      <c r="E4" t="inlineStr">
        <is>
          <t>Dec Var %</t>
        </is>
      </c>
      <c r="F4" t="inlineStr">
        <is>
          <t>YTD Budget</t>
        </is>
      </c>
      <c r="G4" t="inlineStr">
        <is>
          <t>YTD Actual</t>
        </is>
      </c>
      <c r="H4" t="inlineStr">
        <is>
          <t>YTD Variance</t>
        </is>
      </c>
      <c r="I4" t="inlineStr">
        <is>
          <t>YTD Var %</t>
        </is>
      </c>
    </row>
    <row r="5">
      <c r="A5" t="inlineStr">
        <is>
          <t>Employee Benefits</t>
        </is>
      </c>
      <c r="B5" t="n">
        <v>236286</v>
      </c>
      <c r="C5" t="n">
        <v>261689</v>
      </c>
      <c r="D5" t="n">
        <v>-25403</v>
      </c>
      <c r="E5" t="n">
        <v>-0.1075095435192944</v>
      </c>
      <c r="F5" t="n">
        <v>2782078</v>
      </c>
      <c r="G5" t="n">
        <v>2857681</v>
      </c>
      <c r="H5" t="n">
        <v>-75603</v>
      </c>
      <c r="I5" t="n">
        <v>-0.02717501090911182</v>
      </c>
    </row>
    <row r="6">
      <c r="A6" t="inlineStr">
        <is>
          <t>Equipment &amp; Maintenance</t>
        </is>
      </c>
      <c r="B6" t="n">
        <v>42194</v>
      </c>
      <c r="C6" t="n">
        <v>48423</v>
      </c>
      <c r="D6" t="n">
        <v>-6229</v>
      </c>
      <c r="E6" t="n">
        <v>-0.1476276247807745</v>
      </c>
      <c r="F6" t="n">
        <v>496801</v>
      </c>
      <c r="G6" t="n">
        <v>537673</v>
      </c>
      <c r="H6" t="n">
        <v>-40872</v>
      </c>
      <c r="I6" t="n">
        <v>-0.0822703658003909</v>
      </c>
    </row>
    <row r="7">
      <c r="A7" t="inlineStr">
        <is>
          <t>Medical Supplies</t>
        </is>
      </c>
      <c r="B7" t="n">
        <v>118143</v>
      </c>
      <c r="C7" t="n">
        <v>114612</v>
      </c>
      <c r="D7" t="n">
        <v>3531</v>
      </c>
      <c r="E7" t="n">
        <v>0.02988750920494655</v>
      </c>
      <c r="F7" t="n">
        <v>1391039</v>
      </c>
      <c r="G7" t="n">
        <v>1381877</v>
      </c>
      <c r="H7" t="n">
        <v>9162</v>
      </c>
      <c r="I7" t="n">
        <v>0.006586443658301457</v>
      </c>
    </row>
    <row r="8">
      <c r="A8" t="inlineStr">
        <is>
          <t>Other Operating</t>
        </is>
      </c>
      <c r="B8" t="n">
        <v>25316</v>
      </c>
      <c r="C8" t="n">
        <v>25147</v>
      </c>
      <c r="D8" t="n">
        <v>169</v>
      </c>
      <c r="E8" t="n">
        <v>0.006675620161162901</v>
      </c>
      <c r="F8" t="n">
        <v>298078</v>
      </c>
      <c r="G8" t="n">
        <v>312576</v>
      </c>
      <c r="H8" t="n">
        <v>-14498</v>
      </c>
      <c r="I8" t="n">
        <v>-0.04863827588751937</v>
      </c>
    </row>
    <row r="9">
      <c r="A9" t="inlineStr">
        <is>
          <t>Pharmaceuticals</t>
        </is>
      </c>
      <c r="B9" t="n">
        <v>75949</v>
      </c>
      <c r="C9" t="n">
        <v>71566</v>
      </c>
      <c r="D9" t="n">
        <v>4383</v>
      </c>
      <c r="E9" t="n">
        <v>0.05770977893059816</v>
      </c>
      <c r="F9" t="n">
        <v>894238</v>
      </c>
      <c r="G9" t="n">
        <v>923543</v>
      </c>
      <c r="H9" t="n">
        <v>-29305</v>
      </c>
      <c r="I9" t="n">
        <v>-0.03277091780935277</v>
      </c>
    </row>
    <row r="10">
      <c r="A10" t="inlineStr">
        <is>
          <t>Purchased Services</t>
        </is>
      </c>
      <c r="B10" t="n">
        <v>101266</v>
      </c>
      <c r="C10" t="n">
        <v>117116</v>
      </c>
      <c r="D10" t="n">
        <v>-15850</v>
      </c>
      <c r="E10" t="n">
        <v>-0.1565184760926668</v>
      </c>
      <c r="F10" t="n">
        <v>1192324</v>
      </c>
      <c r="G10" t="n">
        <v>1259187</v>
      </c>
      <c r="H10" t="n">
        <v>-66863</v>
      </c>
      <c r="I10" t="n">
        <v>-0.05607787816063419</v>
      </c>
    </row>
    <row r="11">
      <c r="A11" t="inlineStr">
        <is>
          <t>Salaries &amp; Wages</t>
        </is>
      </c>
      <c r="B11" t="n">
        <v>843879</v>
      </c>
      <c r="C11" t="n">
        <v>891650</v>
      </c>
      <c r="D11" t="n">
        <v>-47771</v>
      </c>
      <c r="E11" t="n">
        <v>-0.05660882662087811</v>
      </c>
      <c r="F11" t="n">
        <v>9935999</v>
      </c>
      <c r="G11" t="n">
        <v>10290782</v>
      </c>
      <c r="H11" t="n">
        <v>-354783</v>
      </c>
      <c r="I11" t="n">
        <v>-0.03570682726517987</v>
      </c>
    </row>
    <row r="12">
      <c r="A12" t="inlineStr">
        <is>
          <t>Total</t>
        </is>
      </c>
      <c r="B12" t="n">
        <v>1443033</v>
      </c>
      <c r="C12" t="n">
        <v>1530203</v>
      </c>
      <c r="D12" t="n">
        <v>-87170</v>
      </c>
      <c r="E12" t="n">
        <v>-0.06040748894862418</v>
      </c>
      <c r="F12" t="n">
        <v>16990557</v>
      </c>
      <c r="G12" t="n">
        <v>17563319</v>
      </c>
      <c r="H12" t="n">
        <v>-572762</v>
      </c>
      <c r="I12" t="n">
        <v>-0.03371060760397673</v>
      </c>
    </row>
  </sheetData>
  <pageMargins left="0.75" right="0.75" top="1" bottom="1" header="0.5" footer="0.5"/>
</worksheet>
</file>

<file path=xl/worksheets/sheet8.xml><?xml version="1.0" encoding="utf-8"?>
<worksheet xmlns="http://schemas.openxmlformats.org/spreadsheetml/2006/main">
  <sheetPr>
    <tabColor rgb="00C00000"/>
    <outlinePr summaryBelow="1" summaryRight="1"/>
    <pageSetUpPr fitToPage="1"/>
  </sheetPr>
  <dimension ref="A1:F17"/>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25" customWidth="1" min="5" max="5"/>
    <col width="62" customWidth="1" min="6" max="6"/>
  </cols>
  <sheetData>
    <row r="1">
      <c r="A1" s="33" t="inlineStr">
        <is>
          <t>🔑 Answer Key — Lesson 1.3</t>
        </is>
      </c>
    </row>
    <row r="2" ht="32" customHeight="1">
      <c r="A2" s="34" t="inlineStr">
        <is>
          <t>Spoiler alert: try every task before reading this sheet. Column C is the value the Check column compares against. Column D is a sample solution, and column E recalculates a formula for it live, proving the answer.</t>
        </is>
      </c>
    </row>
    <row r="4">
      <c r="A4" s="35" t="inlineStr">
        <is>
          <t>#</t>
        </is>
      </c>
      <c r="B4" s="35" t="inlineStr">
        <is>
          <t>Task</t>
        </is>
      </c>
      <c r="C4" s="35" t="inlineStr">
        <is>
          <t>Answer</t>
        </is>
      </c>
      <c r="D4" s="35" t="inlineStr">
        <is>
          <t>Sample solution</t>
        </is>
      </c>
      <c r="E4" s="35" t="inlineStr">
        <is>
          <t>Live result</t>
        </is>
      </c>
      <c r="F4" s="35" t="inlineStr">
        <is>
          <t>Explanation</t>
        </is>
      </c>
    </row>
    <row r="5" ht="126" customHeight="1">
      <c r="A5" s="17" t="inlineStr">
        <is>
          <t>1</t>
        </is>
      </c>
      <c r="B5" s="18" t="inlineStr">
        <is>
          <t>On the Budget sheet, select the Variance cells E5:E21 and press Ctrl + Shift + $ (Mac: ⌃ + Shift + $). What does E11 (Emergency Department, which spent more than its budget) display now?</t>
        </is>
      </c>
      <c r="C5" s="36" t="inlineStr">
        <is>
          <t>($572,762.00)</t>
        </is>
      </c>
      <c r="D5" s="37" t="inlineStr">
        <is>
          <t>1. Select Budget!E5:E21.
2. Press Ctrl + Shift + $ (Mac: ⌃ + Shift + $).
3. Read E11.</t>
        </is>
      </c>
      <c r="E5" cm="1" s="38">
        <f t="array" ref="E5">TEXT(Budget!E11,"$#,##0.00_);($#,##0.00)")</f>
        <v/>
      </c>
      <c r="F5" s="18" t="inlineStr">
        <is>
          <t>The shortcut applies the Currency format with two decimals, whose code is $#,##0.00_);($#,##0.00). The part after the semicolon is used for negative numbers, and it wraps them in parentheses instead of showing a minus sign, the way accountants write losses. The stored value is still -572762. Click the cell and look at the formula bar to confirm. (The key's live formula uses TEXT, a Lesson 2.2 function that returns what a format would display.)</t>
        </is>
      </c>
    </row>
    <row r="6" ht="96" customHeight="1">
      <c r="A6" s="17" t="inlineStr">
        <is>
          <t>2</t>
        </is>
      </c>
      <c r="B6" s="18" t="inlineStr">
        <is>
          <t>Select the Variance % cells F5:F21, press Ctrl + Shift + % (Mac: ⌃ + Shift + %), then click Home → Increase Decimal once. What does F17 (Orthopedics &amp; Spine) display?</t>
        </is>
      </c>
      <c r="C6" s="36" t="inlineStr">
        <is>
          <t>-4.6%</t>
        </is>
      </c>
      <c r="D6" s="37" t="inlineStr">
        <is>
          <t>1. Select Budget!F5:F21.
2. Press Ctrl + Shift + % (Mac: ⌃ + Shift + %). The cells show whole percentages.
3. Click Home → Increase Decimal (the .00 button with the left arrow) once.
4. Read F17.</t>
        </is>
      </c>
      <c r="E6" cm="1" s="38">
        <f t="array" ref="E6">TEXT(Budget!F17,"0.0%")</f>
        <v/>
      </c>
      <c r="F6" s="18" t="inlineStr">
        <is>
          <t>The cell stores -0.046203… The Percentage format multiplies by 100 for display only and adds the % sign, so it shows -5% at first and -4.6% after one Increase Decimal click. Excel rounds the display, but the stored value keeps every digit.</t>
        </is>
      </c>
    </row>
    <row r="7" ht="81" customHeight="1">
      <c r="A7" s="17" t="inlineStr">
        <is>
          <t>3</t>
        </is>
      </c>
      <c r="B7" s="18" t="inlineStr">
        <is>
          <t>C5 already has a finance format: it shows the Laboratory budget in thousands with a K. What number is actually stored in C5? Click the cell and read the formula bar.</t>
        </is>
      </c>
      <c r="C7" s="39" t="n">
        <v>11736897</v>
      </c>
      <c r="D7" s="37" t="inlineStr">
        <is>
          <t>Click Budget!C5 and read the formula bar. It shows the full dollar amount.</t>
        </is>
      </c>
      <c r="E7" cm="1" s="18">
        <f t="array" ref="E7">Budget!C5</f>
        <v/>
      </c>
      <c r="F7" s="18" t="inlineStr">
        <is>
          <t>The cell displays $11,737K, but it stores 11,736,897. The custom code $#,##0,"K" ends with a comma after the last 0, which tells Excel to display the number divided by 1,000. Any formula that uses C5 still gets the full amount, so totals stay exact even when every cell is shown in thousands.</t>
        </is>
      </c>
    </row>
    <row r="8" ht="141" customHeight="1">
      <c r="A8" s="17" t="inlineStr">
        <is>
          <t>4</t>
        </is>
      </c>
      <c r="B8" s="18" t="inlineStr">
        <is>
          <t>Copy C5's format to the rest of the money columns with Format Painter: select C5, double-click Home → Format Painter, drag over C5:E20, then drag over the Total row C21:E21, and press Esc. What does E6 (Pharmacy's variance) display now?</t>
        </is>
      </c>
      <c r="C8" s="36" t="inlineStr">
        <is>
          <t>-$231K</t>
        </is>
      </c>
      <c r="D8" s="37" t="inlineStr">
        <is>
          <t>1. Select Budget!C5.
2. Double-click Home → Format Painter (the paintbrush). Double-clicking keeps it switched on.
3. Drag over C5:E20, then drag over the Total row, C21:E21.
4. Press Esc (or click the paintbrush again) to switch it off.
5. Read E6.</t>
        </is>
      </c>
      <c r="E8" cm="1" s="38">
        <f t="array" ref="E8">TEXT(Budget!E6,"$#,##0,""K""")</f>
        <v/>
      </c>
      <c r="F8" s="18" t="inlineStr">
        <is>
          <t>Format Painter copies all of C5's formatting (number format, font, fill, borders, alignment) onto the cells you paint. $#,##0,"K" has a single section, so Excel uses it for every number and simply puts a minus sign in front of negatives: -230,692 shows as -$231K. The parentheses from task 1 are gone because each cell has only one number format, and the newest one wins. A single click on Format Painter paints once. A double-click lets you paint several ranges until you press Esc.</t>
        </is>
      </c>
    </row>
    <row r="9" ht="111" customHeight="1">
      <c r="A9" s="17" t="inlineStr">
        <is>
          <t>5</t>
        </is>
      </c>
      <c r="B9" s="18" t="inlineStr">
        <is>
          <t>On the Registry sheet, select the PatientDue cells F5:F24 and click Home → Accounting Number Format (the $ button). Cox, Ronald (row 5) owes nothing for this visit. What character does F5 show where the 0 used to be?</t>
        </is>
      </c>
      <c r="C9" s="36" t="inlineStr">
        <is>
          <t>-</t>
        </is>
      </c>
      <c r="D9" s="37" t="inlineStr">
        <is>
          <t>1. Select Registry!F5:F24.
2. Click the $ button in the Number group of the Home tab (its ScreenTip says Accounting Number Format).
3. Look at F5: the $ sits at the left edge and a dash sits near the right.</t>
        </is>
      </c>
      <c r="E9" s="17" t="inlineStr">
        <is>
          <t>—</t>
        </is>
      </c>
      <c r="F9" s="18" t="inlineStr">
        <is>
          <t>The Accounting code is _($* #,##0.00_);_($* (#,##0.00);_($* "-"??_);_(@_). Its third section (zero) prints a dash, so a column of balances shows which patients owe nothing at a glance. Accounting also pins the $ to the left edge of the cell and lines up the decimal points, and it always shows negatives in parentheses. Currency puts the $ right next to the number and shows $0.00 for zero. The cell still stores 0.</t>
        </is>
      </c>
    </row>
    <row r="10" ht="111" customHeight="1">
      <c r="A10" s="17" t="inlineStr">
        <is>
          <t>6</t>
        </is>
      </c>
      <c r="B10" s="18" t="inlineStr">
        <is>
          <t>The MRN column lost its leading zeros on the way out of the registration system. Bluestone MRNs are always 8 digits. Select B5:B24, open Format Cells (Ctrl + 1; Mac: ⌘ + 1), choose Custom, and type the code 00000000 in the Type box. What does B13 display?</t>
        </is>
      </c>
      <c r="C10" s="36" t="inlineStr">
        <is>
          <t>00440415</t>
        </is>
      </c>
      <c r="D10" s="37" t="inlineStr">
        <is>
          <t>1. Select Registry!B5:B24 and press Ctrl + 1 (Mac: ⌘ + 1).
2. On the Number tab choose Custom, replace the Type box with 00000000, and click OK.
3. Read B13.</t>
        </is>
      </c>
      <c r="E10" cm="1" s="38">
        <f t="array" ref="E10">TEXT(Registry!B13,"00000000")</f>
        <v/>
      </c>
      <c r="F10" s="18" t="inlineStr">
        <is>
          <t>The cell stores the number 440415. Each 0 in 00000000 is a placeholder that forces a digit, so Excel pads the display to 8 digits: 00440415. This fixes how the MRN looks on a printed list. The value is still a number, though, so it won't match the text MRN 00440415 in another system or in a lookup. When you control data entry, store IDs as text instead (Lesson 1.2).</t>
        </is>
      </c>
    </row>
    <row r="11" ht="111" customHeight="1">
      <c r="A11" s="17" t="inlineStr">
        <is>
          <t>7</t>
        </is>
      </c>
      <c r="B11" s="18" t="inlineStr">
        <is>
          <t>The Phone column (D) stores 10-digit numbers. Write a custom number format that shows each one the usual US way: the first three digits in parentheses, a space, three digits, a hyphen, and the last four digits. For example, D5 (5555298330) should display as (555) 529-8330. Apply your format to D5:D24, then type the format code you used.</t>
        </is>
      </c>
      <c r="C11" s="36" t="inlineStr">
        <is>
          <t>(000) 000-0000</t>
        </is>
      </c>
      <c r="D11" s="37" t="inlineStr">
        <is>
          <t>1. Select Registry!D5:D24 and press Ctrl + 1 (Mac: ⌘ + 1).
2. Choose Custom and type (000) 000-0000 in the Type box. Click OK.
3. Type (000) 000-0000 in the answer cell.</t>
        </is>
      </c>
      <c r="E11" s="17" t="inlineStr">
        <is>
          <t>—</t>
        </is>
      </c>
      <c r="F11" s="18" t="inlineStr">
        <is>
          <t>(000) 000-0000 has ten 0 placeholders, filled from the right with the number's ten digits. Parentheses, the space, and the hyphen are characters Excel prints as-is, without quotes. The check also accepts (###) ###-#### (the same for 10-digit numbers) and Excel's built-in Special → Phone Number format, [&lt;=9999999]###-####;(###) ###-####, which you'll see in the Custom box if you used Special.</t>
        </is>
      </c>
    </row>
    <row r="12" ht="81" customHeight="1">
      <c r="A12" s="17" t="inlineStr">
        <is>
          <t>8</t>
        </is>
      </c>
      <c r="B12" s="18" t="inlineStr">
        <is>
          <t>On the Stays sheet, the Admitted column (C) shows serial numbers because the export lost its date format. Select C5:C40 and apply the custom format ddd mm/dd/yyyy h:mm AM/PM. What does C6 display?</t>
        </is>
      </c>
      <c r="C12" s="36" t="inlineStr">
        <is>
          <t>Tue 11/25/2025 11:58 AM</t>
        </is>
      </c>
      <c r="D12" s="37" t="inlineStr">
        <is>
          <t>1. Select Stays!C5:C40 and press Ctrl + 1 (Mac: ⌘ + 1).
2. Choose Custom, type ddd mm/dd/yyyy h:mm AM/PM, and click OK.
3. Read C6.</t>
        </is>
      </c>
      <c r="E12" cm="1" s="38">
        <f t="array" ref="E12">TEXT(Stays!C6,"ddd mm/dd/yyyy h:mm AM/PM")</f>
        <v/>
      </c>
      <c r="F12" s="18" t="inlineStr">
        <is>
          <t>The cell stores 45986.49861: the whole number is the date and the decimal is the time of day. ddd gives the short day name, mm/dd/yyyy the date with leading zeros, and h:mm AM/PM a 12-hour time without a leading zero. Because mm follows h, Excel reads it as minutes, not months.</t>
        </is>
      </c>
    </row>
    <row r="13" ht="96" customHeight="1">
      <c r="A13" s="17" t="inlineStr">
        <is>
          <t>9</t>
        </is>
      </c>
      <c r="B13" s="18" t="inlineStr">
        <is>
          <t>The LOS (days) column is formatted to show one decimal place. E7 shows 3.1. What value is actually stored in that cell? Read the formula bar and enter at least 4 decimal places.</t>
        </is>
      </c>
      <c r="C13" s="39" t="n">
        <v>3.140972222222222</v>
      </c>
      <c r="D13" s="37" t="inlineStr">
        <is>
          <t>Click Stays!E7 and read the formula bar.</t>
        </is>
      </c>
      <c r="E13" cm="1" s="18">
        <f t="array" ref="E13">Stays!E7</f>
        <v/>
      </c>
      <c r="F13" s="18" t="inlineStr">
        <is>
          <t>The stay lasted 4,523 minutes, and 4,523 ÷ 1,440 minutes per day = 3.14097222… days. The 0.0 format only rounds what you see. If you add up the LOS column, Excel adds the full values, so a total can differ slightly from the sum of the rounded numbers on screen. Use ROUND (Lesson 1.4) when the rounded number is the one you mean.</t>
        </is>
      </c>
    </row>
    <row r="14" ht="81" customHeight="1">
      <c r="A14" s="17" t="inlineStr">
        <is>
          <t>10</t>
        </is>
      </c>
      <c r="B14" s="18" t="inlineStr">
        <is>
          <t>Hospitals often track length of stay in hours. Select E5:E40 and apply the custom format [h]:mm. What does E15 (the longest stay of the month) display?</t>
        </is>
      </c>
      <c r="C14" s="36" t="inlineStr">
        <is>
          <t>412:47</t>
        </is>
      </c>
      <c r="D14" s="37" t="inlineStr">
        <is>
          <t>1. Select Stays!E5:E40 and press Ctrl + 1 (Mac: ⌘ + 1).
2. Choose Custom, type [h]:mm, and click OK.
3. Read E15.</t>
        </is>
      </c>
      <c r="E14" cm="1" s="38">
        <f t="array" ref="E14">TEXT(Stays!E15,"[h]:mm")</f>
        <v/>
      </c>
      <c r="F14" s="18" t="inlineStr">
        <is>
          <t>The cell stores 17.1993 days. One day is 24 hours, so that's 412 hours and 47 minutes. [h] shows elapsed hours. Plain h:mm would show 4:47, the clock time, because ordinary hours roll back to 0 every 24 hours. Use [h]:mm for any duration that can pass a day: LOS, shift hours, ED boarding time.</t>
        </is>
      </c>
    </row>
    <row r="15" ht="126" customHeight="1">
      <c r="A15" s="17" t="inlineStr">
        <is>
          <t>11</t>
        </is>
      </c>
      <c r="B15" s="18" t="inlineStr">
        <is>
          <t>Column G (LOS vs Expected) stores LOS minus the diagnosis's expected LOS, in days, so a positive value means the patient stayed longer than expected. Write a two-section custom format for G5:G40: positive values in red with a plus sign and the word days (like +2.1 days), and negative values with a minus sign (like -0.4 days), each with one decimal. What does G5 display?</t>
        </is>
      </c>
      <c r="C15" s="36" t="inlineStr">
        <is>
          <t>-2.0 days</t>
        </is>
      </c>
      <c r="D15" s="37" t="inlineStr">
        <is>
          <t>1. Select Stays!G5:G40 and press Ctrl + 1 (Mac: ⌘ + 1).
2. Choose Custom, type [Red]+0.0 "days";-0.0 "days", and click OK.
3. Read G5.</t>
        </is>
      </c>
      <c r="E15" cm="1" s="38">
        <f t="array" ref="E15">TEXT(Stays!G5,"[Red]+0.0 ""days"";-0.0 ""days""")</f>
        <v/>
      </c>
      <c r="F15" s="18" t="inlineStr">
        <is>
          <t>[Red]+0.0 "days";-0.0 "days" has two sections. The first (positive and zero) starts with the color [Red], then a literal +, the number, and the text "days" in quotes. The second section (negative) has no color. When a format has a negative section, Excel stops adding the minus sign for you, so you type it yourself. Without it, -1.975 would display as 2.0 days and look like a positive number. 15 of the 36 stays show in red because they lasted longer than expected.</t>
        </is>
      </c>
    </row>
    <row r="16" ht="141" customHeight="1">
      <c r="A16" s="17" t="inlineStr">
        <is>
          <t>12</t>
        </is>
      </c>
      <c r="B16" s="18" t="inlineStr">
        <is>
          <t>Back on the Budget sheet, column A labels each department's service line with merged cells. Select A5:A20 and read Count on the status bar (it counts cells that aren't empty). How many of those 16 cells actually contain a service-line label?</t>
        </is>
      </c>
      <c r="C16" s="39" t="n">
        <v>11</v>
      </c>
      <c r="D16" s="37" t="inlineStr">
        <is>
          <t>Select Budget!A5:A20 and read Count on the status bar.</t>
        </is>
      </c>
      <c r="E16" cm="1" s="18">
        <f t="array" ref="E16">COUNTA(Budget!A5:A20)</f>
        <v/>
      </c>
      <c r="F16" s="18" t="inlineStr">
        <is>
          <t>There are 16 departments but only 11 labels, because a merged block keeps its value in the top-left cell and the other cells are empty. For example, only the first Medicine row really says Medicine. Sort, filter, copy, or count by service line and the rows under each block behave as if they had no service line. Excel even refuses to sort a range whose merged cells are different sizes. Task 13 replaces the merges with a label on every row. (After task 13, the key's live COUNTA shows 16, because every row then has its label.)</t>
        </is>
      </c>
    </row>
    <row r="17" ht="409" customHeight="1">
      <c r="A17" s="17" t="inlineStr">
        <is>
          <t>13</t>
        </is>
      </c>
      <c r="B17" s="18" t="inlineStr">
        <is>
          <t>Finish the Budget report so it looks like the hidden Budget Key sheet: (1) unmerge A1:F1 and center the title with Center Across Selection; (2) unmerge column A and fill each service line down so every row has its label; (3) make header row 4 bold with white text on a dark blue fill, wrapped and centered; (4) add All Borders to A4:F21; (5) apply the Total cell style to A21:F21; (6) select A4:F21 and AutoFit the columns with Home → Format → AutoFit Column Width. Then zoom in on row 21: what kind of line does the Total style draw along the bottom of the row? Answer in a word or two.</t>
        </is>
      </c>
      <c r="C17" s="36" t="inlineStr">
        <is>
          <t>double</t>
        </is>
      </c>
      <c r="D17" s="37" t="inlineStr">
        <is>
          <t>1. Title: select A1 and click Home → Merge &amp; Center to unmerge it. Select A1:F1, press Ctrl + 1 (Mac: ⌘ + 1), and on the Alignment tab set Horizontal to Center Across Selection.
2. Service lines: select A5:A20 and choose Home → Merge &amp; Center ▾ → Unmerge Cells. Then, for each block that now has blank cells under its label (A5:A7, A12:A14, A19:A20), select the block and press Ctrl + D (Mac: ⌘ + D) to fill the label down.
3. Header: select A4:F4. Press Ctrl + B (Mac: ⌘ + B), pick Home → Font Color ▾ → White, Home → Fill Color ▾ → Dark Blue (or any dark theme color), then click Wrap Text and Center.
4. Borders: select A4:F21 and choose Home → Borders ▾ → All Borders.
5. Total row: select A21:F21 and choose Home → Cell Styles → Total (in the Titles and Headings group).
6. AutoFit: select A4:F21 (just the table, not whole columns) and choose Home → Format → AutoFit Column Width (Windows KeyTips Alt, H, O, I). Selecting whole columns would also measure the long note in A2, and column A would grow as wide as that sentence.
7. Unhide Budget Key (right-click a sheet tab → Unhide…) and compare.</t>
        </is>
      </c>
      <c r="E17" s="17" t="inlineStr">
        <is>
          <t>—</t>
        </is>
      </c>
      <c r="F17" s="18" t="inlineStr">
        <is>
          <t>The built-in Total style makes the text bold and draws a thin line above the row and a double line below it, the accounting convention for a grand total. Because it's a style, every total row you apply it to looks the same. Its lines use a theme color, so if you switched the workbook to another theme in Page Layout → Themes, the Total lines would change color while a header fill picked from Standard Colors (Dark Blue) would stay put. Center Across Selection looks exactly like Merge &amp; Center but leaves every cell independent, so sorting, selecting columns, and copying keep working.</t>
        </is>
      </c>
    </row>
  </sheetData>
  <mergeCells count="1">
    <mergeCell ref="A2:F2"/>
  </mergeCells>
  <pageMargins left="0.75" right="0.75" top="1" bottom="1" header="0.5" footer="0.5"/>
  <pageSetup orientation="landscape" fitToHeight="0" fitToWidth="1"/>
</worksheet>
</file>

<file path=xl/worksheets/sheet9.xml><?xml version="1.0" encoding="utf-8"?>
<worksheet xmlns="http://schemas.openxmlformats.org/spreadsheetml/2006/main">
  <sheetPr>
    <tabColor rgb="00C00000"/>
    <outlinePr summaryBelow="1" summaryRight="1"/>
    <pageSetUpPr fitToPage="1"/>
  </sheetPr>
  <dimension ref="A1:F9"/>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33" t="inlineStr">
        <is>
          <t>🔑 Bonus Key — Lesson 1.3</t>
        </is>
      </c>
    </row>
    <row r="2" ht="32" customHeight="1">
      <c r="A2" s="34" t="inlineStr">
        <is>
          <t>Spoiler alert: try every task before reading this sheet. Column C is the value the Check column compares against. Column D is a sample solution, and column E recalculates a formula for it live, proving the answer.</t>
        </is>
      </c>
    </row>
    <row r="4">
      <c r="A4" s="35" t="inlineStr">
        <is>
          <t>#</t>
        </is>
      </c>
      <c r="B4" s="35" t="inlineStr">
        <is>
          <t>Task</t>
        </is>
      </c>
      <c r="C4" s="35" t="inlineStr">
        <is>
          <t>Answer</t>
        </is>
      </c>
      <c r="D4" s="35" t="inlineStr">
        <is>
          <t>Sample solution</t>
        </is>
      </c>
      <c r="E4" s="35" t="inlineStr">
        <is>
          <t>Live result</t>
        </is>
      </c>
      <c r="F4" s="35" t="inlineStr">
        <is>
          <t>Explanation</t>
        </is>
      </c>
    </row>
    <row r="5" ht="171" customHeight="1">
      <c r="A5" s="17" t="inlineStr">
        <is>
          <t>B1</t>
        </is>
      </c>
      <c r="B5" s="18" t="inlineStr">
        <is>
          <t>Rule 2: on the Dec Report sheet, what does C5 (Employee Benefits, Dec Actual) display?</t>
        </is>
      </c>
      <c r="C5" s="36" t="inlineStr">
        <is>
          <t>$261.7K</t>
        </is>
      </c>
      <c r="D5" s="37" t="inlineStr">
        <is>
          <t>1. Rule 1 uses the same steps as practice task 13: select 'Dec Report'!A1:I1 and set Center Across Selection (Ctrl + 1, Mac: ⌘ + 1 → Alignment tab), style the header A4:I4 (bold, white font, dark blue fill, Wrap Text, Center), and apply Home → Cell Styles → Total to A12:I12.
2. Rule 2: select 'Dec Report'!B5:C12, press Ctrl + 1 (Mac: ⌘ + 1), choose Custom, and type $#,##0.0,"K".
3. Read C5.</t>
        </is>
      </c>
      <c r="E5" cm="1" s="38">
        <f t="array" ref="E5">TEXT('Dec Report'!C5,"$#,##0.0,""K""")</f>
        <v/>
      </c>
      <c r="F5" s="18" t="inlineStr">
        <is>
          <t>261,689 ÷ 1,000 = 261.689, shown with one decimal as $261.7K. The comma between # and ##0 is the thousands separator. The comma after 0.0 is the scaling comma.</t>
        </is>
      </c>
    </row>
    <row r="6" ht="96" customHeight="1">
      <c r="A6" s="17" t="inlineStr">
        <is>
          <t>B2</t>
        </is>
      </c>
      <c r="B6" s="18" t="inlineStr">
        <is>
          <t>Rule 3: on the Dec Report sheet, what does D11 (Salaries &amp; Wages, Dec Variance) display?</t>
        </is>
      </c>
      <c r="C6" s="36" t="inlineStr">
        <is>
          <t>($47.8K)</t>
        </is>
      </c>
      <c r="D6" s="37" t="inlineStr">
        <is>
          <t>Select 'Dec Report'!D5:D12, then hold Ctrl (Mac: ⌘) and drag over H5:H12 to add the YTD Variance column. Apply the custom format $#,##0.0,"K";Red.</t>
        </is>
      </c>
      <c r="E6" cm="1" s="38">
        <f t="array" ref="E6">TEXT('Dec Report'!D11,"$#,##0.0,""K"";[Red]($#,##0.0,""K"")")</f>
        <v/>
      </c>
      <c r="F6" s="18" t="inlineStr">
        <is>
          <t>The first section formats positive variances (under budget). The second section starts with [Red] and wraps the same thousands pattern in parentheses, so -47,771 shows as ($47.8K) in red. Because the format has a negative section, Excel adds no minus sign. In December, 5 of the 8 Dec Variance cells (including the total) turn red.</t>
        </is>
      </c>
    </row>
    <row r="7" ht="51" customHeight="1">
      <c r="A7" s="17" t="inlineStr">
        <is>
          <t>B3</t>
        </is>
      </c>
      <c r="B7" s="18" t="inlineStr">
        <is>
          <t>Rule 4: on the Dec Report sheet, what does I6 (Equipment &amp; Maintenance, YTD Var %) display?</t>
        </is>
      </c>
      <c r="C7" s="36" t="inlineStr">
        <is>
          <t>(8.2%)</t>
        </is>
      </c>
      <c r="D7" s="37" t="inlineStr">
        <is>
          <t>Select 'Dec Report'!E5:E12, then hold Ctrl (Mac: ⌘) and drag over I5:I12. Apply the custom format 0.0%;Red.</t>
        </is>
      </c>
      <c r="E7" cm="1" s="38">
        <f t="array" ref="E7">TEXT('Dec Report'!I6,"0.0%;[Red](0.0%)")</f>
        <v/>
      </c>
      <c r="F7" s="18" t="inlineStr">
        <is>
          <t>The cell stores -0.082270… Each section has its own %, so both multiply by 100. The negative section adds [Red] and parentheses: (8.2%).</t>
        </is>
      </c>
    </row>
    <row r="8" ht="96" customHeight="1">
      <c r="A8" s="17" t="inlineStr">
        <is>
          <t>B4</t>
        </is>
      </c>
      <c r="B8" s="18" t="inlineStr">
        <is>
          <t>Rule 5: on the Dec Report sheet, what does G12 (the Total row's YTD Actual) display?</t>
        </is>
      </c>
      <c r="C8" s="36" t="inlineStr">
        <is>
          <t>$17.56M</t>
        </is>
      </c>
      <c r="D8" s="37" t="inlineStr">
        <is>
          <t>Select 'Dec Report'!F5:G12 and apply the custom format [&gt;=1000000]$#,##0.00,,"M";[&gt;=1000]$#,##0,"K";$#,##0.</t>
        </is>
      </c>
      <c r="E8" cm="1" s="38">
        <f t="array" ref="E8">TEXT('Dec Report'!G12,"[&gt;=1000000]$#,##0.00,,""M"";[&gt;=1000]$#,##0,""K"";$#,##0")</f>
        <v/>
      </c>
      <c r="F8" s="18" t="inlineStr">
        <is>
          <t>A condition in square brackets replaces the usual positive/negative meaning of a section. [&gt;=1000000] sends 17,563,319 to the first section, where two scaling commas divide by 1,000,000: $17.56M. This total matches the Emergency Department's 2025 actual on the Budget sheet, because December closes the fiscal year.</t>
        </is>
      </c>
    </row>
    <row r="9" ht="96" customHeight="1">
      <c r="A9" s="17" t="inlineStr">
        <is>
          <t>B5</t>
        </is>
      </c>
      <c r="B9" s="18" t="inlineStr">
        <is>
          <t>Rule 5: on the Dec Report sheet, what does F8 (Other Operating, YTD Budget) display?</t>
        </is>
      </c>
      <c r="C9" s="36" t="inlineStr">
        <is>
          <t>$298K</t>
        </is>
      </c>
      <c r="D9" s="37" t="inlineStr">
        <is>
          <t>Same format as the previous part. Check that values under 1,000,000 fall through to the K section.</t>
        </is>
      </c>
      <c r="E9" cm="1" s="38">
        <f t="array" ref="E9">TEXT('Dec Report'!F8,"[&gt;=1000000]$#,##0.00,,""M"";[&gt;=1000]$#,##0,""K"";$#,##0")</f>
        <v/>
      </c>
      <c r="F9" s="18" t="inlineStr">
        <is>
          <t>298,078 is less than 1,000,000, so Excel skips the first section and uses [&gt;=1000]$#,##0,"K": $298K. The full code is [&gt;=1000000]$#,##0.00,,"M";[&gt;=1000]$#,##0,"K";$#,##0. Its third section catches anything under 1,000. Without conditions, every value would get the same scale, and a $298K line would show as $0.30M.</t>
        </is>
      </c>
    </row>
  </sheetData>
  <mergeCells count="1">
    <mergeCell ref="A2:F2"/>
  </mergeCells>
  <pageMargins left="0.75" right="0.75" top="1" bottom="1" header="0.5" footer="0.5"/>
  <pageSetup orientation="landscape" fitToHeight="0" fitToWidth="1"/>
</worksheet>
</file>

<file path=xl/worksheets/sheet10.xml><?xml version="1.0" encoding="utf-8"?>
<worksheet xmlns="http://schemas.openxmlformats.org/spreadsheetml/2006/main">
  <sheetPr>
    <tabColor rgb="00C00000"/>
    <outlinePr summaryBelow="1" summaryRight="1"/>
    <pageSetUpPr/>
  </sheetPr>
  <dimension ref="A1:F21"/>
  <sheetViews>
    <sheetView tabSelected="0" workbookViewId="0">
      <selection activeCell="A1" sqref="A1"/>
    </sheetView>
  </sheetViews>
  <sheetFormatPr baseColWidth="8" defaultRowHeight="15"/>
  <cols>
    <col width="18" customWidth="1" min="1" max="1"/>
    <col width="27" customWidth="1" min="2" max="2"/>
    <col width="13" customWidth="1" min="3" max="3"/>
    <col width="13" customWidth="1" min="4" max="4"/>
    <col width="13" customWidth="1" min="5" max="5"/>
    <col width="11" customWidth="1" min="6" max="6"/>
  </cols>
  <sheetData>
    <row r="1">
      <c r="A1" s="40" t="inlineStr">
        <is>
          <t>Bluestone Memorial Hospital · 2025 Expense Budget vs Actual</t>
        </is>
      </c>
      <c r="B1" s="41" t="n"/>
      <c r="C1" s="41" t="n"/>
      <c r="D1" s="41" t="n"/>
      <c r="E1" s="41" t="n"/>
      <c r="F1" s="41" t="n"/>
    </row>
    <row r="2">
      <c r="A2" s="29" t="inlineStr">
        <is>
          <t>Finance system export, 12/31/2025. Variance = Budget − Actual (negative = over budget). Variance % = Variance ÷ Budget.  ·  Finished version for task 13: compare with your Budget sheet.</t>
        </is>
      </c>
    </row>
    <row r="4" ht="32" customHeight="1">
      <c r="A4" s="42" t="inlineStr">
        <is>
          <t>Service Line</t>
        </is>
      </c>
      <c r="B4" s="42" t="inlineStr">
        <is>
          <t>Department</t>
        </is>
      </c>
      <c r="C4" s="42" t="inlineStr">
        <is>
          <t>Budget</t>
        </is>
      </c>
      <c r="D4" s="42" t="inlineStr">
        <is>
          <t>Actual</t>
        </is>
      </c>
      <c r="E4" s="42" t="inlineStr">
        <is>
          <t>Variance</t>
        </is>
      </c>
      <c r="F4" s="42" t="inlineStr">
        <is>
          <t>Variance %</t>
        </is>
      </c>
    </row>
    <row r="5">
      <c r="A5" s="43" t="inlineStr">
        <is>
          <t>Ancillary</t>
        </is>
      </c>
      <c r="B5" s="43" t="inlineStr">
        <is>
          <t>Laboratory</t>
        </is>
      </c>
      <c r="C5" s="44" t="n">
        <v>11736897</v>
      </c>
      <c r="D5" s="44" t="n">
        <v>11940898</v>
      </c>
      <c r="E5" s="44" t="n">
        <v>-204001</v>
      </c>
      <c r="F5" s="45" t="n">
        <v>-0.01738116982708462</v>
      </c>
    </row>
    <row r="6">
      <c r="A6" s="43" t="inlineStr">
        <is>
          <t>Ancillary</t>
        </is>
      </c>
      <c r="B6" s="43" t="inlineStr">
        <is>
          <t>Pharmacy</t>
        </is>
      </c>
      <c r="C6" s="44" t="n">
        <v>6946916</v>
      </c>
      <c r="D6" s="44" t="n">
        <v>7177608</v>
      </c>
      <c r="E6" s="44" t="n">
        <v>-230692</v>
      </c>
      <c r="F6" s="45" t="n">
        <v>-0.03320782920075614</v>
      </c>
    </row>
    <row r="7">
      <c r="A7" s="43" t="inlineStr">
        <is>
          <t>Ancillary</t>
        </is>
      </c>
      <c r="B7" s="43" t="inlineStr">
        <is>
          <t>Radiology</t>
        </is>
      </c>
      <c r="C7" s="44" t="n">
        <v>9165952</v>
      </c>
      <c r="D7" s="44" t="n">
        <v>8908151</v>
      </c>
      <c r="E7" s="44" t="n">
        <v>257801</v>
      </c>
      <c r="F7" s="45" t="n">
        <v>0.02812593825496795</v>
      </c>
    </row>
    <row r="8">
      <c r="A8" s="43" t="inlineStr">
        <is>
          <t>Behavioral Health</t>
        </is>
      </c>
      <c r="B8" s="43" t="inlineStr">
        <is>
          <t>Behavioral Health</t>
        </is>
      </c>
      <c r="C8" s="44" t="n">
        <v>6261550</v>
      </c>
      <c r="D8" s="44" t="n">
        <v>6272799</v>
      </c>
      <c r="E8" s="44" t="n">
        <v>-11249</v>
      </c>
      <c r="F8" s="45" t="n">
        <v>-0.001796520030982744</v>
      </c>
    </row>
    <row r="9">
      <c r="A9" s="43" t="inlineStr">
        <is>
          <t>Cardiovascular</t>
        </is>
      </c>
      <c r="B9" s="43" t="inlineStr">
        <is>
          <t>Cardiac Step-Down</t>
        </is>
      </c>
      <c r="C9" s="44" t="n">
        <v>8348725</v>
      </c>
      <c r="D9" s="44" t="n">
        <v>8557688</v>
      </c>
      <c r="E9" s="44" t="n">
        <v>-208963</v>
      </c>
      <c r="F9" s="45" t="n">
        <v>-0.02502933082596445</v>
      </c>
    </row>
    <row r="10">
      <c r="A10" s="43" t="inlineStr">
        <is>
          <t>Critical Care</t>
        </is>
      </c>
      <c r="B10" s="43" t="inlineStr">
        <is>
          <t>Intensive Care Unit</t>
        </is>
      </c>
      <c r="C10" s="44" t="n">
        <v>11314622</v>
      </c>
      <c r="D10" s="44" t="n">
        <v>11343688</v>
      </c>
      <c r="E10" s="44" t="n">
        <v>-29066</v>
      </c>
      <c r="F10" s="45" t="n">
        <v>-0.002568888293395926</v>
      </c>
    </row>
    <row r="11">
      <c r="A11" s="43" t="inlineStr">
        <is>
          <t>Emergency</t>
        </is>
      </c>
      <c r="B11" s="43" t="inlineStr">
        <is>
          <t>Emergency Department</t>
        </is>
      </c>
      <c r="C11" s="44" t="n">
        <v>16990557</v>
      </c>
      <c r="D11" s="44" t="n">
        <v>17563319</v>
      </c>
      <c r="E11" s="44" t="n">
        <v>-572762</v>
      </c>
      <c r="F11" s="45" t="n">
        <v>-0.03371060760397673</v>
      </c>
    </row>
    <row r="12">
      <c r="A12" s="43" t="inlineStr">
        <is>
          <t>Medicine</t>
        </is>
      </c>
      <c r="B12" s="43" t="inlineStr">
        <is>
          <t>Medical-Surgical 4 West</t>
        </is>
      </c>
      <c r="C12" s="44" t="n">
        <v>12523079</v>
      </c>
      <c r="D12" s="44" t="n">
        <v>12172461</v>
      </c>
      <c r="E12" s="44" t="n">
        <v>350618</v>
      </c>
      <c r="F12" s="45" t="n">
        <v>0.02799774719939082</v>
      </c>
    </row>
    <row r="13">
      <c r="A13" s="43" t="inlineStr">
        <is>
          <t>Medicine</t>
        </is>
      </c>
      <c r="B13" s="43" t="inlineStr">
        <is>
          <t>Medical-Surgical 5 East</t>
        </is>
      </c>
      <c r="C13" s="44" t="n">
        <v>11131624</v>
      </c>
      <c r="D13" s="44" t="n">
        <v>11370076</v>
      </c>
      <c r="E13" s="44" t="n">
        <v>-238452</v>
      </c>
      <c r="F13" s="45" t="n">
        <v>-0.02142113316080385</v>
      </c>
    </row>
    <row r="14">
      <c r="A14" s="43" t="inlineStr">
        <is>
          <t>Medicine</t>
        </is>
      </c>
      <c r="B14" s="43" t="inlineStr">
        <is>
          <t>Observation Unit</t>
        </is>
      </c>
      <c r="C14" s="44" t="n">
        <v>4174351</v>
      </c>
      <c r="D14" s="44" t="n">
        <v>4147444</v>
      </c>
      <c r="E14" s="44" t="n">
        <v>26907</v>
      </c>
      <c r="F14" s="45" t="n">
        <v>0.006445792411802457</v>
      </c>
    </row>
    <row r="15">
      <c r="A15" s="43" t="inlineStr">
        <is>
          <t>Neuroscience</t>
        </is>
      </c>
      <c r="B15" s="43" t="inlineStr">
        <is>
          <t>Neuroscience &amp; Stroke</t>
        </is>
      </c>
      <c r="C15" s="44" t="n">
        <v>5565810</v>
      </c>
      <c r="D15" s="44" t="n">
        <v>5586800</v>
      </c>
      <c r="E15" s="44" t="n">
        <v>-20990</v>
      </c>
      <c r="F15" s="45" t="n">
        <v>-0.003771239046967108</v>
      </c>
    </row>
    <row r="16">
      <c r="A16" s="43" t="inlineStr">
        <is>
          <t>Oncology</t>
        </is>
      </c>
      <c r="B16" s="43" t="inlineStr">
        <is>
          <t>Oncology</t>
        </is>
      </c>
      <c r="C16" s="44" t="n">
        <v>8143173</v>
      </c>
      <c r="D16" s="44" t="n">
        <v>8259303</v>
      </c>
      <c r="E16" s="44" t="n">
        <v>-116130</v>
      </c>
      <c r="F16" s="45" t="n">
        <v>-0.01426102576968462</v>
      </c>
    </row>
    <row r="17">
      <c r="A17" s="43" t="inlineStr">
        <is>
          <t>Orthopedics</t>
        </is>
      </c>
      <c r="B17" s="43" t="inlineStr">
        <is>
          <t>Orthopedics &amp; Spine</t>
        </is>
      </c>
      <c r="C17" s="44" t="n">
        <v>7652992</v>
      </c>
      <c r="D17" s="44" t="n">
        <v>8006587</v>
      </c>
      <c r="E17" s="44" t="n">
        <v>-353595</v>
      </c>
      <c r="F17" s="45" t="n">
        <v>-0.04620349792603991</v>
      </c>
    </row>
    <row r="18">
      <c r="A18" s="43" t="inlineStr">
        <is>
          <t>Surgery</t>
        </is>
      </c>
      <c r="B18" s="43" t="inlineStr">
        <is>
          <t>Perioperative Services</t>
        </is>
      </c>
      <c r="C18" s="44" t="n">
        <v>18294658</v>
      </c>
      <c r="D18" s="44" t="n">
        <v>18584793</v>
      </c>
      <c r="E18" s="44" t="n">
        <v>-290135</v>
      </c>
      <c r="F18" s="45" t="n">
        <v>-0.01585900102641984</v>
      </c>
    </row>
    <row r="19">
      <c r="A19" s="43" t="inlineStr">
        <is>
          <t>Women &amp; Children</t>
        </is>
      </c>
      <c r="B19" s="43" t="inlineStr">
        <is>
          <t>Labor &amp; Delivery</t>
        </is>
      </c>
      <c r="C19" s="44" t="n">
        <v>6957277</v>
      </c>
      <c r="D19" s="44" t="n">
        <v>7118781</v>
      </c>
      <c r="E19" s="44" t="n">
        <v>-161504</v>
      </c>
      <c r="F19" s="45" t="n">
        <v>-0.02321367971980992</v>
      </c>
    </row>
    <row r="20">
      <c r="A20" s="43" t="inlineStr">
        <is>
          <t>Women &amp; Children</t>
        </is>
      </c>
      <c r="B20" s="43" t="inlineStr">
        <is>
          <t>Pediatrics</t>
        </is>
      </c>
      <c r="C20" s="44" t="n">
        <v>4870099</v>
      </c>
      <c r="D20" s="44" t="n">
        <v>4851882</v>
      </c>
      <c r="E20" s="44" t="n">
        <v>18217</v>
      </c>
      <c r="F20" s="45" t="n">
        <v>0.003740581043629709</v>
      </c>
    </row>
    <row r="21">
      <c r="A21" s="46" t="inlineStr">
        <is>
          <t>Total</t>
        </is>
      </c>
      <c r="B21" s="46" t="n"/>
      <c r="C21" s="47" t="n">
        <v>150078282</v>
      </c>
      <c r="D21" s="47" t="n">
        <v>151862278</v>
      </c>
      <c r="E21" s="47" t="n">
        <v>-1783996</v>
      </c>
      <c r="F21" s="48" t="n">
        <v>-0.0118871030253398</v>
      </c>
    </row>
  </sheetData>
  <pageMargins left="0.75" right="0.75" top="1" bottom="1" header="0.5" footer="0.5"/>
</worksheet>
</file>

<file path=xl/worksheets/sheet11.xml><?xml version="1.0" encoding="utf-8"?>
<worksheet xmlns="http://schemas.openxmlformats.org/spreadsheetml/2006/main">
  <sheetPr>
    <tabColor rgb="00C00000"/>
    <outlinePr summaryBelow="1" summaryRight="1"/>
    <pageSetUpPr/>
  </sheetPr>
  <dimension ref="A1:I18"/>
  <sheetViews>
    <sheetView tabSelected="0" workbookViewId="0">
      <selection activeCell="A1" sqref="A1"/>
    </sheetView>
  </sheetViews>
  <sheetFormatPr baseColWidth="8" defaultRowHeight="15"/>
  <cols>
    <col width="27"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40" t="inlineStr">
        <is>
          <t>Emergency Department · Monthly Operating Expense Report · December 2025</t>
        </is>
      </c>
      <c r="B1" s="41" t="n"/>
      <c r="C1" s="41" t="n"/>
      <c r="D1" s="41" t="n"/>
      <c r="E1" s="41" t="n"/>
      <c r="F1" s="41" t="n"/>
      <c r="G1" s="41" t="n"/>
      <c r="H1" s="41" t="n"/>
      <c r="I1" s="41" t="n"/>
    </row>
    <row r="2">
      <c r="A2" s="29" t="inlineStr">
        <is>
          <t>Bluestone Memorial Hospital, cost center 6100. Variance = Budget − Actual (negative = over budget). YTD = January–December 2025.</t>
        </is>
      </c>
    </row>
    <row r="4" ht="32" customHeight="1">
      <c r="A4" s="49" t="inlineStr">
        <is>
          <t>Expense category</t>
        </is>
      </c>
      <c r="B4" s="49" t="inlineStr">
        <is>
          <t>Dec Budget</t>
        </is>
      </c>
      <c r="C4" s="49" t="inlineStr">
        <is>
          <t>Dec Actual</t>
        </is>
      </c>
      <c r="D4" s="49" t="inlineStr">
        <is>
          <t>Dec Variance</t>
        </is>
      </c>
      <c r="E4" s="49" t="inlineStr">
        <is>
          <t>Dec Var %</t>
        </is>
      </c>
      <c r="F4" s="49" t="inlineStr">
        <is>
          <t>YTD Budget</t>
        </is>
      </c>
      <c r="G4" s="49" t="inlineStr">
        <is>
          <t>YTD Actual</t>
        </is>
      </c>
      <c r="H4" s="49" t="inlineStr">
        <is>
          <t>YTD Variance</t>
        </is>
      </c>
      <c r="I4" s="49" t="inlineStr">
        <is>
          <t>YTD Var %</t>
        </is>
      </c>
    </row>
    <row r="5">
      <c r="A5" t="inlineStr">
        <is>
          <t>Employee Benefits</t>
        </is>
      </c>
      <c r="B5" s="50" t="n">
        <v>236286</v>
      </c>
      <c r="C5" s="50" t="n">
        <v>261689</v>
      </c>
      <c r="D5" s="51" t="n">
        <v>-25403</v>
      </c>
      <c r="E5" s="52" t="n">
        <v>-0.1075095435192944</v>
      </c>
      <c r="F5" s="53" t="n">
        <v>2782078</v>
      </c>
      <c r="G5" s="53" t="n">
        <v>2857681</v>
      </c>
      <c r="H5" s="51" t="n">
        <v>-75603</v>
      </c>
      <c r="I5" s="52" t="n">
        <v>-0.02717501090911182</v>
      </c>
    </row>
    <row r="6">
      <c r="A6" t="inlineStr">
        <is>
          <t>Equipment &amp; Maintenance</t>
        </is>
      </c>
      <c r="B6" s="50" t="n">
        <v>42194</v>
      </c>
      <c r="C6" s="50" t="n">
        <v>48423</v>
      </c>
      <c r="D6" s="51" t="n">
        <v>-6229</v>
      </c>
      <c r="E6" s="52" t="n">
        <v>-0.1476276247807745</v>
      </c>
      <c r="F6" s="53" t="n">
        <v>496801</v>
      </c>
      <c r="G6" s="53" t="n">
        <v>537673</v>
      </c>
      <c r="H6" s="51" t="n">
        <v>-40872</v>
      </c>
      <c r="I6" s="52" t="n">
        <v>-0.0822703658003909</v>
      </c>
    </row>
    <row r="7">
      <c r="A7" t="inlineStr">
        <is>
          <t>Medical Supplies</t>
        </is>
      </c>
      <c r="B7" s="50" t="n">
        <v>118143</v>
      </c>
      <c r="C7" s="50" t="n">
        <v>114612</v>
      </c>
      <c r="D7" s="51" t="n">
        <v>3531</v>
      </c>
      <c r="E7" s="52" t="n">
        <v>0.02988750920494655</v>
      </c>
      <c r="F7" s="53" t="n">
        <v>1391039</v>
      </c>
      <c r="G7" s="53" t="n">
        <v>1381877</v>
      </c>
      <c r="H7" s="51" t="n">
        <v>9162</v>
      </c>
      <c r="I7" s="52" t="n">
        <v>0.006586443658301457</v>
      </c>
    </row>
    <row r="8">
      <c r="A8" t="inlineStr">
        <is>
          <t>Other Operating</t>
        </is>
      </c>
      <c r="B8" s="50" t="n">
        <v>25316</v>
      </c>
      <c r="C8" s="50" t="n">
        <v>25147</v>
      </c>
      <c r="D8" s="51" t="n">
        <v>169</v>
      </c>
      <c r="E8" s="52" t="n">
        <v>0.006675620161162901</v>
      </c>
      <c r="F8" s="53" t="n">
        <v>298078</v>
      </c>
      <c r="G8" s="53" t="n">
        <v>312576</v>
      </c>
      <c r="H8" s="51" t="n">
        <v>-14498</v>
      </c>
      <c r="I8" s="52" t="n">
        <v>-0.04863827588751937</v>
      </c>
    </row>
    <row r="9">
      <c r="A9" t="inlineStr">
        <is>
          <t>Pharmaceuticals</t>
        </is>
      </c>
      <c r="B9" s="50" t="n">
        <v>75949</v>
      </c>
      <c r="C9" s="50" t="n">
        <v>71566</v>
      </c>
      <c r="D9" s="51" t="n">
        <v>4383</v>
      </c>
      <c r="E9" s="52" t="n">
        <v>0.05770977893059816</v>
      </c>
      <c r="F9" s="53" t="n">
        <v>894238</v>
      </c>
      <c r="G9" s="53" t="n">
        <v>923543</v>
      </c>
      <c r="H9" s="51" t="n">
        <v>-29305</v>
      </c>
      <c r="I9" s="52" t="n">
        <v>-0.03277091780935277</v>
      </c>
    </row>
    <row r="10">
      <c r="A10" t="inlineStr">
        <is>
          <t>Purchased Services</t>
        </is>
      </c>
      <c r="B10" s="50" t="n">
        <v>101266</v>
      </c>
      <c r="C10" s="50" t="n">
        <v>117116</v>
      </c>
      <c r="D10" s="51" t="n">
        <v>-15850</v>
      </c>
      <c r="E10" s="52" t="n">
        <v>-0.1565184760926668</v>
      </c>
      <c r="F10" s="53" t="n">
        <v>1192324</v>
      </c>
      <c r="G10" s="53" t="n">
        <v>1259187</v>
      </c>
      <c r="H10" s="51" t="n">
        <v>-66863</v>
      </c>
      <c r="I10" s="52" t="n">
        <v>-0.05607787816063419</v>
      </c>
    </row>
    <row r="11">
      <c r="A11" t="inlineStr">
        <is>
          <t>Salaries &amp; Wages</t>
        </is>
      </c>
      <c r="B11" s="50" t="n">
        <v>843879</v>
      </c>
      <c r="C11" s="50" t="n">
        <v>891650</v>
      </c>
      <c r="D11" s="51" t="n">
        <v>-47771</v>
      </c>
      <c r="E11" s="52" t="n">
        <v>-0.05660882662087811</v>
      </c>
      <c r="F11" s="53" t="n">
        <v>9935999</v>
      </c>
      <c r="G11" s="53" t="n">
        <v>10290782</v>
      </c>
      <c r="H11" s="51" t="n">
        <v>-354783</v>
      </c>
      <c r="I11" s="52" t="n">
        <v>-0.03570682726517987</v>
      </c>
    </row>
    <row r="12">
      <c r="A12" s="46" t="inlineStr">
        <is>
          <t>Total</t>
        </is>
      </c>
      <c r="B12" s="54" t="n">
        <v>1443033</v>
      </c>
      <c r="C12" s="54" t="n">
        <v>1530203</v>
      </c>
      <c r="D12" s="55" t="n">
        <v>-87170</v>
      </c>
      <c r="E12" s="56" t="n">
        <v>-0.06040748894862418</v>
      </c>
      <c r="F12" s="57" t="n">
        <v>16990557</v>
      </c>
      <c r="G12" s="57" t="n">
        <v>17563319</v>
      </c>
      <c r="H12" s="55" t="n">
        <v>-572762</v>
      </c>
      <c r="I12" s="56" t="n">
        <v>-0.03371060760397673</v>
      </c>
    </row>
    <row r="14">
      <c r="A14" s="58" t="inlineStr">
        <is>
          <t>Format codes used</t>
        </is>
      </c>
    </row>
    <row r="15">
      <c r="A15" t="inlineStr">
        <is>
          <t>Dec Budget, Dec Actual</t>
        </is>
      </c>
      <c r="B15" s="59" t="inlineStr">
        <is>
          <t>$#,##0.0,"K"</t>
        </is>
      </c>
    </row>
    <row r="16">
      <c r="A16" t="inlineStr">
        <is>
          <t>Dec Variance, YTD Variance</t>
        </is>
      </c>
      <c r="B16" s="59" t="inlineStr">
        <is>
          <t>$#,##0.0,"K";[Red]($#,##0.0,"K")</t>
        </is>
      </c>
    </row>
    <row r="17">
      <c r="A17" t="inlineStr">
        <is>
          <t>Dec Var %, YTD Var %</t>
        </is>
      </c>
      <c r="B17" s="59" t="inlineStr">
        <is>
          <t>0.0%;[Red](0.0%)</t>
        </is>
      </c>
    </row>
    <row r="18">
      <c r="A18" t="inlineStr">
        <is>
          <t>YTD Budget, YTD Actual</t>
        </is>
      </c>
      <c r="B18" s="59" t="inlineStr">
        <is>
          <t>[&gt;=1000000]$#,##0.00,,"M";[&gt;=1000]$#,##0,"K";$#,##0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1.3 — Formatting Cells &amp; Number Formats</dc:title>
  <dcterms:created xsi:type="dcterms:W3CDTF">2026-10-02T18:49:02Z</dcterms:created>
  <dcterms:modified xsi:type="dcterms:W3CDTF">2026-10-02T18:49:02Z</dcterms:modified>
</cp:coreProperties>
</file>
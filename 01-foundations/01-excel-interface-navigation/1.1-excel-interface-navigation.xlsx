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Patients" sheetId="3" state="visible" r:id="rId3"/>
    <sheet name="Payers" sheetId="4" state="hidden" r:id="rId4"/>
    <sheet name="Bonus" sheetId="5" state="visible" r:id="rId5"/>
    <sheet name="Answer Key" sheetId="6" state="hidden" r:id="rId6"/>
    <sheet name="Bonus Key" sheetId="7" state="hidden" r:id="rId7"/>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yyyy-mm-dd"/>
    <numFmt numFmtId="165" formatCode="mm/dd/yyyy"/>
    <numFmt numFmtId="166" formatCode="0.0"/>
  </numFmts>
  <fonts count="15">
    <font>
      <name val="Calibri"/>
      <family val="2"/>
      <color theme="1"/>
      <sz val="11"/>
      <scheme val="minor"/>
    </font>
    <font>
      <b val="1"/>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b val="1"/>
      <color rgb="00375623"/>
      <sz val="12"/>
    </font>
    <font>
      <b val="1"/>
      <color rgb="002E75B6"/>
      <sz val="12"/>
    </font>
    <font>
      <b val="1"/>
      <color rgb="001F4E79"/>
      <sz val="22"/>
    </font>
    <font>
      <b val="1"/>
      <color rgb="00FFFFFF"/>
      <sz val="13"/>
    </font>
    <font/>
  </fonts>
  <fills count="7">
    <fill>
      <patternFill/>
    </fill>
    <fill>
      <patternFill patternType="gray125"/>
    </fill>
    <fill>
      <patternFill patternType="solid">
        <fgColor rgb="007B2C2C"/>
      </patternFill>
    </fill>
    <fill>
      <patternFill patternType="solid">
        <fgColor rgb="001F4E79"/>
      </patternFill>
    </fill>
    <fill>
      <patternFill patternType="solid">
        <fgColor rgb="00FFF2CC"/>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36">
    <xf numFmtId="0" fontId="0" fillId="0" borderId="0" pivotButton="0" quotePrefix="0" xfId="0"/>
    <xf numFmtId="0" fontId="11" fillId="0" borderId="0" pivotButton="0" quotePrefix="0" xfId="0"/>
    <xf numFmtId="0" fontId="12" fillId="0" borderId="0" pivotButton="0" quotePrefix="0" xfId="0"/>
    <xf numFmtId="0" fontId="3" fillId="0" borderId="0" pivotButton="0" quotePrefix="0" xfId="0"/>
    <xf numFmtId="0" fontId="13" fillId="3" borderId="0" pivotButton="0" quotePrefix="0" xfId="0"/>
    <xf numFmtId="0" fontId="0" fillId="3"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10" fillId="0" borderId="0" pivotButton="0" quotePrefix="0" xfId="0"/>
    <xf numFmtId="0" fontId="4" fillId="3"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9" fillId="0" borderId="1" applyAlignment="1" pivotButton="0" quotePrefix="0" xfId="0">
      <alignment vertical="top" wrapText="1"/>
    </xf>
    <xf numFmtId="0" fontId="0" fillId="4" borderId="2" applyAlignment="1" pivotButton="0" quotePrefix="0" xfId="0">
      <alignment horizontal="left" vertical="top"/>
    </xf>
    <xf numFmtId="0" fontId="1" fillId="0" borderId="1" applyAlignment="1" pivotButton="0" quotePrefix="0" xfId="0">
      <alignment vertical="top"/>
    </xf>
    <xf numFmtId="0" fontId="0" fillId="4" borderId="2" applyAlignment="1" pivotButton="0" quotePrefix="0" xfId="0">
      <alignment horizontal="right" vertical="top"/>
    </xf>
    <xf numFmtId="166" fontId="0" fillId="4" borderId="2" applyAlignment="1" pivotButton="0" quotePrefix="0" xfId="0">
      <alignment horizontal="right" vertical="top"/>
    </xf>
    <xf numFmtId="165" fontId="0" fillId="4" borderId="2" applyAlignment="1" pivotButton="0" quotePrefix="0" xfId="0">
      <alignment horizontal="right" vertical="top"/>
    </xf>
    <xf numFmtId="0" fontId="1" fillId="0" borderId="0" pivotButton="0" quotePrefix="0" xfId="0"/>
    <xf numFmtId="165" fontId="0"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1" fillId="0" borderId="1" applyAlignment="1" pivotButton="0" quotePrefix="0" xfId="0">
      <alignment vertical="top" wrapText="1"/>
    </xf>
    <xf numFmtId="0" fontId="5" fillId="0" borderId="1" applyAlignment="1" pivotButton="0" quotePrefix="1" xfId="0">
      <alignment vertical="top" wrapText="1"/>
    </xf>
    <xf numFmtId="166" fontId="1" fillId="0" borderId="1" applyAlignment="1" pivotButton="0" quotePrefix="0" xfId="0">
      <alignment vertical="top" wrapText="1"/>
    </xf>
    <xf numFmtId="166" fontId="0" fillId="0" borderId="1" applyAlignment="1" pivotButton="0" quotePrefix="0" xfId="0">
      <alignment vertical="top" wrapText="1"/>
    </xf>
    <xf numFmtId="165" fontId="1" fillId="0"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 Id="rIdXlcMeta" Type="http://schemas.openxmlformats.org/officeDocument/2006/relationships/sheetMetadata" Target="metadata.xml"/></Relationships>
</file>

<file path=xl/tables/table1.xml><?xml version="1.0" encoding="utf-8"?>
<table xmlns="http://schemas.openxmlformats.org/spreadsheetml/2006/main" id="1" name="tblPatients" displayName="tblPatients" ref="A1:Q501" headerRowCount="1">
  <autoFilter ref="A1:Q501"/>
  <tableColumns count="17">
    <tableColumn id="1" name="PatientID"/>
    <tableColumn id="2" name="MRN"/>
    <tableColumn id="3" name="LastName"/>
    <tableColumn id="4" name="FirstName"/>
    <tableColumn id="5" name="Sex"/>
    <tableColumn id="6" name="DOB"/>
    <tableColumn id="7" name="City"/>
    <tableColumn id="8" name="ZIP"/>
    <tableColumn id="9" name="Phone"/>
    <tableColumn id="10" name="Email"/>
    <tableColumn id="11" name="PreferredLanguage"/>
    <tableColumn id="12" name="PrimaryPayerID"/>
    <tableColumn id="13" name="PCPProviderID"/>
    <tableColumn id="14" name="HeightIn"/>
    <tableColumn id="15" name="WeightLb"/>
    <tableColumn id="16" name="ChronicConditions"/>
    <tableColumn id="17" name="RegistrationDate"/>
  </tableColumns>
  <tableStyleInfo name="TableStyleMedium2" showRowStripes="1"/>
</table>
</file>

<file path=xl/tables/table2.xml><?xml version="1.0" encoding="utf-8"?>
<table xmlns="http://schemas.openxmlformats.org/spreadsheetml/2006/main" id="2" name="tblPayers" displayName="tblPayers" ref="A1:C9" headerRowCount="1">
  <autoFilter ref="A1:C9"/>
  <tableColumns count="3">
    <tableColumn id="1" name="PayerID"/>
    <tableColumn id="2" name="PayerName"/>
    <tableColumn id="3" name="PayerTyp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001F4E79"/>
    <outlinePr summaryBelow="1" summaryRight="1"/>
    <pageSetUpPr fitToPage="1"/>
  </sheetPr>
  <dimension ref="B2:C33"/>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1.1</t>
        </is>
      </c>
    </row>
    <row r="3">
      <c r="B3" s="2" t="inlineStr">
        <is>
          <t>The Excel Interface &amp; Navigation</t>
        </is>
      </c>
    </row>
    <row r="4">
      <c r="B4" s="3" t="inlineStr">
        <is>
          <t>Beginner  ·  about 70 minutes  ·  Bluestone Health System (fictional)</t>
        </is>
      </c>
    </row>
    <row r="6">
      <c r="B6" s="4" t="inlineStr">
        <is>
          <t>What you'll learn</t>
        </is>
      </c>
      <c r="C6" s="5" t="n"/>
    </row>
    <row r="7" ht="33" customHeight="1">
      <c r="B7" s="6" t="inlineStr">
        <is>
          <t>•</t>
        </is>
      </c>
      <c r="C7" s="7" t="inlineStr">
        <is>
          <t>Name the parts of the Excel window: ribbon, Quick Access Toolbar, Name Box, formula bar, grid, sheet tabs, status bar</t>
        </is>
      </c>
    </row>
    <row r="8" ht="18" customHeight="1">
      <c r="B8" s="6" t="inlineStr">
        <is>
          <t>•</t>
        </is>
      </c>
      <c r="C8" s="7" t="inlineStr">
        <is>
          <t>Understand workbooks, worksheets, cells, ranges, and cell addresses</t>
        </is>
      </c>
    </row>
    <row r="9" ht="18" customHeight="1">
      <c r="B9" s="6" t="inlineStr">
        <is>
          <t>•</t>
        </is>
      </c>
      <c r="C9" s="7" t="inlineStr">
        <is>
          <t>Move around large datasets fast with keyboard shortcuts and Go To</t>
        </is>
      </c>
    </row>
    <row r="10" ht="18" customHeight="1">
      <c r="B10" s="6" t="inlineStr">
        <is>
          <t>•</t>
        </is>
      </c>
      <c r="C10" s="7" t="inlineStr">
        <is>
          <t>Read quick statistics from the status bar</t>
        </is>
      </c>
    </row>
    <row r="11" ht="18" customHeight="1">
      <c r="B11" s="6" t="inlineStr">
        <is>
          <t>•</t>
        </is>
      </c>
      <c r="C11" s="7" t="inlineStr">
        <is>
          <t>Freeze panes, zoom, and hide/unhide rows, columns, and sheets</t>
        </is>
      </c>
    </row>
    <row r="13">
      <c r="B13" s="4" t="inlineStr">
        <is>
          <t>How to use this workbook</t>
        </is>
      </c>
      <c r="C13" s="5" t="n"/>
    </row>
    <row r="14" ht="33" customHeight="1">
      <c r="B14" s="8" t="inlineStr">
        <is>
          <t>1. Read the guide</t>
        </is>
      </c>
      <c r="C14" s="7" t="inlineStr">
        <is>
          <t>The lesson guide (README) explains each skill with examples: https://github.com/lmansf/learn-excel/tree/main/01-foundations/01-excel-interface-navigation</t>
        </is>
      </c>
    </row>
    <row r="15" ht="18" customHeight="1">
      <c r="B15" s="8" t="inlineStr">
        <is>
          <t>2. Practice</t>
        </is>
      </c>
      <c r="C15" s="7" t="inlineStr">
        <is>
          <t>Go to the 'Practice' sheet. Type a formula or value into each yellow cell.</t>
        </is>
      </c>
    </row>
    <row r="16" ht="18" customHeight="1">
      <c r="B16" s="8" t="inlineStr">
        <is>
          <t>3. Check yourself</t>
        </is>
      </c>
      <c r="C16" s="7" t="inlineStr">
        <is>
          <t>The Check column shows ✔ Correct (green) or ✘ Not yet (red).</t>
        </is>
      </c>
    </row>
    <row r="17" ht="18" customHeight="1">
      <c r="B17" s="8" t="inlineStr">
        <is>
          <t>4. Bonus</t>
        </is>
      </c>
      <c r="C17" s="7" t="inlineStr">
        <is>
          <t>Finished? Try the harder 'Bonus' sheet.</t>
        </is>
      </c>
    </row>
    <row r="18" ht="33" customHeight="1">
      <c r="B18" s="8" t="inlineStr">
        <is>
          <t>5. Answers</t>
        </is>
      </c>
      <c r="C18" s="7" t="inlineStr">
        <is>
          <t>The 'Answer Key' and 'Bonus Key' sheets are hidden. Right-click any sheet tab → Unhide… → pick one → OK. (Try first!)</t>
        </is>
      </c>
    </row>
    <row r="19" ht="33" customHeight="1">
      <c r="B19" s="8" t="inlineStr">
        <is>
          <t>Note</t>
        </is>
      </c>
      <c r="C19" s="7" t="inlineStr">
        <is>
          <t>Two things are hidden on purpose so you can practice unhiding them: column I on the Patients sheet and the whole Payers sheet.</t>
        </is>
      </c>
    </row>
    <row r="20" ht="33" customHeight="1">
      <c r="B20" s="8" t="inlineStr">
        <is>
          <t>Note</t>
        </is>
      </c>
      <c r="C20" s="7" t="inlineStr">
        <is>
          <t>The Patients sheet opens with nothing frozen, so the headers scroll out of view. The guide shows how to freeze them.</t>
        </is>
      </c>
    </row>
    <row r="22">
      <c r="B22" s="4" t="inlineStr">
        <is>
          <t>Color legend</t>
        </is>
      </c>
      <c r="C22" s="5" t="n"/>
    </row>
    <row r="23" ht="18" customHeight="1">
      <c r="B23" s="9" t="inlineStr">
        <is>
          <t>Yellow cell</t>
        </is>
      </c>
      <c r="C23" s="7" t="inlineStr">
        <is>
          <t>Your answer goes here.</t>
        </is>
      </c>
    </row>
    <row r="24" ht="18" customHeight="1">
      <c r="B24" s="10" t="inlineStr">
        <is>
          <t>✔ Correct</t>
        </is>
      </c>
      <c r="C24" s="7" t="inlineStr">
        <is>
          <t>Your answer matches the key.</t>
        </is>
      </c>
    </row>
    <row r="25" ht="18" customHeight="1">
      <c r="B25" s="11" t="inlineStr">
        <is>
          <t>✘ Not yet</t>
        </is>
      </c>
      <c r="C25" s="7" t="inlineStr">
        <is>
          <t>Not matching yet. Check the hint and try again.</t>
        </is>
      </c>
    </row>
    <row r="27">
      <c r="B27" s="4" t="inlineStr">
        <is>
          <t>Sheets in this workbook</t>
        </is>
      </c>
      <c r="C27" s="5" t="n"/>
    </row>
    <row r="28" ht="18" customHeight="1">
      <c r="B28" s="8" t="inlineStr">
        <is>
          <t>Practice</t>
        </is>
      </c>
      <c r="C28" s="7" t="inlineStr">
        <is>
          <t>12 practice tasks, each with a Check cell.</t>
        </is>
      </c>
    </row>
    <row r="29" ht="18" customHeight="1">
      <c r="B29" s="8" t="inlineStr">
        <is>
          <t>Patients</t>
        </is>
      </c>
      <c r="C29" s="7" t="inlineStr">
        <is>
          <t>Data: 500 rows, in the Excel Table 'tblPatients'</t>
        </is>
      </c>
    </row>
    <row r="30" ht="18" customHeight="1">
      <c r="B30" s="8" t="inlineStr">
        <is>
          <t>Payers</t>
        </is>
      </c>
      <c r="C30" s="7" t="inlineStr">
        <is>
          <t>Data: 8 rows, in the Excel Table 'tblPayers'</t>
        </is>
      </c>
    </row>
    <row r="31" ht="18" customHeight="1">
      <c r="B31" s="8" t="inlineStr">
        <is>
          <t>Bonus</t>
        </is>
      </c>
      <c r="C31" s="7" t="inlineStr">
        <is>
          <t>The bonus challenge (4 parts).</t>
        </is>
      </c>
    </row>
    <row r="32" ht="33" customHeight="1">
      <c r="B32" s="8" t="inlineStr">
        <is>
          <t>About the data</t>
        </is>
      </c>
      <c r="C32" s="7" t="inlineStr">
        <is>
          <t>500 registered patients from the Bluestone Health System patient index (every 8th record), plus a small payer list that starts out hidden.</t>
        </is>
      </c>
    </row>
    <row r="33" ht="18" customHeight="1">
      <c r="B33" s="8" t="inlineStr">
        <is>
          <t>Disclaimer</t>
        </is>
      </c>
      <c r="C33"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7"/>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2" t="inlineStr">
        <is>
          <t>Lesson 1.1 · Practice</t>
        </is>
      </c>
    </row>
    <row r="2" ht="34" customHeight="1">
      <c r="A2" s="13" t="inlineStr">
        <is>
          <t>Every task uses the Patients sheet (500 patients, rows 2–501) unless it says otherwise. No formulas needed: navigate, look, and type what you find. Mac users: for Ctrl+arrow shortcuts such as Ctrl+↓ and Ctrl+Shift+↓, press ⌘ instead of Ctrl.</t>
        </is>
      </c>
    </row>
    <row r="3" ht="34" customHeight="1">
      <c r="A3" s="14" t="inlineStr">
        <is>
          <t>Type a formula or value in each yellow cell. The Check column turns green when your answer matches. Stuck? Read the hint, then the lesson guide. Answers: right-click a sheet tab → Unhide… → 'Answer Key'.</t>
        </is>
      </c>
    </row>
    <row r="4">
      <c r="A4" s="15">
        <f>"Score: "&amp;COUNTIF(E6:E17,"✔*")&amp;" of 12 auto-checked tasks correct"</f>
        <v/>
      </c>
    </row>
    <row r="5">
      <c r="A5" s="16" t="inlineStr">
        <is>
          <t>#</t>
        </is>
      </c>
      <c r="B5" s="16" t="inlineStr">
        <is>
          <t>Task</t>
        </is>
      </c>
      <c r="C5" s="16" t="inlineStr">
        <is>
          <t>Hint</t>
        </is>
      </c>
      <c r="D5" s="16" t="inlineStr">
        <is>
          <t>Your Answer</t>
        </is>
      </c>
      <c r="E5" s="16" t="inlineStr">
        <is>
          <t>Check</t>
        </is>
      </c>
    </row>
    <row r="6" ht="36" customHeight="1">
      <c r="A6" s="17" t="inlineStr">
        <is>
          <t>1</t>
        </is>
      </c>
      <c r="B6" s="18" t="inlineStr">
        <is>
          <t>On the Patients sheet, click in the Name Box (the box at the left end of the formula bar), type C347, and press Enter. What last name is in that cell?</t>
        </is>
      </c>
      <c r="C6" s="19" t="inlineStr">
        <is>
          <t>The Name Box jumps to any address you type</t>
        </is>
      </c>
      <c r="D6" s="20" t="n"/>
      <c r="E6" s="21">
        <f>IF(IFERROR(D6="",FALSE),"",IF(IFERROR(OR(LOWER(TRIM(D6&amp;""))=LOWER(TRIM('Answer Key'!$C$5&amp;""))),FALSE),"✔ Correct","✘ Not yet"))</f>
        <v/>
      </c>
    </row>
    <row r="7" ht="51" customHeight="1">
      <c r="A7" s="17" t="inlineStr">
        <is>
          <t>2</t>
        </is>
      </c>
      <c r="B7" s="18" t="inlineStr">
        <is>
          <t>What is the address of the bottom-right cell of the patient data? From A1, press Ctrl+↓ to find the last row, go back with Ctrl+↑, then press Ctrl+→ to find the last column. Type the address as column letter + row number (like B12).</t>
        </is>
      </c>
      <c r="C7" s="19" t="inlineStr">
        <is>
          <t>Column letter from Ctrl+→, row number from Ctrl+↓. Ctrl+End confirms</t>
        </is>
      </c>
      <c r="D7" s="20" t="n"/>
      <c r="E7" s="21">
        <f>IF(IFERROR(D7="",FALSE),"",IF(IFERROR(OR(LOWER(TRIM(D7&amp;""))=LOWER(TRIM('Answer Key'!$C$6&amp;"")),LOWER(TRIM(D7&amp;""))="$q$501"),FALSE),"✔ Correct","✘ Not yet"))</f>
        <v/>
      </c>
    </row>
    <row r="8" ht="51" customHeight="1">
      <c r="A8" s="17" t="inlineStr">
        <is>
          <t>3</t>
        </is>
      </c>
      <c r="B8" s="18" t="inlineStr">
        <is>
          <t>Use the Name Box to go to cell A600, which is in an empty row below the data, then press Ctrl+→. Excel races across the empty row to the very last column of the worksheet. What is the address of the cell you land on?</t>
        </is>
      </c>
      <c r="C8" s="19" t="inlineStr">
        <is>
          <t>A worksheet has 16,384 columns</t>
        </is>
      </c>
      <c r="D8" s="20" t="n"/>
      <c r="E8" s="21">
        <f>IF(IFERROR(D8="",FALSE),"",IF(IFERROR(OR(LOWER(TRIM(D8&amp;""))=LOWER(TRIM('Answer Key'!$C$7&amp;"")),LOWER(TRIM(D8&amp;""))="$xfd$600"),FALSE),"✔ Correct","✘ Not yet"))</f>
        <v/>
      </c>
    </row>
    <row r="9" ht="36" customHeight="1">
      <c r="A9" s="17" t="inlineStr">
        <is>
          <t>4</t>
        </is>
      </c>
      <c r="B9" s="18" t="inlineStr">
        <is>
          <t>Click M1 (the PCPProviderID header) and press Ctrl+↓ once. On which row number does Excel stop?</t>
        </is>
      </c>
      <c r="C9" s="19" t="inlineStr">
        <is>
          <t>Ctrl+arrow stops at the edge of a block of filled cells</t>
        </is>
      </c>
      <c r="D9" s="22" t="n"/>
      <c r="E9" s="21">
        <f>IF(IFERROR(D9="",FALSE),"",IF(IFERROR(AND(ISNUMBER(D9),OR(ABS(D9-'Answer Key'!$C$8)&lt;=0.0001)),FALSE),"✔ Correct","✘ Not yet"))</f>
        <v/>
      </c>
    </row>
    <row r="10" ht="51" customHeight="1">
      <c r="A10" s="17" t="inlineStr">
        <is>
          <t>5</t>
        </is>
      </c>
      <c r="B10" s="18" t="inlineStr">
        <is>
          <t>Select the Email data cells J2:J501: type J2:J501 in the Name Box and press Enter. How many patients have an email address on file? Read Count on the status bar.</t>
        </is>
      </c>
      <c r="C10" s="19" t="inlineStr">
        <is>
          <t>Count = cells that aren't empty</t>
        </is>
      </c>
      <c r="D10" s="22" t="n"/>
      <c r="E10" s="21">
        <f>IF(IFERROR(D10="",FALSE),"",IF(IFERROR(AND(ISNUMBER(D10),OR(ABS(D10-'Answer Key'!$C$9)&lt;=0.0001)),FALSE),"✔ Correct","✘ Not yet"))</f>
        <v/>
      </c>
    </row>
    <row r="11" ht="51" customHeight="1">
      <c r="A11" s="17" t="inlineStr">
        <is>
          <t>6</t>
        </is>
      </c>
      <c r="B11" s="18" t="inlineStr">
        <is>
          <t>Select the WeightLb values O2:O501 with Go To: press F5 or Ctrl+G (Mac: Control+G), type O2:O501, and press Enter. What is the average weight in pounds? Round to 1 decimal place.</t>
        </is>
      </c>
      <c r="C11" s="19" t="inlineStr">
        <is>
          <t>Average is on the status bar by default</t>
        </is>
      </c>
      <c r="D11" s="23" t="n"/>
      <c r="E11" s="21">
        <f>IF(IFERROR(D11="",FALSE),"",IF(IFERROR(AND(ISNUMBER(D11),OR(ABS(D11-'Answer Key'!$C$10)&lt;=0.051)),FALSE),"✔ Correct","✘ Not yet"))</f>
        <v/>
      </c>
    </row>
    <row r="12" ht="81" customHeight="1">
      <c r="A12" s="17" t="inlineStr">
        <is>
          <t>7</t>
        </is>
      </c>
      <c r="B12" s="18" t="inlineStr">
        <is>
          <t>Turn on Minimum in the status bar: right-click the status bar and tick Minimum. Then click cell F2 (the first DOB) and press Ctrl+Shift+↓ to select every date of birth. What is the date of birth of the oldest patient? Type it as month/day/year, the way the status bar shows it. (If your computer uses day/month dates, type the month as a word instead, such as 15 Mar 1950.)</t>
        </is>
      </c>
      <c r="C12" s="19" t="inlineStr">
        <is>
          <t>The oldest patient has the earliest date, so look at Minimum</t>
        </is>
      </c>
      <c r="D12" s="24" t="n"/>
      <c r="E12" s="21">
        <f>IF(IFERROR(D12="",FALSE),"",IF(IFERROR(AND(ISNUMBER(D12),INT(D12)=INT('Answer Key'!$C$11)),FALSE),"✔ Correct","✘ Not yet"))</f>
        <v/>
      </c>
    </row>
    <row r="13" ht="66" customHeight="1">
      <c r="A13" s="17" t="inlineStr">
        <is>
          <t>8</t>
        </is>
      </c>
      <c r="B13" s="18" t="inlineStr">
        <is>
          <t>How many patients live in Millbrook? On the Patients sheet, click a single cell such as A1 so Find searches the whole sheet. Then press Ctrl+F (Mac: Control+F), type Millbrook, click Find All, and read the count at the bottom of the dialog.</t>
        </is>
      </c>
      <c r="C13" s="19" t="inlineStr">
        <is>
          <t>Find All shows '… cell(s) found'</t>
        </is>
      </c>
      <c r="D13" s="22" t="n"/>
      <c r="E13" s="21">
        <f>IF(IFERROR(D13="",FALSE),"",IF(IFERROR(AND(ISNUMBER(D13),OR(ABS(D13-'Answer Key'!$C$12)&lt;=0.0001)),FALSE),"✔ Correct","✘ Not yet"))</f>
        <v/>
      </c>
    </row>
    <row r="14" ht="51" customHeight="1">
      <c r="A14" s="17" t="inlineStr">
        <is>
          <t>9</t>
        </is>
      </c>
      <c r="B14" s="18" t="inlineStr">
        <is>
          <t>Column I is hidden (the column letters jump from H to J). Unhide it, then click cell A1 and use Ctrl+F (Mac: Control+F) to find patient PT12376. What is that patient's phone number?</t>
        </is>
      </c>
      <c r="C14" s="19" t="inlineStr">
        <is>
          <t>Select the columns on both sides of the gap, right-click → Unhide</t>
        </is>
      </c>
      <c r="D14" s="20" t="n"/>
      <c r="E14" s="21">
        <f>IF(IFERROR(D14="",FALSE),"",IF(IFERROR(OR(LOWER(TRIM(D14&amp;""))=LOWER(TRIM('Answer Key'!$C$13&amp;"")),LOWER(TRIM(D14&amp;""))="5557408462",LOWER(TRIM(D14&amp;""))="555-740-8462",LOWER(TRIM(D14&amp;""))="(555)740-8462",LOWER(TRIM(D14&amp;""))="555 740 8462"),FALSE),"✔ Correct","✘ Not yet"))</f>
        <v/>
      </c>
    </row>
    <row r="15" ht="51" customHeight="1">
      <c r="A15" s="17" t="inlineStr">
        <is>
          <t>10</t>
        </is>
      </c>
      <c r="B15" s="18" t="inlineStr">
        <is>
          <t>Patient PT13312 has a PrimaryPayerID in column L. The payer names are on the Payers sheet, which is hidden. Unhide it (right-click any sheet tab → Unhide…) and type the name of this patient's payer.</t>
        </is>
      </c>
      <c r="C15" s="19" t="inlineStr">
        <is>
          <t>Right-click a sheet tab → Unhide…</t>
        </is>
      </c>
      <c r="D15" s="20" t="n"/>
      <c r="E15" s="21">
        <f>IF(IFERROR(D15="",FALSE),"",IF(IFERROR(OR(LOWER(TRIM(D15&amp;""))=LOWER(TRIM('Answer Key'!$C$14&amp;""))),FALSE),"✔ Correct","✘ Not yet"))</f>
        <v/>
      </c>
    </row>
    <row r="16" ht="51" customHeight="1">
      <c r="A16" s="17" t="inlineStr">
        <is>
          <t>11</t>
        </is>
      </c>
      <c r="B16" s="18" t="inlineStr">
        <is>
          <t>How many worksheets does this workbook contain in total, hidden ones included? Count the tabs you can see, then right-click a tab → Unhide… to see what's still hidden. Look, but don't unhide the answer keys yet!</t>
        </is>
      </c>
      <c r="C16" s="19" t="inlineStr">
        <is>
          <t>Visible tabs + the names listed in the Unhide dialog</t>
        </is>
      </c>
      <c r="D16" s="22" t="n"/>
      <c r="E16" s="21">
        <f>IF(IFERROR(D16="",FALSE),"",IF(IFERROR(AND(ISNUMBER(D16),OR(ABS(D16-'Answer Key'!$C$15)&lt;=0.0001)),FALSE),"✔ Correct","✘ Not yet"))</f>
        <v/>
      </c>
    </row>
    <row r="17" ht="51" customHeight="1">
      <c r="A17" s="17" t="inlineStr">
        <is>
          <t>12</t>
        </is>
      </c>
      <c r="B17" s="18" t="inlineStr">
        <is>
          <t>You want row 1 (the headers) and columns A:B (PatientID and MRN) to stay on screen while you scroll. Which cell must you select before choosing View → Freeze Panes → Freeze Panes? Type its address.</t>
        </is>
      </c>
      <c r="C17" s="19" t="inlineStr">
        <is>
          <t>Excel freezes everything above and to the left of the selected cell</t>
        </is>
      </c>
      <c r="D17" s="20" t="n"/>
      <c r="E17" s="21">
        <f>IF(IFERROR(D17="",FALSE),"",IF(IFERROR(OR(LOWER(TRIM(D17&amp;""))=LOWER(TRIM('Answer Key'!$C$16&amp;"")),LOWER(TRIM(D17&amp;""))="$c$2"),FALSE),"✔ Correct","✘ Not yet"))</f>
        <v/>
      </c>
    </row>
  </sheetData>
  <mergeCells count="3">
    <mergeCell ref="A2:E2"/>
    <mergeCell ref="A4:C4"/>
    <mergeCell ref="A3:E3"/>
  </mergeCells>
  <conditionalFormatting sqref="E6:E17">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Q501"/>
  <sheetViews>
    <sheetView tabSelected="0" workbookViewId="0">
      <selection activeCell="A1" sqref="A1"/>
    </sheetView>
  </sheetViews>
  <sheetFormatPr baseColWidth="8" defaultRowHeight="15"/>
  <cols>
    <col width="11" customWidth="1" min="1" max="1"/>
    <col width="10" customWidth="1" min="2" max="2"/>
    <col width="12" customWidth="1" min="3" max="3"/>
    <col width="13" customWidth="1" min="4" max="4"/>
    <col width="9" customWidth="1" min="5" max="5"/>
    <col width="12" customWidth="1" min="6" max="6"/>
    <col width="18" customWidth="1" min="7" max="7"/>
    <col width="9" customWidth="1" min="8" max="8"/>
    <col hidden="1" width="16" customWidth="1" min="9" max="9"/>
    <col width="32" customWidth="1" min="10" max="10"/>
    <col width="19" customWidth="1" min="11" max="11"/>
    <col width="15" customWidth="1" min="12" max="12"/>
    <col width="15" customWidth="1" min="13" max="13"/>
    <col width="10" customWidth="1" min="14" max="14"/>
    <col width="10" customWidth="1" min="15" max="15"/>
    <col width="20" customWidth="1" min="16" max="16"/>
    <col width="17" customWidth="1" min="17" max="17"/>
  </cols>
  <sheetData>
    <row r="1">
      <c r="A1" s="25" t="inlineStr">
        <is>
          <t>PatientID</t>
        </is>
      </c>
      <c r="B1" s="25" t="inlineStr">
        <is>
          <t>MRN</t>
        </is>
      </c>
      <c r="C1" s="25" t="inlineStr">
        <is>
          <t>LastName</t>
        </is>
      </c>
      <c r="D1" s="25" t="inlineStr">
        <is>
          <t>FirstName</t>
        </is>
      </c>
      <c r="E1" s="25" t="inlineStr">
        <is>
          <t>Sex</t>
        </is>
      </c>
      <c r="F1" s="25" t="inlineStr">
        <is>
          <t>DOB</t>
        </is>
      </c>
      <c r="G1" s="25" t="inlineStr">
        <is>
          <t>City</t>
        </is>
      </c>
      <c r="H1" s="25" t="inlineStr">
        <is>
          <t>ZIP</t>
        </is>
      </c>
      <c r="I1" s="25" t="inlineStr">
        <is>
          <t>Phone</t>
        </is>
      </c>
      <c r="J1" s="25" t="inlineStr">
        <is>
          <t>Email</t>
        </is>
      </c>
      <c r="K1" s="25" t="inlineStr">
        <is>
          <t>PreferredLanguage</t>
        </is>
      </c>
      <c r="L1" s="25" t="inlineStr">
        <is>
          <t>PrimaryPayerID</t>
        </is>
      </c>
      <c r="M1" s="25" t="inlineStr">
        <is>
          <t>PCPProviderID</t>
        </is>
      </c>
      <c r="N1" s="25" t="inlineStr">
        <is>
          <t>HeightIn</t>
        </is>
      </c>
      <c r="O1" s="25" t="inlineStr">
        <is>
          <t>WeightLb</t>
        </is>
      </c>
      <c r="P1" s="25" t="inlineStr">
        <is>
          <t>ChronicConditions</t>
        </is>
      </c>
      <c r="Q1" s="25" t="inlineStr">
        <is>
          <t>RegistrationDate</t>
        </is>
      </c>
    </row>
    <row r="2">
      <c r="A2" t="inlineStr">
        <is>
          <t>PT10008</t>
        </is>
      </c>
      <c r="B2" t="inlineStr">
        <is>
          <t>04700089</t>
        </is>
      </c>
      <c r="C2" t="inlineStr">
        <is>
          <t>Clark</t>
        </is>
      </c>
      <c r="D2" t="inlineStr">
        <is>
          <t>Arthur</t>
        </is>
      </c>
      <c r="E2" t="inlineStr">
        <is>
          <t>M</t>
        </is>
      </c>
      <c r="F2" s="26" t="n">
        <v>18921</v>
      </c>
      <c r="G2" t="inlineStr">
        <is>
          <t>Riverbend</t>
        </is>
      </c>
      <c r="H2" t="inlineStr">
        <is>
          <t>45545</t>
        </is>
      </c>
      <c r="I2" t="inlineStr">
        <is>
          <t>(555) 518-1637</t>
        </is>
      </c>
      <c r="K2" t="inlineStr">
        <is>
          <t>Arabic</t>
        </is>
      </c>
      <c r="L2" t="inlineStr">
        <is>
          <t>PY02</t>
        </is>
      </c>
      <c r="M2" t="inlineStr">
        <is>
          <t>PRV1139</t>
        </is>
      </c>
      <c r="N2" t="n">
        <v>66.90000000000001</v>
      </c>
      <c r="O2" t="n">
        <v>187.1</v>
      </c>
      <c r="Q2" s="26" t="n">
        <v>44219</v>
      </c>
    </row>
    <row r="3">
      <c r="A3" t="inlineStr">
        <is>
          <t>PT10016</t>
        </is>
      </c>
      <c r="B3" t="inlineStr">
        <is>
          <t>07426502</t>
        </is>
      </c>
      <c r="C3" t="inlineStr">
        <is>
          <t>Kennedy</t>
        </is>
      </c>
      <c r="D3" t="inlineStr">
        <is>
          <t>Danielle</t>
        </is>
      </c>
      <c r="E3" t="inlineStr">
        <is>
          <t>F</t>
        </is>
      </c>
      <c r="F3" s="26" t="n">
        <v>37473</v>
      </c>
      <c r="G3" t="inlineStr">
        <is>
          <t>Granite Springs</t>
        </is>
      </c>
      <c r="H3" t="inlineStr">
        <is>
          <t>45750</t>
        </is>
      </c>
      <c r="I3" t="inlineStr">
        <is>
          <t>(555) 476-8447</t>
        </is>
      </c>
      <c r="J3" t="inlineStr">
        <is>
          <t>danielle.kennedy84@example.com</t>
        </is>
      </c>
      <c r="K3" t="inlineStr">
        <is>
          <t>English</t>
        </is>
      </c>
      <c r="L3" t="inlineStr">
        <is>
          <t>PY04</t>
        </is>
      </c>
      <c r="M3" t="inlineStr">
        <is>
          <t>PRV1126</t>
        </is>
      </c>
      <c r="N3" t="n">
        <v>63.1</v>
      </c>
      <c r="O3" t="n">
        <v>118.5</v>
      </c>
      <c r="Q3" s="26" t="n">
        <v>41955</v>
      </c>
    </row>
    <row r="4">
      <c r="A4" t="inlineStr">
        <is>
          <t>PT10024</t>
        </is>
      </c>
      <c r="B4" t="inlineStr">
        <is>
          <t>07685936</t>
        </is>
      </c>
      <c r="C4" t="inlineStr">
        <is>
          <t>Sandoval</t>
        </is>
      </c>
      <c r="D4" t="inlineStr">
        <is>
          <t>Priya</t>
        </is>
      </c>
      <c r="E4" t="inlineStr">
        <is>
          <t>F</t>
        </is>
      </c>
      <c r="F4" s="26" t="n">
        <v>23950</v>
      </c>
      <c r="G4" t="inlineStr">
        <is>
          <t>Bluestone</t>
        </is>
      </c>
      <c r="H4" t="inlineStr">
        <is>
          <t>45503</t>
        </is>
      </c>
      <c r="I4" t="inlineStr">
        <is>
          <t>(555) 481-8733</t>
        </is>
      </c>
      <c r="K4" t="inlineStr">
        <is>
          <t>English</t>
        </is>
      </c>
      <c r="L4" t="inlineStr">
        <is>
          <t>PY06</t>
        </is>
      </c>
      <c r="M4" t="inlineStr">
        <is>
          <t>PRV1127</t>
        </is>
      </c>
      <c r="N4" t="n">
        <v>62.9</v>
      </c>
      <c r="O4" t="n">
        <v>221.3</v>
      </c>
      <c r="P4" t="inlineStr">
        <is>
          <t>HTN;HF</t>
        </is>
      </c>
      <c r="Q4" s="26" t="n">
        <v>42105</v>
      </c>
    </row>
    <row r="5">
      <c r="A5" t="inlineStr">
        <is>
          <t>PT10032</t>
        </is>
      </c>
      <c r="B5" t="inlineStr">
        <is>
          <t>03929231</t>
        </is>
      </c>
      <c r="C5" t="inlineStr">
        <is>
          <t>White</t>
        </is>
      </c>
      <c r="D5" t="inlineStr">
        <is>
          <t>Amber</t>
        </is>
      </c>
      <c r="E5" t="inlineStr">
        <is>
          <t>F</t>
        </is>
      </c>
      <c r="F5" s="26" t="n">
        <v>35240</v>
      </c>
      <c r="G5" t="inlineStr">
        <is>
          <t>Cedar Ridge</t>
        </is>
      </c>
      <c r="H5" t="inlineStr">
        <is>
          <t>45720</t>
        </is>
      </c>
      <c r="I5" t="inlineStr">
        <is>
          <t>(555) 556-3833</t>
        </is>
      </c>
      <c r="J5" t="inlineStr">
        <is>
          <t>amber.white81@example.com</t>
        </is>
      </c>
      <c r="K5" t="inlineStr">
        <is>
          <t>English</t>
        </is>
      </c>
      <c r="L5" t="inlineStr">
        <is>
          <t>PY03</t>
        </is>
      </c>
      <c r="M5" t="inlineStr">
        <is>
          <t>PRV1124</t>
        </is>
      </c>
      <c r="N5" t="n">
        <v>66.40000000000001</v>
      </c>
      <c r="O5" t="n">
        <v>211.6</v>
      </c>
      <c r="Q5" s="26" t="n">
        <v>45483</v>
      </c>
    </row>
    <row r="6">
      <c r="A6" t="inlineStr">
        <is>
          <t>PT10040</t>
        </is>
      </c>
      <c r="B6" t="inlineStr">
        <is>
          <t>01627410</t>
        </is>
      </c>
      <c r="C6" t="inlineStr">
        <is>
          <t>Carroll</t>
        </is>
      </c>
      <c r="D6" t="inlineStr">
        <is>
          <t>Lucia</t>
        </is>
      </c>
      <c r="E6" t="inlineStr">
        <is>
          <t>F</t>
        </is>
      </c>
      <c r="F6" s="26" t="n">
        <v>21777</v>
      </c>
      <c r="G6" t="inlineStr">
        <is>
          <t>Bluestone</t>
        </is>
      </c>
      <c r="H6" t="inlineStr">
        <is>
          <t>45502</t>
        </is>
      </c>
      <c r="I6" t="inlineStr">
        <is>
          <t>(555) 661-2143</t>
        </is>
      </c>
      <c r="K6" t="inlineStr">
        <is>
          <t>English</t>
        </is>
      </c>
      <c r="L6" t="inlineStr">
        <is>
          <t>PY01</t>
        </is>
      </c>
      <c r="M6" t="inlineStr">
        <is>
          <t>PRV1134</t>
        </is>
      </c>
      <c r="N6" t="n">
        <v>65.3</v>
      </c>
      <c r="O6" t="n">
        <v>266.1</v>
      </c>
      <c r="P6" t="inlineStr">
        <is>
          <t>HTN</t>
        </is>
      </c>
      <c r="Q6" s="26" t="n">
        <v>42423</v>
      </c>
    </row>
    <row r="7">
      <c r="A7" t="inlineStr">
        <is>
          <t>PT10048</t>
        </is>
      </c>
      <c r="B7" t="inlineStr">
        <is>
          <t>03647016</t>
        </is>
      </c>
      <c r="C7" t="inlineStr">
        <is>
          <t>Boyd</t>
        </is>
      </c>
      <c r="D7" t="inlineStr">
        <is>
          <t>Teresa</t>
        </is>
      </c>
      <c r="E7" t="inlineStr">
        <is>
          <t>F</t>
        </is>
      </c>
      <c r="F7" s="26" t="n">
        <v>45238</v>
      </c>
      <c r="G7" t="inlineStr">
        <is>
          <t>Ashby Falls</t>
        </is>
      </c>
      <c r="H7" t="inlineStr">
        <is>
          <t>45610</t>
        </is>
      </c>
      <c r="I7" t="inlineStr">
        <is>
          <t>(555) 678-0264</t>
        </is>
      </c>
      <c r="K7" t="inlineStr">
        <is>
          <t>English</t>
        </is>
      </c>
      <c r="L7" t="inlineStr">
        <is>
          <t>PY03</t>
        </is>
      </c>
      <c r="M7" t="inlineStr">
        <is>
          <t>PRV1104</t>
        </is>
      </c>
      <c r="N7" t="n">
        <v>24.9</v>
      </c>
      <c r="O7" t="n">
        <v>17</v>
      </c>
      <c r="Q7" s="26" t="n">
        <v>45311</v>
      </c>
    </row>
    <row r="8">
      <c r="A8" t="inlineStr">
        <is>
          <t>PT10056</t>
        </is>
      </c>
      <c r="B8" t="inlineStr">
        <is>
          <t>05428930</t>
        </is>
      </c>
      <c r="C8" t="inlineStr">
        <is>
          <t>Sanchez</t>
        </is>
      </c>
      <c r="D8" t="inlineStr">
        <is>
          <t>Lisa</t>
        </is>
      </c>
      <c r="E8" t="inlineStr">
        <is>
          <t>F</t>
        </is>
      </c>
      <c r="F8" s="26" t="n">
        <v>36674</v>
      </c>
      <c r="G8" t="inlineStr">
        <is>
          <t>Oak Glen</t>
        </is>
      </c>
      <c r="H8" t="inlineStr">
        <is>
          <t>45730</t>
        </is>
      </c>
      <c r="I8" t="inlineStr">
        <is>
          <t>(555) 200-2730</t>
        </is>
      </c>
      <c r="J8" t="inlineStr">
        <is>
          <t>lisa.sanchez44@example.com</t>
        </is>
      </c>
      <c r="K8" t="inlineStr">
        <is>
          <t>Spanish</t>
        </is>
      </c>
      <c r="L8" t="inlineStr">
        <is>
          <t>PY07</t>
        </is>
      </c>
      <c r="M8" t="inlineStr">
        <is>
          <t>PRV1140</t>
        </is>
      </c>
      <c r="N8" t="n">
        <v>59.6</v>
      </c>
      <c r="O8" t="n">
        <v>106.3</v>
      </c>
      <c r="P8" t="inlineStr">
        <is>
          <t>ETOH</t>
        </is>
      </c>
      <c r="Q8" s="26" t="n">
        <v>41473</v>
      </c>
    </row>
    <row r="9">
      <c r="A9" t="inlineStr">
        <is>
          <t>PT10064</t>
        </is>
      </c>
      <c r="B9" t="inlineStr">
        <is>
          <t>08932643</t>
        </is>
      </c>
      <c r="C9" t="inlineStr">
        <is>
          <t>Grant</t>
        </is>
      </c>
      <c r="D9" t="inlineStr">
        <is>
          <t>Natalie</t>
        </is>
      </c>
      <c r="E9" t="inlineStr">
        <is>
          <t>F</t>
        </is>
      </c>
      <c r="F9" s="26" t="n">
        <v>28231</v>
      </c>
      <c r="G9" t="inlineStr">
        <is>
          <t>Bluestone</t>
        </is>
      </c>
      <c r="H9" t="inlineStr">
        <is>
          <t>45502</t>
        </is>
      </c>
      <c r="I9" t="inlineStr">
        <is>
          <t>(555) 959-1391</t>
        </is>
      </c>
      <c r="J9" t="inlineStr">
        <is>
          <t>natalie.grant52@example.com</t>
        </is>
      </c>
      <c r="K9" t="inlineStr">
        <is>
          <t>English</t>
        </is>
      </c>
      <c r="L9" t="inlineStr">
        <is>
          <t>PY06</t>
        </is>
      </c>
      <c r="M9" t="inlineStr">
        <is>
          <t>PRV1134</t>
        </is>
      </c>
      <c r="N9" t="n">
        <v>63.2</v>
      </c>
      <c r="O9" t="n">
        <v>132.7</v>
      </c>
      <c r="Q9" s="26" t="n">
        <v>45208</v>
      </c>
    </row>
    <row r="10">
      <c r="A10" t="inlineStr">
        <is>
          <t>PT10072</t>
        </is>
      </c>
      <c r="B10" t="inlineStr">
        <is>
          <t>08124000</t>
        </is>
      </c>
      <c r="C10" t="inlineStr">
        <is>
          <t>Romero</t>
        </is>
      </c>
      <c r="D10" t="inlineStr">
        <is>
          <t>Alice</t>
        </is>
      </c>
      <c r="E10" t="inlineStr">
        <is>
          <t>F</t>
        </is>
      </c>
      <c r="F10" s="26" t="n">
        <v>45777</v>
      </c>
      <c r="G10" t="inlineStr">
        <is>
          <t>Bluestone</t>
        </is>
      </c>
      <c r="H10" t="inlineStr">
        <is>
          <t>45501</t>
        </is>
      </c>
      <c r="I10" t="inlineStr">
        <is>
          <t>(555) 625-3341</t>
        </is>
      </c>
      <c r="K10" t="inlineStr">
        <is>
          <t>English</t>
        </is>
      </c>
      <c r="L10" t="inlineStr">
        <is>
          <t>PY05</t>
        </is>
      </c>
      <c r="M10" t="inlineStr">
        <is>
          <t>PRV1105</t>
        </is>
      </c>
      <c r="N10" t="n">
        <v>23.2</v>
      </c>
      <c r="O10" t="n">
        <v>13.8</v>
      </c>
      <c r="Q10" s="26" t="n">
        <v>45621</v>
      </c>
    </row>
    <row r="11">
      <c r="A11" t="inlineStr">
        <is>
          <t>PT10080</t>
        </is>
      </c>
      <c r="B11" t="inlineStr">
        <is>
          <t>08943314</t>
        </is>
      </c>
      <c r="C11" t="inlineStr">
        <is>
          <t>Taylor</t>
        </is>
      </c>
      <c r="D11" t="inlineStr">
        <is>
          <t>Julie</t>
        </is>
      </c>
      <c r="E11" t="inlineStr">
        <is>
          <t>F</t>
        </is>
      </c>
      <c r="F11" s="26" t="n">
        <v>28549</v>
      </c>
      <c r="G11" t="inlineStr">
        <is>
          <t>Bluestone</t>
        </is>
      </c>
      <c r="H11" t="inlineStr">
        <is>
          <t>45502</t>
        </is>
      </c>
      <c r="I11" t="inlineStr">
        <is>
          <t>(555) 715-8462</t>
        </is>
      </c>
      <c r="K11" t="inlineStr">
        <is>
          <t>English</t>
        </is>
      </c>
      <c r="L11" t="inlineStr">
        <is>
          <t>PY03</t>
        </is>
      </c>
      <c r="M11" t="inlineStr">
        <is>
          <t>PRV1128</t>
        </is>
      </c>
      <c r="N11" t="n">
        <v>67</v>
      </c>
      <c r="O11" t="n">
        <v>119.2</v>
      </c>
      <c r="P11" t="inlineStr">
        <is>
          <t>PSYCH</t>
        </is>
      </c>
      <c r="Q11" s="26" t="n">
        <v>42394</v>
      </c>
    </row>
    <row r="12">
      <c r="A12" t="inlineStr">
        <is>
          <t>PT10088</t>
        </is>
      </c>
      <c r="B12" t="inlineStr">
        <is>
          <t>07430462</t>
        </is>
      </c>
      <c r="C12" t="inlineStr">
        <is>
          <t>Yilmaz</t>
        </is>
      </c>
      <c r="D12" t="inlineStr">
        <is>
          <t>Nicholas</t>
        </is>
      </c>
      <c r="E12" t="inlineStr">
        <is>
          <t>M</t>
        </is>
      </c>
      <c r="F12" s="26" t="n">
        <v>18457</v>
      </c>
      <c r="G12" t="inlineStr">
        <is>
          <t>Ashby Falls</t>
        </is>
      </c>
      <c r="H12" t="inlineStr">
        <is>
          <t>45610</t>
        </is>
      </c>
      <c r="I12" t="inlineStr">
        <is>
          <t>(555) 665-4621</t>
        </is>
      </c>
      <c r="J12" t="inlineStr">
        <is>
          <t>nicholas.yilmaz10@example.com</t>
        </is>
      </c>
      <c r="K12" t="inlineStr">
        <is>
          <t>English</t>
        </is>
      </c>
      <c r="L12" t="inlineStr">
        <is>
          <t>PY01</t>
        </is>
      </c>
      <c r="M12" t="inlineStr">
        <is>
          <t>PRV1124</t>
        </is>
      </c>
      <c r="N12" t="n">
        <v>73.2</v>
      </c>
      <c r="O12" t="n">
        <v>169.9</v>
      </c>
      <c r="Q12" s="26" t="n">
        <v>44282</v>
      </c>
    </row>
    <row r="13">
      <c r="A13" t="inlineStr">
        <is>
          <t>PT10096</t>
        </is>
      </c>
      <c r="B13" t="inlineStr">
        <is>
          <t>04307890</t>
        </is>
      </c>
      <c r="C13" t="inlineStr">
        <is>
          <t>Harris</t>
        </is>
      </c>
      <c r="D13" t="inlineStr">
        <is>
          <t>Elijah</t>
        </is>
      </c>
      <c r="E13" t="inlineStr">
        <is>
          <t>M</t>
        </is>
      </c>
      <c r="F13" s="26" t="n">
        <v>23365</v>
      </c>
      <c r="G13" t="inlineStr">
        <is>
          <t>Bluestone</t>
        </is>
      </c>
      <c r="H13" t="inlineStr">
        <is>
          <t>45501</t>
        </is>
      </c>
      <c r="I13" t="inlineStr">
        <is>
          <t>(555) 416-8448</t>
        </is>
      </c>
      <c r="K13" t="inlineStr">
        <is>
          <t>English</t>
        </is>
      </c>
      <c r="L13" t="inlineStr">
        <is>
          <t>PY05</t>
        </is>
      </c>
      <c r="M13" t="inlineStr">
        <is>
          <t>PRV1132</t>
        </is>
      </c>
      <c r="N13" t="n">
        <v>76.8</v>
      </c>
      <c r="O13" t="n">
        <v>301.7</v>
      </c>
      <c r="P13" t="inlineStr">
        <is>
          <t>CANCER</t>
        </is>
      </c>
      <c r="Q13" s="26" t="n">
        <v>44421</v>
      </c>
    </row>
    <row r="14">
      <c r="A14" t="inlineStr">
        <is>
          <t>PT10104</t>
        </is>
      </c>
      <c r="B14" t="inlineStr">
        <is>
          <t>09055529</t>
        </is>
      </c>
      <c r="C14" t="inlineStr">
        <is>
          <t>Pierce</t>
        </is>
      </c>
      <c r="D14" t="inlineStr">
        <is>
          <t>Samuel</t>
        </is>
      </c>
      <c r="E14" t="inlineStr">
        <is>
          <t>M</t>
        </is>
      </c>
      <c r="F14" s="26" t="n">
        <v>31972</v>
      </c>
      <c r="G14" t="inlineStr">
        <is>
          <t>Granite Springs</t>
        </is>
      </c>
      <c r="H14" t="inlineStr">
        <is>
          <t>45750</t>
        </is>
      </c>
      <c r="I14" t="inlineStr">
        <is>
          <t>(555) 268-4376</t>
        </is>
      </c>
      <c r="J14" t="inlineStr">
        <is>
          <t>samuel.pierce7@example.com</t>
        </is>
      </c>
      <c r="K14" t="inlineStr">
        <is>
          <t>English</t>
        </is>
      </c>
      <c r="L14" t="inlineStr">
        <is>
          <t>PY03</t>
        </is>
      </c>
      <c r="M14" t="inlineStr">
        <is>
          <t>PRV1139</t>
        </is>
      </c>
      <c r="N14" t="n">
        <v>71.5</v>
      </c>
      <c r="O14" t="n">
        <v>233.4</v>
      </c>
      <c r="P14" t="inlineStr">
        <is>
          <t>DM;PSYCH</t>
        </is>
      </c>
      <c r="Q14" s="26" t="n">
        <v>45292</v>
      </c>
    </row>
    <row r="15">
      <c r="A15" t="inlineStr">
        <is>
          <t>PT10112</t>
        </is>
      </c>
      <c r="B15" t="inlineStr">
        <is>
          <t>01473420</t>
        </is>
      </c>
      <c r="C15" t="inlineStr">
        <is>
          <t>Bailey</t>
        </is>
      </c>
      <c r="D15" t="inlineStr">
        <is>
          <t>Elizabeth</t>
        </is>
      </c>
      <c r="E15" t="inlineStr">
        <is>
          <t>F</t>
        </is>
      </c>
      <c r="F15" s="26" t="n">
        <v>21398</v>
      </c>
      <c r="G15" t="inlineStr">
        <is>
          <t>Lakeview Heights</t>
        </is>
      </c>
      <c r="H15" t="inlineStr">
        <is>
          <t>45510</t>
        </is>
      </c>
      <c r="I15" t="inlineStr">
        <is>
          <t>(555) 713-3477</t>
        </is>
      </c>
      <c r="J15" t="inlineStr">
        <is>
          <t>elizabeth.bailey48@example.com</t>
        </is>
      </c>
      <c r="K15" t="inlineStr">
        <is>
          <t>Spanish</t>
        </is>
      </c>
      <c r="L15" t="inlineStr">
        <is>
          <t>PY02</t>
        </is>
      </c>
      <c r="M15" t="inlineStr">
        <is>
          <t>PRV1131</t>
        </is>
      </c>
      <c r="N15" t="n">
        <v>63.7</v>
      </c>
      <c r="O15" t="n">
        <v>182.8</v>
      </c>
      <c r="Q15" s="26" t="n">
        <v>40267</v>
      </c>
    </row>
    <row r="16">
      <c r="A16" t="inlineStr">
        <is>
          <t>PT10120</t>
        </is>
      </c>
      <c r="B16" t="inlineStr">
        <is>
          <t>01998299</t>
        </is>
      </c>
      <c r="C16" t="inlineStr">
        <is>
          <t>Contreras</t>
        </is>
      </c>
      <c r="D16" t="inlineStr">
        <is>
          <t>Joseph</t>
        </is>
      </c>
      <c r="E16" t="inlineStr">
        <is>
          <t>M</t>
        </is>
      </c>
      <c r="F16" s="26" t="n">
        <v>23388</v>
      </c>
      <c r="G16" t="inlineStr">
        <is>
          <t>Granite Springs</t>
        </is>
      </c>
      <c r="H16" t="inlineStr">
        <is>
          <t>45750</t>
        </is>
      </c>
      <c r="I16" t="inlineStr">
        <is>
          <t>(555) 205-1626</t>
        </is>
      </c>
      <c r="J16" t="inlineStr">
        <is>
          <t>joseph.contreras19@example.com</t>
        </is>
      </c>
      <c r="K16" t="inlineStr">
        <is>
          <t>English</t>
        </is>
      </c>
      <c r="L16" t="inlineStr">
        <is>
          <t>PY05</t>
        </is>
      </c>
      <c r="M16" t="inlineStr">
        <is>
          <t>PRV1134</t>
        </is>
      </c>
      <c r="N16" t="n">
        <v>67.90000000000001</v>
      </c>
      <c r="O16" t="n">
        <v>149.6</v>
      </c>
      <c r="P16" t="inlineStr">
        <is>
          <t>HTN;COPD;PSYCH</t>
        </is>
      </c>
      <c r="Q16" s="26" t="n">
        <v>44653</v>
      </c>
    </row>
    <row r="17">
      <c r="A17" t="inlineStr">
        <is>
          <t>PT10128</t>
        </is>
      </c>
      <c r="B17" t="inlineStr">
        <is>
          <t>08149461</t>
        </is>
      </c>
      <c r="C17" t="inlineStr">
        <is>
          <t>Price</t>
        </is>
      </c>
      <c r="D17" t="inlineStr">
        <is>
          <t>Evelyn</t>
        </is>
      </c>
      <c r="E17" t="inlineStr">
        <is>
          <t>F</t>
        </is>
      </c>
      <c r="F17" s="26" t="n">
        <v>44118</v>
      </c>
      <c r="G17" t="inlineStr">
        <is>
          <t>Ashby Falls</t>
        </is>
      </c>
      <c r="H17" t="inlineStr">
        <is>
          <t>45610</t>
        </is>
      </c>
      <c r="I17" t="inlineStr">
        <is>
          <t>(555) 827-2489</t>
        </is>
      </c>
      <c r="K17" t="inlineStr">
        <is>
          <t>English</t>
        </is>
      </c>
      <c r="L17" t="inlineStr">
        <is>
          <t>PY03</t>
        </is>
      </c>
      <c r="M17" t="inlineStr">
        <is>
          <t>PRV1105</t>
        </is>
      </c>
      <c r="N17" t="n">
        <v>30.8</v>
      </c>
      <c r="O17" t="n">
        <v>27.6</v>
      </c>
      <c r="Q17" s="26" t="n">
        <v>45120</v>
      </c>
    </row>
    <row r="18">
      <c r="A18" t="inlineStr">
        <is>
          <t>PT10136</t>
        </is>
      </c>
      <c r="B18" t="inlineStr">
        <is>
          <t>06020756</t>
        </is>
      </c>
      <c r="C18" t="inlineStr">
        <is>
          <t>Butler</t>
        </is>
      </c>
      <c r="D18" t="inlineStr">
        <is>
          <t>Amina</t>
        </is>
      </c>
      <c r="E18" t="inlineStr">
        <is>
          <t>F</t>
        </is>
      </c>
      <c r="F18" s="26" t="n">
        <v>27365</v>
      </c>
      <c r="G18" t="inlineStr">
        <is>
          <t>Bluestone</t>
        </is>
      </c>
      <c r="H18" t="inlineStr">
        <is>
          <t>45503</t>
        </is>
      </c>
      <c r="I18" t="inlineStr">
        <is>
          <t>(555) 398-2220</t>
        </is>
      </c>
      <c r="J18" t="inlineStr">
        <is>
          <t>amina.butler97@example.com</t>
        </is>
      </c>
      <c r="K18" t="inlineStr">
        <is>
          <t>English</t>
        </is>
      </c>
      <c r="L18" t="inlineStr">
        <is>
          <t>PY06</t>
        </is>
      </c>
      <c r="M18" t="inlineStr">
        <is>
          <t>PRV1134</t>
        </is>
      </c>
      <c r="N18" t="n">
        <v>62.2</v>
      </c>
      <c r="O18" t="n">
        <v>97.40000000000001</v>
      </c>
      <c r="P18" t="inlineStr">
        <is>
          <t>ETOH</t>
        </is>
      </c>
      <c r="Q18" s="26" t="n">
        <v>41098</v>
      </c>
    </row>
    <row r="19">
      <c r="A19" t="inlineStr">
        <is>
          <t>PT10144</t>
        </is>
      </c>
      <c r="B19" t="inlineStr">
        <is>
          <t>02454067</t>
        </is>
      </c>
      <c r="C19" t="inlineStr">
        <is>
          <t>Jones</t>
        </is>
      </c>
      <c r="D19" t="inlineStr">
        <is>
          <t>Betty</t>
        </is>
      </c>
      <c r="E19" t="inlineStr">
        <is>
          <t>F</t>
        </is>
      </c>
      <c r="F19" s="26" t="n">
        <v>25267</v>
      </c>
      <c r="G19" t="inlineStr">
        <is>
          <t>Bluestone</t>
        </is>
      </c>
      <c r="H19" t="inlineStr">
        <is>
          <t>45501</t>
        </is>
      </c>
      <c r="I19" t="inlineStr">
        <is>
          <t>(555) 216-4750</t>
        </is>
      </c>
      <c r="K19" t="inlineStr">
        <is>
          <t>English</t>
        </is>
      </c>
      <c r="L19" t="inlineStr">
        <is>
          <t>PY06</t>
        </is>
      </c>
      <c r="M19" t="inlineStr">
        <is>
          <t>PRV1131</t>
        </is>
      </c>
      <c r="N19" t="n">
        <v>62.9</v>
      </c>
      <c r="O19" t="n">
        <v>154.4</v>
      </c>
      <c r="Q19" s="26" t="n">
        <v>39510</v>
      </c>
    </row>
    <row r="20">
      <c r="A20" t="inlineStr">
        <is>
          <t>PT10152</t>
        </is>
      </c>
      <c r="B20" t="inlineStr">
        <is>
          <t>03219873</t>
        </is>
      </c>
      <c r="C20" t="inlineStr">
        <is>
          <t>Alvarez</t>
        </is>
      </c>
      <c r="D20" t="inlineStr">
        <is>
          <t>Sharon</t>
        </is>
      </c>
      <c r="E20" t="inlineStr">
        <is>
          <t>F</t>
        </is>
      </c>
      <c r="F20" s="26" t="n">
        <v>26065</v>
      </c>
      <c r="G20" t="inlineStr">
        <is>
          <t>Bluestone</t>
        </is>
      </c>
      <c r="H20" t="inlineStr">
        <is>
          <t>45501</t>
        </is>
      </c>
      <c r="I20" t="inlineStr">
        <is>
          <t>(555) 223-5532</t>
        </is>
      </c>
      <c r="K20" t="inlineStr">
        <is>
          <t>English</t>
        </is>
      </c>
      <c r="L20" t="inlineStr">
        <is>
          <t>PY06</t>
        </is>
      </c>
      <c r="M20" t="inlineStr">
        <is>
          <t>PRV1131</t>
        </is>
      </c>
      <c r="N20" t="n">
        <v>65.40000000000001</v>
      </c>
      <c r="O20" t="n">
        <v>205</v>
      </c>
      <c r="Q20" s="26" t="n">
        <v>44624</v>
      </c>
    </row>
    <row r="21">
      <c r="A21" t="inlineStr">
        <is>
          <t>PT10160</t>
        </is>
      </c>
      <c r="B21" t="inlineStr">
        <is>
          <t>04174427</t>
        </is>
      </c>
      <c r="C21" t="inlineStr">
        <is>
          <t>Hansen</t>
        </is>
      </c>
      <c r="D21" t="inlineStr">
        <is>
          <t>Susan</t>
        </is>
      </c>
      <c r="E21" t="inlineStr">
        <is>
          <t>F</t>
        </is>
      </c>
      <c r="F21" s="26" t="n">
        <v>23054</v>
      </c>
      <c r="G21" t="inlineStr">
        <is>
          <t>Ashby Falls</t>
        </is>
      </c>
      <c r="H21" t="inlineStr">
        <is>
          <t>45610</t>
        </is>
      </c>
      <c r="I21" t="inlineStr">
        <is>
          <t>(555) 863-0761</t>
        </is>
      </c>
      <c r="K21" t="inlineStr">
        <is>
          <t>English</t>
        </is>
      </c>
      <c r="L21" t="inlineStr">
        <is>
          <t>PY05</t>
        </is>
      </c>
      <c r="M21" t="inlineStr">
        <is>
          <t>PRV1130</t>
        </is>
      </c>
      <c r="N21" t="n">
        <v>64.90000000000001</v>
      </c>
      <c r="O21" t="n">
        <v>127.9</v>
      </c>
      <c r="P21" t="inlineStr">
        <is>
          <t>AFIB</t>
        </is>
      </c>
      <c r="Q21" s="26" t="n">
        <v>44610</v>
      </c>
    </row>
    <row r="22">
      <c r="A22" t="inlineStr">
        <is>
          <t>PT10168</t>
        </is>
      </c>
      <c r="B22" t="inlineStr">
        <is>
          <t>02322826</t>
        </is>
      </c>
      <c r="C22" t="inlineStr">
        <is>
          <t>Petrov</t>
        </is>
      </c>
      <c r="D22" t="inlineStr">
        <is>
          <t>Mei</t>
        </is>
      </c>
      <c r="E22" t="inlineStr">
        <is>
          <t>F</t>
        </is>
      </c>
      <c r="F22" s="26" t="n">
        <v>33573</v>
      </c>
      <c r="G22" t="inlineStr">
        <is>
          <t>Bluestone</t>
        </is>
      </c>
      <c r="H22" t="inlineStr">
        <is>
          <t>45503</t>
        </is>
      </c>
      <c r="I22" t="inlineStr">
        <is>
          <t>(555) 527-1160</t>
        </is>
      </c>
      <c r="J22" t="inlineStr">
        <is>
          <t>mei.petrov46@example.com</t>
        </is>
      </c>
      <c r="K22" t="inlineStr">
        <is>
          <t>English</t>
        </is>
      </c>
      <c r="L22" t="inlineStr">
        <is>
          <t>PY05</t>
        </is>
      </c>
      <c r="M22" t="inlineStr">
        <is>
          <t>PRV1124</t>
        </is>
      </c>
      <c r="N22" t="n">
        <v>65.40000000000001</v>
      </c>
      <c r="O22" t="n">
        <v>161.7</v>
      </c>
      <c r="Q22" s="26" t="n">
        <v>40687</v>
      </c>
    </row>
    <row r="23">
      <c r="A23" t="inlineStr">
        <is>
          <t>PT10176</t>
        </is>
      </c>
      <c r="B23" t="inlineStr">
        <is>
          <t>01358460</t>
        </is>
      </c>
      <c r="C23" t="inlineStr">
        <is>
          <t>O'Brien</t>
        </is>
      </c>
      <c r="D23" t="inlineStr">
        <is>
          <t>Carl</t>
        </is>
      </c>
      <c r="E23" t="inlineStr">
        <is>
          <t>M</t>
        </is>
      </c>
      <c r="F23" s="26" t="n">
        <v>39851</v>
      </c>
      <c r="G23" t="inlineStr">
        <is>
          <t>Granite Springs</t>
        </is>
      </c>
      <c r="H23" t="inlineStr">
        <is>
          <t>45750</t>
        </is>
      </c>
      <c r="I23" t="inlineStr">
        <is>
          <t>(555) 701-8677</t>
        </is>
      </c>
      <c r="J23" t="inlineStr">
        <is>
          <t>carl.obrien92@example.com</t>
        </is>
      </c>
      <c r="K23" t="inlineStr">
        <is>
          <t>English</t>
        </is>
      </c>
      <c r="L23" t="inlineStr">
        <is>
          <t>PY03</t>
        </is>
      </c>
      <c r="M23" t="inlineStr">
        <is>
          <t>PRV1106</t>
        </is>
      </c>
      <c r="N23" t="n">
        <v>70.3</v>
      </c>
      <c r="O23" t="n">
        <v>178.2</v>
      </c>
      <c r="Q23" s="26" t="n">
        <v>42413</v>
      </c>
    </row>
    <row r="24">
      <c r="A24" t="inlineStr">
        <is>
          <t>PT10184</t>
        </is>
      </c>
      <c r="B24" t="inlineStr">
        <is>
          <t>04439547</t>
        </is>
      </c>
      <c r="C24" t="inlineStr">
        <is>
          <t>Meyer</t>
        </is>
      </c>
      <c r="D24" t="inlineStr">
        <is>
          <t>Rebecca</t>
        </is>
      </c>
      <c r="E24" t="inlineStr">
        <is>
          <t>F</t>
        </is>
      </c>
      <c r="F24" s="26" t="n">
        <v>32953</v>
      </c>
      <c r="G24" t="inlineStr">
        <is>
          <t>Bluestone</t>
        </is>
      </c>
      <c r="H24" t="inlineStr">
        <is>
          <t>45501</t>
        </is>
      </c>
      <c r="I24" t="inlineStr">
        <is>
          <t>(555) 869-4100</t>
        </is>
      </c>
      <c r="K24" t="inlineStr">
        <is>
          <t>English</t>
        </is>
      </c>
      <c r="L24" t="inlineStr">
        <is>
          <t>PY04</t>
        </is>
      </c>
      <c r="M24" t="inlineStr">
        <is>
          <t>PRV1137</t>
        </is>
      </c>
      <c r="N24" t="n">
        <v>65.09999999999999</v>
      </c>
      <c r="O24" t="n">
        <v>152</v>
      </c>
      <c r="Q24" s="26" t="n">
        <v>44902</v>
      </c>
    </row>
    <row r="25">
      <c r="A25" t="inlineStr">
        <is>
          <t>PT10192</t>
        </is>
      </c>
      <c r="B25" t="inlineStr">
        <is>
          <t>00863078</t>
        </is>
      </c>
      <c r="C25" t="inlineStr">
        <is>
          <t>Jackson</t>
        </is>
      </c>
      <c r="D25" t="inlineStr">
        <is>
          <t>Sharon</t>
        </is>
      </c>
      <c r="E25" t="inlineStr">
        <is>
          <t>F</t>
        </is>
      </c>
      <c r="F25" s="26" t="n">
        <v>30976</v>
      </c>
      <c r="G25" t="inlineStr">
        <is>
          <t>Bluestone</t>
        </is>
      </c>
      <c r="H25" t="inlineStr">
        <is>
          <t>45503</t>
        </is>
      </c>
      <c r="I25" t="inlineStr">
        <is>
          <t>(555) 466-5175</t>
        </is>
      </c>
      <c r="J25" t="inlineStr">
        <is>
          <t>sharon.jackson13@example.com</t>
        </is>
      </c>
      <c r="K25" t="inlineStr">
        <is>
          <t>Spanish</t>
        </is>
      </c>
      <c r="L25" t="inlineStr">
        <is>
          <t>PY06</t>
        </is>
      </c>
      <c r="M25" t="inlineStr">
        <is>
          <t>PRV1131</t>
        </is>
      </c>
      <c r="N25" t="n">
        <v>67</v>
      </c>
      <c r="O25" t="n">
        <v>196.5</v>
      </c>
      <c r="P25" t="inlineStr">
        <is>
          <t>HTN</t>
        </is>
      </c>
      <c r="Q25" s="26" t="n">
        <v>41731</v>
      </c>
    </row>
    <row r="26">
      <c r="A26" t="inlineStr">
        <is>
          <t>PT10200</t>
        </is>
      </c>
      <c r="B26" t="inlineStr">
        <is>
          <t>04324932</t>
        </is>
      </c>
      <c r="C26" t="inlineStr">
        <is>
          <t>Sullivan</t>
        </is>
      </c>
      <c r="D26" t="inlineStr">
        <is>
          <t>Jeremy</t>
        </is>
      </c>
      <c r="E26" t="inlineStr">
        <is>
          <t>M</t>
        </is>
      </c>
      <c r="F26" s="26" t="n">
        <v>30536</v>
      </c>
      <c r="G26" t="inlineStr">
        <is>
          <t>Millbrook</t>
        </is>
      </c>
      <c r="H26" t="inlineStr">
        <is>
          <t>45530</t>
        </is>
      </c>
      <c r="I26" t="inlineStr">
        <is>
          <t>(555) 431-1956</t>
        </is>
      </c>
      <c r="J26" t="inlineStr">
        <is>
          <t>jeremy.sullivan79@example.com</t>
        </is>
      </c>
      <c r="K26" t="inlineStr">
        <is>
          <t>English</t>
        </is>
      </c>
      <c r="L26" t="inlineStr">
        <is>
          <t>PY03</t>
        </is>
      </c>
      <c r="M26" t="inlineStr">
        <is>
          <t>PRV1126</t>
        </is>
      </c>
      <c r="N26" t="n">
        <v>65.2</v>
      </c>
      <c r="O26" t="n">
        <v>169.7</v>
      </c>
      <c r="Q26" s="26" t="n">
        <v>40086</v>
      </c>
    </row>
    <row r="27">
      <c r="A27" t="inlineStr">
        <is>
          <t>PT10208</t>
        </is>
      </c>
      <c r="B27" t="inlineStr">
        <is>
          <t>09507441</t>
        </is>
      </c>
      <c r="C27" t="inlineStr">
        <is>
          <t>Rivera</t>
        </is>
      </c>
      <c r="D27" t="inlineStr">
        <is>
          <t>Roy</t>
        </is>
      </c>
      <c r="E27" t="inlineStr">
        <is>
          <t>M</t>
        </is>
      </c>
      <c r="F27" s="26" t="n">
        <v>40681</v>
      </c>
      <c r="G27" t="inlineStr">
        <is>
          <t>Pine Hollow</t>
        </is>
      </c>
      <c r="H27" t="inlineStr">
        <is>
          <t>45640</t>
        </is>
      </c>
      <c r="I27" t="inlineStr">
        <is>
          <t>(555) 305-7867</t>
        </is>
      </c>
      <c r="K27" t="inlineStr">
        <is>
          <t>English</t>
        </is>
      </c>
      <c r="L27" t="inlineStr">
        <is>
          <t>PY03</t>
        </is>
      </c>
      <c r="M27" t="inlineStr">
        <is>
          <t>PRV1107</t>
        </is>
      </c>
      <c r="N27" t="n">
        <v>61.1</v>
      </c>
      <c r="O27" t="n">
        <v>102.8</v>
      </c>
      <c r="P27" t="inlineStr">
        <is>
          <t>SEIZURE</t>
        </is>
      </c>
      <c r="Q27" s="26" t="n">
        <v>42787</v>
      </c>
    </row>
    <row r="28">
      <c r="A28" t="inlineStr">
        <is>
          <t>PT10216</t>
        </is>
      </c>
      <c r="B28" t="inlineStr">
        <is>
          <t>05508401</t>
        </is>
      </c>
      <c r="C28" t="inlineStr">
        <is>
          <t>Mason</t>
        </is>
      </c>
      <c r="D28" t="inlineStr">
        <is>
          <t>Sophia</t>
        </is>
      </c>
      <c r="E28" t="inlineStr">
        <is>
          <t>F</t>
        </is>
      </c>
      <c r="F28" s="26" t="n">
        <v>45884</v>
      </c>
      <c r="G28" t="inlineStr">
        <is>
          <t>Bluestone</t>
        </is>
      </c>
      <c r="H28" t="inlineStr">
        <is>
          <t>45503</t>
        </is>
      </c>
      <c r="I28" t="inlineStr">
        <is>
          <t>(555) 291-2248</t>
        </is>
      </c>
      <c r="K28" t="inlineStr">
        <is>
          <t>English</t>
        </is>
      </c>
      <c r="L28" t="inlineStr">
        <is>
          <t>PY03</t>
        </is>
      </c>
      <c r="M28" t="inlineStr">
        <is>
          <t>PRV1104</t>
        </is>
      </c>
      <c r="N28" t="n">
        <v>20.8</v>
      </c>
      <c r="O28" t="n">
        <v>9.9</v>
      </c>
      <c r="Q28" s="26" t="n">
        <v>45324</v>
      </c>
    </row>
    <row r="29">
      <c r="A29" t="inlineStr">
        <is>
          <t>PT10224</t>
        </is>
      </c>
      <c r="B29" t="inlineStr">
        <is>
          <t>00890329</t>
        </is>
      </c>
      <c r="C29" t="inlineStr">
        <is>
          <t>Foster</t>
        </is>
      </c>
      <c r="D29" t="inlineStr">
        <is>
          <t>Alice</t>
        </is>
      </c>
      <c r="E29" t="inlineStr">
        <is>
          <t>F</t>
        </is>
      </c>
      <c r="F29" s="26" t="n">
        <v>32625</v>
      </c>
      <c r="G29" t="inlineStr">
        <is>
          <t>Bluestone</t>
        </is>
      </c>
      <c r="H29" t="inlineStr">
        <is>
          <t>45502</t>
        </is>
      </c>
      <c r="I29" t="inlineStr">
        <is>
          <t>(555) 702-9750</t>
        </is>
      </c>
      <c r="K29" t="inlineStr">
        <is>
          <t>English</t>
        </is>
      </c>
      <c r="L29" t="inlineStr">
        <is>
          <t>PY04</t>
        </is>
      </c>
      <c r="M29" t="inlineStr">
        <is>
          <t>PRV1140</t>
        </is>
      </c>
      <c r="N29" t="n">
        <v>68.59999999999999</v>
      </c>
      <c r="O29" t="n">
        <v>254.6</v>
      </c>
      <c r="P29" t="inlineStr">
        <is>
          <t>ASTHMA</t>
        </is>
      </c>
      <c r="Q29" s="26" t="n">
        <v>41307</v>
      </c>
    </row>
    <row r="30">
      <c r="A30" t="inlineStr">
        <is>
          <t>PT10232</t>
        </is>
      </c>
      <c r="B30" t="inlineStr">
        <is>
          <t>03521479</t>
        </is>
      </c>
      <c r="C30" t="inlineStr">
        <is>
          <t>Garza</t>
        </is>
      </c>
      <c r="D30" t="inlineStr">
        <is>
          <t>Jean</t>
        </is>
      </c>
      <c r="E30" t="inlineStr">
        <is>
          <t>F</t>
        </is>
      </c>
      <c r="F30" s="26" t="n">
        <v>44688</v>
      </c>
      <c r="G30" t="inlineStr">
        <is>
          <t>Bluestone</t>
        </is>
      </c>
      <c r="H30" t="inlineStr">
        <is>
          <t>45501</t>
        </is>
      </c>
      <c r="I30" t="inlineStr">
        <is>
          <t>(555) 384-4062</t>
        </is>
      </c>
      <c r="K30" t="inlineStr">
        <is>
          <t>English</t>
        </is>
      </c>
      <c r="L30" t="inlineStr">
        <is>
          <t>PY06</t>
        </is>
      </c>
      <c r="M30" t="inlineStr">
        <is>
          <t>PRV1107</t>
        </is>
      </c>
      <c r="N30" t="n">
        <v>26.5</v>
      </c>
      <c r="O30" t="n">
        <v>15.4</v>
      </c>
      <c r="Q30" s="26" t="n">
        <v>45375</v>
      </c>
    </row>
    <row r="31">
      <c r="A31" t="inlineStr">
        <is>
          <t>PT10240</t>
        </is>
      </c>
      <c r="B31" t="inlineStr">
        <is>
          <t>03515282</t>
        </is>
      </c>
      <c r="C31" t="inlineStr">
        <is>
          <t>Abdi</t>
        </is>
      </c>
      <c r="D31" t="inlineStr">
        <is>
          <t>Abigail</t>
        </is>
      </c>
      <c r="E31" t="inlineStr">
        <is>
          <t>F</t>
        </is>
      </c>
      <c r="F31" s="26" t="n">
        <v>42375</v>
      </c>
      <c r="G31" t="inlineStr">
        <is>
          <t>Bluestone</t>
        </is>
      </c>
      <c r="H31" t="inlineStr">
        <is>
          <t>45501</t>
        </is>
      </c>
      <c r="I31" t="inlineStr">
        <is>
          <t>(555) 964-0827</t>
        </is>
      </c>
      <c r="K31" t="inlineStr">
        <is>
          <t>English</t>
        </is>
      </c>
      <c r="L31" t="inlineStr">
        <is>
          <t>PY03</t>
        </is>
      </c>
      <c r="M31" t="inlineStr">
        <is>
          <t>PRV1105</t>
        </is>
      </c>
      <c r="N31" t="n">
        <v>44.6</v>
      </c>
      <c r="O31" t="n">
        <v>65.09999999999999</v>
      </c>
      <c r="Q31" s="26" t="n">
        <v>44055</v>
      </c>
    </row>
    <row r="32">
      <c r="A32" t="inlineStr">
        <is>
          <t>PT10248</t>
        </is>
      </c>
      <c r="B32" t="inlineStr">
        <is>
          <t>00057585</t>
        </is>
      </c>
      <c r="C32" t="inlineStr">
        <is>
          <t>Rivera</t>
        </is>
      </c>
      <c r="D32" t="inlineStr">
        <is>
          <t>Brittany</t>
        </is>
      </c>
      <c r="E32" t="inlineStr">
        <is>
          <t>F</t>
        </is>
      </c>
      <c r="F32" s="26" t="n">
        <v>41008</v>
      </c>
      <c r="G32" t="inlineStr">
        <is>
          <t>Ashby Falls</t>
        </is>
      </c>
      <c r="H32" t="inlineStr">
        <is>
          <t>45610</t>
        </is>
      </c>
      <c r="I32" t="inlineStr">
        <is>
          <t>(555) 251-7339</t>
        </is>
      </c>
      <c r="K32" t="inlineStr">
        <is>
          <t>English</t>
        </is>
      </c>
      <c r="L32" t="inlineStr">
        <is>
          <t>PY04</t>
        </is>
      </c>
      <c r="M32" t="inlineStr">
        <is>
          <t>PRV1108</t>
        </is>
      </c>
      <c r="N32" t="n">
        <v>62.6</v>
      </c>
      <c r="O32" t="n">
        <v>133</v>
      </c>
      <c r="Q32" s="26" t="n">
        <v>45641</v>
      </c>
    </row>
    <row r="33">
      <c r="A33" t="inlineStr">
        <is>
          <t>PT10256</t>
        </is>
      </c>
      <c r="B33" t="inlineStr">
        <is>
          <t>03057839</t>
        </is>
      </c>
      <c r="C33" t="inlineStr">
        <is>
          <t>Nguyen</t>
        </is>
      </c>
      <c r="D33" t="inlineStr">
        <is>
          <t>Brandon</t>
        </is>
      </c>
      <c r="E33" t="inlineStr">
        <is>
          <t>M</t>
        </is>
      </c>
      <c r="F33" s="26" t="n">
        <v>43285</v>
      </c>
      <c r="G33" t="inlineStr">
        <is>
          <t>Millbrook</t>
        </is>
      </c>
      <c r="H33" t="inlineStr">
        <is>
          <t>45530</t>
        </is>
      </c>
      <c r="I33" t="inlineStr">
        <is>
          <t>(555) 979-8588</t>
        </is>
      </c>
      <c r="K33" t="inlineStr">
        <is>
          <t>English</t>
        </is>
      </c>
      <c r="L33" t="inlineStr">
        <is>
          <t>PY03</t>
        </is>
      </c>
      <c r="M33" t="inlineStr">
        <is>
          <t>PRV1105</t>
        </is>
      </c>
      <c r="N33" t="n">
        <v>37.3</v>
      </c>
      <c r="O33" t="n">
        <v>39.6</v>
      </c>
      <c r="Q33" s="26" t="n">
        <v>45116</v>
      </c>
    </row>
    <row r="34">
      <c r="A34" t="inlineStr">
        <is>
          <t>PT10264</t>
        </is>
      </c>
      <c r="B34" t="inlineStr">
        <is>
          <t>06291850</t>
        </is>
      </c>
      <c r="C34" t="inlineStr">
        <is>
          <t>Robertson</t>
        </is>
      </c>
      <c r="D34" t="inlineStr">
        <is>
          <t>Diana</t>
        </is>
      </c>
      <c r="E34" t="inlineStr">
        <is>
          <t>F</t>
        </is>
      </c>
      <c r="F34" s="26" t="n">
        <v>35680</v>
      </c>
      <c r="G34" t="inlineStr">
        <is>
          <t>Riverbend</t>
        </is>
      </c>
      <c r="H34" t="inlineStr">
        <is>
          <t>45545</t>
        </is>
      </c>
      <c r="I34" t="inlineStr">
        <is>
          <t>(555) 343-4458</t>
        </is>
      </c>
      <c r="K34" t="inlineStr">
        <is>
          <t>English</t>
        </is>
      </c>
      <c r="L34" t="inlineStr">
        <is>
          <t>PY04</t>
        </is>
      </c>
      <c r="M34" t="inlineStr">
        <is>
          <t>PRV1137</t>
        </is>
      </c>
      <c r="N34" t="n">
        <v>65</v>
      </c>
      <c r="O34" t="n">
        <v>174.4</v>
      </c>
      <c r="P34" t="inlineStr">
        <is>
          <t>ASTHMA</t>
        </is>
      </c>
      <c r="Q34" s="26" t="n">
        <v>40819</v>
      </c>
    </row>
    <row r="35">
      <c r="A35" t="inlineStr">
        <is>
          <t>PT10272</t>
        </is>
      </c>
      <c r="B35" t="inlineStr">
        <is>
          <t>00443312</t>
        </is>
      </c>
      <c r="C35" t="inlineStr">
        <is>
          <t>Hoffman</t>
        </is>
      </c>
      <c r="D35" t="inlineStr">
        <is>
          <t>Judy</t>
        </is>
      </c>
      <c r="E35" t="inlineStr">
        <is>
          <t>F</t>
        </is>
      </c>
      <c r="F35" s="26" t="n">
        <v>18259</v>
      </c>
      <c r="G35" t="inlineStr">
        <is>
          <t>Bluestone</t>
        </is>
      </c>
      <c r="H35" t="inlineStr">
        <is>
          <t>45503</t>
        </is>
      </c>
      <c r="I35" t="inlineStr">
        <is>
          <t>(555) 795-8281</t>
        </is>
      </c>
      <c r="J35" t="inlineStr">
        <is>
          <t>judy.hoffman41@example.com</t>
        </is>
      </c>
      <c r="K35" t="inlineStr">
        <is>
          <t>Spanish</t>
        </is>
      </c>
      <c r="L35" t="inlineStr">
        <is>
          <t>PY04</t>
        </is>
      </c>
      <c r="N35" t="n">
        <v>64</v>
      </c>
      <c r="O35" t="n">
        <v>206</v>
      </c>
      <c r="P35" t="inlineStr">
        <is>
          <t>DM</t>
        </is>
      </c>
      <c r="Q35" s="26" t="n">
        <v>44219</v>
      </c>
    </row>
    <row r="36">
      <c r="A36" t="inlineStr">
        <is>
          <t>PT10280</t>
        </is>
      </c>
      <c r="B36" t="inlineStr">
        <is>
          <t>02758864</t>
        </is>
      </c>
      <c r="C36" t="inlineStr">
        <is>
          <t>Lee</t>
        </is>
      </c>
      <c r="D36" t="inlineStr">
        <is>
          <t>Joan</t>
        </is>
      </c>
      <c r="E36" t="inlineStr">
        <is>
          <t>F</t>
        </is>
      </c>
      <c r="F36" s="26" t="n">
        <v>23266</v>
      </c>
      <c r="G36" t="inlineStr">
        <is>
          <t>Bluestone</t>
        </is>
      </c>
      <c r="H36" t="inlineStr">
        <is>
          <t>45501</t>
        </is>
      </c>
      <c r="I36" t="inlineStr">
        <is>
          <t>(555) 731-2249</t>
        </is>
      </c>
      <c r="J36" t="inlineStr">
        <is>
          <t>joan.lee32@example.com</t>
        </is>
      </c>
      <c r="K36" t="inlineStr">
        <is>
          <t>English</t>
        </is>
      </c>
      <c r="L36" t="inlineStr">
        <is>
          <t>PY03</t>
        </is>
      </c>
      <c r="M36" t="inlineStr">
        <is>
          <t>PRV1126</t>
        </is>
      </c>
      <c r="N36" t="n">
        <v>61.3</v>
      </c>
      <c r="O36" t="n">
        <v>188.8</v>
      </c>
      <c r="P36" t="inlineStr">
        <is>
          <t>ETOH</t>
        </is>
      </c>
      <c r="Q36" s="26" t="n">
        <v>44552</v>
      </c>
    </row>
    <row r="37">
      <c r="A37" t="inlineStr">
        <is>
          <t>PT10288</t>
        </is>
      </c>
      <c r="B37" t="inlineStr">
        <is>
          <t>02406591</t>
        </is>
      </c>
      <c r="C37" t="inlineStr">
        <is>
          <t>Daniels</t>
        </is>
      </c>
      <c r="D37" t="inlineStr">
        <is>
          <t>Diane</t>
        </is>
      </c>
      <c r="E37" t="inlineStr">
        <is>
          <t>F</t>
        </is>
      </c>
      <c r="F37" s="26" t="n">
        <v>20393</v>
      </c>
      <c r="G37" t="inlineStr">
        <is>
          <t>Pine Hollow</t>
        </is>
      </c>
      <c r="H37" t="inlineStr">
        <is>
          <t>45640</t>
        </is>
      </c>
      <c r="I37" t="inlineStr">
        <is>
          <t>(555) 820-1143</t>
        </is>
      </c>
      <c r="K37" t="inlineStr">
        <is>
          <t>English</t>
        </is>
      </c>
      <c r="L37" t="inlineStr">
        <is>
          <t>PY01</t>
        </is>
      </c>
      <c r="M37" t="inlineStr">
        <is>
          <t>PRV1136</t>
        </is>
      </c>
      <c r="N37" t="n">
        <v>62.6</v>
      </c>
      <c r="O37" t="n">
        <v>141.3</v>
      </c>
      <c r="Q37" s="26" t="n">
        <v>41850</v>
      </c>
    </row>
    <row r="38">
      <c r="A38" t="inlineStr">
        <is>
          <t>PT10296</t>
        </is>
      </c>
      <c r="B38" t="inlineStr">
        <is>
          <t>06090552</t>
        </is>
      </c>
      <c r="C38" t="inlineStr">
        <is>
          <t>Andrews</t>
        </is>
      </c>
      <c r="D38" t="inlineStr">
        <is>
          <t>Madison</t>
        </is>
      </c>
      <c r="E38" t="inlineStr">
        <is>
          <t>F</t>
        </is>
      </c>
      <c r="F38" s="26" t="n">
        <v>24707</v>
      </c>
      <c r="G38" t="inlineStr">
        <is>
          <t>Oak Glen</t>
        </is>
      </c>
      <c r="H38" t="inlineStr">
        <is>
          <t>45730</t>
        </is>
      </c>
      <c r="I38" t="inlineStr">
        <is>
          <t>(555) 895-9192</t>
        </is>
      </c>
      <c r="K38" t="inlineStr">
        <is>
          <t>English</t>
        </is>
      </c>
      <c r="L38" t="inlineStr">
        <is>
          <t>PY04</t>
        </is>
      </c>
      <c r="M38" t="inlineStr">
        <is>
          <t>PRV1128</t>
        </is>
      </c>
      <c r="N38" t="n">
        <v>59.7</v>
      </c>
      <c r="O38" t="n">
        <v>93.90000000000001</v>
      </c>
      <c r="Q38" s="26" t="n">
        <v>43867</v>
      </c>
    </row>
    <row r="39">
      <c r="A39" t="inlineStr">
        <is>
          <t>PT10304</t>
        </is>
      </c>
      <c r="B39" t="inlineStr">
        <is>
          <t>00049359</t>
        </is>
      </c>
      <c r="C39" t="inlineStr">
        <is>
          <t>Richards</t>
        </is>
      </c>
      <c r="D39" t="inlineStr">
        <is>
          <t>Robert</t>
        </is>
      </c>
      <c r="E39" t="inlineStr">
        <is>
          <t>M</t>
        </is>
      </c>
      <c r="F39" s="26" t="n">
        <v>20031</v>
      </c>
      <c r="G39" t="inlineStr">
        <is>
          <t>Riverbend</t>
        </is>
      </c>
      <c r="H39" t="inlineStr">
        <is>
          <t>45545</t>
        </is>
      </c>
      <c r="I39" t="inlineStr">
        <is>
          <t>(555) 559-8984</t>
        </is>
      </c>
      <c r="J39" t="inlineStr">
        <is>
          <t>robert.richards78@example.com</t>
        </is>
      </c>
      <c r="K39" t="inlineStr">
        <is>
          <t>Spanish</t>
        </is>
      </c>
      <c r="L39" t="inlineStr">
        <is>
          <t>PY01</t>
        </is>
      </c>
      <c r="M39" t="inlineStr">
        <is>
          <t>PRV1127</t>
        </is>
      </c>
      <c r="N39" t="n">
        <v>69.8</v>
      </c>
      <c r="O39" t="n">
        <v>268.8</v>
      </c>
      <c r="P39" t="inlineStr">
        <is>
          <t>HTN</t>
        </is>
      </c>
      <c r="Q39" s="26" t="n">
        <v>45322</v>
      </c>
    </row>
    <row r="40">
      <c r="A40" t="inlineStr">
        <is>
          <t>PT10312</t>
        </is>
      </c>
      <c r="B40" t="inlineStr">
        <is>
          <t>06265337</t>
        </is>
      </c>
      <c r="C40" t="inlineStr">
        <is>
          <t>Davis</t>
        </is>
      </c>
      <c r="D40" t="inlineStr">
        <is>
          <t>Jean</t>
        </is>
      </c>
      <c r="E40" t="inlineStr">
        <is>
          <t>F</t>
        </is>
      </c>
      <c r="F40" s="26" t="n">
        <v>33249</v>
      </c>
      <c r="G40" t="inlineStr">
        <is>
          <t>Bluestone</t>
        </is>
      </c>
      <c r="H40" t="inlineStr">
        <is>
          <t>45502</t>
        </is>
      </c>
      <c r="I40" t="inlineStr">
        <is>
          <t>(555) 692-3169</t>
        </is>
      </c>
      <c r="K40" t="inlineStr">
        <is>
          <t>Spanish</t>
        </is>
      </c>
      <c r="L40" t="inlineStr">
        <is>
          <t>PY05</t>
        </is>
      </c>
      <c r="M40" t="inlineStr">
        <is>
          <t>PRV1129</t>
        </is>
      </c>
      <c r="N40" t="n">
        <v>67.40000000000001</v>
      </c>
      <c r="O40" t="n">
        <v>137.5</v>
      </c>
      <c r="Q40" s="26" t="n">
        <v>43703</v>
      </c>
    </row>
    <row r="41">
      <c r="A41" t="inlineStr">
        <is>
          <t>PT10320</t>
        </is>
      </c>
      <c r="B41" t="inlineStr">
        <is>
          <t>08733200</t>
        </is>
      </c>
      <c r="C41" t="inlineStr">
        <is>
          <t>Simmons</t>
        </is>
      </c>
      <c r="D41" t="inlineStr">
        <is>
          <t>Elizabeth</t>
        </is>
      </c>
      <c r="E41" t="inlineStr">
        <is>
          <t>F</t>
        </is>
      </c>
      <c r="F41" s="26" t="n">
        <v>15599</v>
      </c>
      <c r="G41" t="inlineStr">
        <is>
          <t>Pine Hollow</t>
        </is>
      </c>
      <c r="H41" t="inlineStr">
        <is>
          <t>45640</t>
        </is>
      </c>
      <c r="I41" t="inlineStr">
        <is>
          <t>(555) 988-4808</t>
        </is>
      </c>
      <c r="J41" t="inlineStr">
        <is>
          <t>elizabeth.simmons87@example.com</t>
        </is>
      </c>
      <c r="K41" t="inlineStr">
        <is>
          <t>English</t>
        </is>
      </c>
      <c r="L41" t="inlineStr">
        <is>
          <t>PY01</t>
        </is>
      </c>
      <c r="M41" t="inlineStr">
        <is>
          <t>PRV1125</t>
        </is>
      </c>
      <c r="N41" t="n">
        <v>68.40000000000001</v>
      </c>
      <c r="O41" t="n">
        <v>170.9</v>
      </c>
      <c r="P41" t="inlineStr">
        <is>
          <t>HTN;DM;PSYCH</t>
        </is>
      </c>
      <c r="Q41" s="26" t="n">
        <v>44375</v>
      </c>
    </row>
    <row r="42">
      <c r="A42" t="inlineStr">
        <is>
          <t>PT10328</t>
        </is>
      </c>
      <c r="B42" t="inlineStr">
        <is>
          <t>00893002</t>
        </is>
      </c>
      <c r="C42" t="inlineStr">
        <is>
          <t>Elliott</t>
        </is>
      </c>
      <c r="D42" t="inlineStr">
        <is>
          <t>Helen</t>
        </is>
      </c>
      <c r="E42" t="inlineStr">
        <is>
          <t>F</t>
        </is>
      </c>
      <c r="F42" s="26" t="n">
        <v>26727</v>
      </c>
      <c r="G42" t="inlineStr">
        <is>
          <t>Granite Springs</t>
        </is>
      </c>
      <c r="H42" t="inlineStr">
        <is>
          <t>45750</t>
        </is>
      </c>
      <c r="I42" t="inlineStr">
        <is>
          <t>(555) 834-3931</t>
        </is>
      </c>
      <c r="J42" t="inlineStr">
        <is>
          <t>helen.elliott87@example.com</t>
        </is>
      </c>
      <c r="K42" t="inlineStr">
        <is>
          <t>Spanish</t>
        </is>
      </c>
      <c r="L42" t="inlineStr">
        <is>
          <t>PY04</t>
        </is>
      </c>
      <c r="M42" t="inlineStr">
        <is>
          <t>PRV1135</t>
        </is>
      </c>
      <c r="N42" t="n">
        <v>62.8</v>
      </c>
      <c r="O42" t="n">
        <v>135.1</v>
      </c>
      <c r="P42" t="inlineStr">
        <is>
          <t>DM</t>
        </is>
      </c>
      <c r="Q42" s="26" t="n">
        <v>42916</v>
      </c>
    </row>
    <row r="43">
      <c r="A43" t="inlineStr">
        <is>
          <t>PT10336</t>
        </is>
      </c>
      <c r="B43" t="inlineStr">
        <is>
          <t>06955109</t>
        </is>
      </c>
      <c r="C43" t="inlineStr">
        <is>
          <t>Bell</t>
        </is>
      </c>
      <c r="D43" t="inlineStr">
        <is>
          <t>Amina</t>
        </is>
      </c>
      <c r="E43" t="inlineStr">
        <is>
          <t>F</t>
        </is>
      </c>
      <c r="F43" s="26" t="n">
        <v>15240</v>
      </c>
      <c r="G43" t="inlineStr">
        <is>
          <t>Bluestone</t>
        </is>
      </c>
      <c r="H43" t="inlineStr">
        <is>
          <t>45503</t>
        </is>
      </c>
      <c r="I43" t="inlineStr">
        <is>
          <t>(555) 395-3278</t>
        </is>
      </c>
      <c r="K43" t="inlineStr">
        <is>
          <t>English</t>
        </is>
      </c>
      <c r="L43" t="inlineStr">
        <is>
          <t>PY01</t>
        </is>
      </c>
      <c r="M43" t="inlineStr">
        <is>
          <t>PRV1138</t>
        </is>
      </c>
      <c r="N43" t="n">
        <v>67.90000000000001</v>
      </c>
      <c r="O43" t="n">
        <v>213.3</v>
      </c>
      <c r="P43" t="inlineStr">
        <is>
          <t>HTN</t>
        </is>
      </c>
      <c r="Q43" s="26" t="n">
        <v>45390</v>
      </c>
    </row>
    <row r="44">
      <c r="A44" t="inlineStr">
        <is>
          <t>PT10344</t>
        </is>
      </c>
      <c r="B44" t="inlineStr">
        <is>
          <t>02252690</t>
        </is>
      </c>
      <c r="C44" t="inlineStr">
        <is>
          <t>Knight</t>
        </is>
      </c>
      <c r="D44" t="inlineStr">
        <is>
          <t>Susan</t>
        </is>
      </c>
      <c r="E44" t="inlineStr">
        <is>
          <t>F</t>
        </is>
      </c>
      <c r="F44" s="26" t="n">
        <v>25456</v>
      </c>
      <c r="G44" t="inlineStr">
        <is>
          <t>Millbrook</t>
        </is>
      </c>
      <c r="H44" t="inlineStr">
        <is>
          <t>45530</t>
        </is>
      </c>
      <c r="I44" t="inlineStr">
        <is>
          <t>(555) 632-9323</t>
        </is>
      </c>
      <c r="K44" t="inlineStr">
        <is>
          <t>English</t>
        </is>
      </c>
      <c r="L44" t="inlineStr">
        <is>
          <t>PY04</t>
        </is>
      </c>
      <c r="M44" t="inlineStr">
        <is>
          <t>PRV1132</t>
        </is>
      </c>
      <c r="N44" t="n">
        <v>63.7</v>
      </c>
      <c r="O44" t="n">
        <v>160.9</v>
      </c>
      <c r="Q44" s="26" t="n">
        <v>42945</v>
      </c>
    </row>
    <row r="45">
      <c r="A45" t="inlineStr">
        <is>
          <t>PT10352</t>
        </is>
      </c>
      <c r="B45" t="inlineStr">
        <is>
          <t>02674886</t>
        </is>
      </c>
      <c r="C45" t="inlineStr">
        <is>
          <t>Reyes</t>
        </is>
      </c>
      <c r="D45" t="inlineStr">
        <is>
          <t>Brittany</t>
        </is>
      </c>
      <c r="E45" t="inlineStr">
        <is>
          <t>F</t>
        </is>
      </c>
      <c r="F45" s="26" t="n">
        <v>9591</v>
      </c>
      <c r="G45" t="inlineStr">
        <is>
          <t>Ashby Falls</t>
        </is>
      </c>
      <c r="H45" t="inlineStr">
        <is>
          <t>45610</t>
        </is>
      </c>
      <c r="I45" t="inlineStr">
        <is>
          <t>(555) 808-0043</t>
        </is>
      </c>
      <c r="K45" t="inlineStr">
        <is>
          <t>English</t>
        </is>
      </c>
      <c r="L45" t="inlineStr">
        <is>
          <t>PY01</t>
        </is>
      </c>
      <c r="M45" t="inlineStr">
        <is>
          <t>PRV1128</t>
        </is>
      </c>
      <c r="N45" t="n">
        <v>61.3</v>
      </c>
      <c r="O45" t="n">
        <v>159</v>
      </c>
      <c r="P45" t="inlineStr">
        <is>
          <t>DM;HF;COPD</t>
        </is>
      </c>
      <c r="Q45" s="26" t="n">
        <v>42935</v>
      </c>
    </row>
    <row r="46">
      <c r="A46" t="inlineStr">
        <is>
          <t>PT10360</t>
        </is>
      </c>
      <c r="B46" t="inlineStr">
        <is>
          <t>00917213</t>
        </is>
      </c>
      <c r="C46" t="inlineStr">
        <is>
          <t>Sandoval</t>
        </is>
      </c>
      <c r="D46" t="inlineStr">
        <is>
          <t>Henry</t>
        </is>
      </c>
      <c r="E46" t="inlineStr">
        <is>
          <t>M</t>
        </is>
      </c>
      <c r="F46" s="26" t="n">
        <v>20203</v>
      </c>
      <c r="G46" t="inlineStr">
        <is>
          <t>Bluestone</t>
        </is>
      </c>
      <c r="H46" t="inlineStr">
        <is>
          <t>45501</t>
        </is>
      </c>
      <c r="I46" t="inlineStr">
        <is>
          <t>(555) 631-6945</t>
        </is>
      </c>
      <c r="J46" t="inlineStr">
        <is>
          <t>henry.sandoval32@example.com</t>
        </is>
      </c>
      <c r="K46" t="inlineStr">
        <is>
          <t>English</t>
        </is>
      </c>
      <c r="L46" t="inlineStr">
        <is>
          <t>PY02</t>
        </is>
      </c>
      <c r="M46" t="inlineStr">
        <is>
          <t>PRV1131</t>
        </is>
      </c>
      <c r="N46" t="n">
        <v>67.7</v>
      </c>
      <c r="O46" t="n">
        <v>221.8</v>
      </c>
      <c r="Q46" s="26" t="n">
        <v>44123</v>
      </c>
    </row>
    <row r="47">
      <c r="A47" t="inlineStr">
        <is>
          <t>PT10368</t>
        </is>
      </c>
      <c r="B47" t="inlineStr">
        <is>
          <t>08339434</t>
        </is>
      </c>
      <c r="C47" t="inlineStr">
        <is>
          <t>Fisher</t>
        </is>
      </c>
      <c r="D47" t="inlineStr">
        <is>
          <t>Lisa</t>
        </is>
      </c>
      <c r="E47" t="inlineStr">
        <is>
          <t>F</t>
        </is>
      </c>
      <c r="F47" s="26" t="n">
        <v>20520</v>
      </c>
      <c r="G47" t="inlineStr">
        <is>
          <t>Lakeview Heights</t>
        </is>
      </c>
      <c r="H47" t="inlineStr">
        <is>
          <t>45510</t>
        </is>
      </c>
      <c r="I47" t="inlineStr">
        <is>
          <t>(555) 354-4869</t>
        </is>
      </c>
      <c r="J47" t="inlineStr">
        <is>
          <t>lisa.fisher37@example.com</t>
        </is>
      </c>
      <c r="K47" t="inlineStr">
        <is>
          <t>English</t>
        </is>
      </c>
      <c r="L47" t="inlineStr">
        <is>
          <t>PY02</t>
        </is>
      </c>
      <c r="M47" t="inlineStr">
        <is>
          <t>PRV1139</t>
        </is>
      </c>
      <c r="N47" t="n">
        <v>67.40000000000001</v>
      </c>
      <c r="O47" t="n">
        <v>206.9</v>
      </c>
      <c r="P47" t="inlineStr">
        <is>
          <t>HTN;SEIZURE</t>
        </is>
      </c>
      <c r="Q47" s="26" t="n">
        <v>45077</v>
      </c>
    </row>
    <row r="48">
      <c r="A48" t="inlineStr">
        <is>
          <t>PT10376</t>
        </is>
      </c>
      <c r="B48" t="inlineStr">
        <is>
          <t>08459414</t>
        </is>
      </c>
      <c r="C48" t="inlineStr">
        <is>
          <t>Murphy</t>
        </is>
      </c>
      <c r="D48" t="inlineStr">
        <is>
          <t>Robert</t>
        </is>
      </c>
      <c r="E48" t="inlineStr">
        <is>
          <t>M</t>
        </is>
      </c>
      <c r="F48" s="26" t="n">
        <v>12727</v>
      </c>
      <c r="G48" t="inlineStr">
        <is>
          <t>Bluestone</t>
        </is>
      </c>
      <c r="H48" t="inlineStr">
        <is>
          <t>45502</t>
        </is>
      </c>
      <c r="I48" t="inlineStr">
        <is>
          <t>(555) 586-3805</t>
        </is>
      </c>
      <c r="J48" t="inlineStr">
        <is>
          <t>robert.murphy95@example.com</t>
        </is>
      </c>
      <c r="K48" t="inlineStr">
        <is>
          <t>Spanish</t>
        </is>
      </c>
      <c r="L48" t="inlineStr">
        <is>
          <t>PY02</t>
        </is>
      </c>
      <c r="M48" t="inlineStr">
        <is>
          <t>PRV1131</t>
        </is>
      </c>
      <c r="N48" t="n">
        <v>63.3</v>
      </c>
      <c r="O48" t="n">
        <v>134.9</v>
      </c>
      <c r="P48" t="inlineStr">
        <is>
          <t>HTN</t>
        </is>
      </c>
      <c r="Q48" s="26" t="n">
        <v>44527</v>
      </c>
    </row>
    <row r="49">
      <c r="A49" t="inlineStr">
        <is>
          <t>PT10384</t>
        </is>
      </c>
      <c r="B49" t="inlineStr">
        <is>
          <t>04319243</t>
        </is>
      </c>
      <c r="C49" t="inlineStr">
        <is>
          <t>Bryant</t>
        </is>
      </c>
      <c r="D49" t="inlineStr">
        <is>
          <t>Janice</t>
        </is>
      </c>
      <c r="E49" t="inlineStr">
        <is>
          <t>F</t>
        </is>
      </c>
      <c r="F49" s="26" t="n">
        <v>17860</v>
      </c>
      <c r="G49" t="inlineStr">
        <is>
          <t>Granite Springs</t>
        </is>
      </c>
      <c r="H49" t="inlineStr">
        <is>
          <t>45750</t>
        </is>
      </c>
      <c r="I49" t="inlineStr">
        <is>
          <t>(555) 814-2657</t>
        </is>
      </c>
      <c r="J49" t="inlineStr">
        <is>
          <t>janice.bryant37@example.com</t>
        </is>
      </c>
      <c r="K49" t="inlineStr">
        <is>
          <t>English</t>
        </is>
      </c>
      <c r="L49" t="inlineStr">
        <is>
          <t>PY03</t>
        </is>
      </c>
      <c r="M49" t="inlineStr">
        <is>
          <t>PRV1127</t>
        </is>
      </c>
      <c r="N49" t="n">
        <v>64.40000000000001</v>
      </c>
      <c r="O49" t="n">
        <v>212.9</v>
      </c>
      <c r="P49" t="inlineStr">
        <is>
          <t>HTN</t>
        </is>
      </c>
      <c r="Q49" s="26" t="n">
        <v>40455</v>
      </c>
    </row>
    <row r="50">
      <c r="A50" t="inlineStr">
        <is>
          <t>PT10392</t>
        </is>
      </c>
      <c r="B50" t="inlineStr">
        <is>
          <t>01052980</t>
        </is>
      </c>
      <c r="C50" t="inlineStr">
        <is>
          <t>Snyder</t>
        </is>
      </c>
      <c r="D50" t="inlineStr">
        <is>
          <t>Diane</t>
        </is>
      </c>
      <c r="E50" t="inlineStr">
        <is>
          <t>F</t>
        </is>
      </c>
      <c r="F50" s="26" t="n">
        <v>37792</v>
      </c>
      <c r="G50" t="inlineStr">
        <is>
          <t>Bluestone</t>
        </is>
      </c>
      <c r="H50" t="inlineStr">
        <is>
          <t>45501</t>
        </is>
      </c>
      <c r="I50" t="inlineStr">
        <is>
          <t>(555) 230-2031</t>
        </is>
      </c>
      <c r="J50" t="inlineStr">
        <is>
          <t>diane.snyder81@example.com</t>
        </is>
      </c>
      <c r="K50" t="inlineStr">
        <is>
          <t>English</t>
        </is>
      </c>
      <c r="L50" t="inlineStr">
        <is>
          <t>PY03</t>
        </is>
      </c>
      <c r="M50" t="inlineStr">
        <is>
          <t>PRV1129</t>
        </is>
      </c>
      <c r="N50" t="n">
        <v>63.5</v>
      </c>
      <c r="O50" t="n">
        <v>170.9</v>
      </c>
      <c r="P50" t="inlineStr">
        <is>
          <t>PSYCH;ETOH</t>
        </is>
      </c>
      <c r="Q50" s="26" t="n">
        <v>42948</v>
      </c>
    </row>
    <row r="51">
      <c r="A51" t="inlineStr">
        <is>
          <t>PT10400</t>
        </is>
      </c>
      <c r="B51" t="inlineStr">
        <is>
          <t>04148795</t>
        </is>
      </c>
      <c r="C51" t="inlineStr">
        <is>
          <t>Perkins</t>
        </is>
      </c>
      <c r="D51" t="inlineStr">
        <is>
          <t>Olivia</t>
        </is>
      </c>
      <c r="E51" t="inlineStr">
        <is>
          <t>F</t>
        </is>
      </c>
      <c r="F51" s="26" t="n">
        <v>18844</v>
      </c>
      <c r="G51" t="inlineStr">
        <is>
          <t>Pine Hollow</t>
        </is>
      </c>
      <c r="H51" t="inlineStr">
        <is>
          <t>45640</t>
        </is>
      </c>
      <c r="I51" t="inlineStr">
        <is>
          <t>(555) 553-9698</t>
        </is>
      </c>
      <c r="J51" t="inlineStr">
        <is>
          <t>olivia.perkins99@example.com</t>
        </is>
      </c>
      <c r="K51" t="inlineStr">
        <is>
          <t>English</t>
        </is>
      </c>
      <c r="L51" t="inlineStr">
        <is>
          <t>PY02</t>
        </is>
      </c>
      <c r="M51" t="inlineStr">
        <is>
          <t>PRV1131</t>
        </is>
      </c>
      <c r="N51" t="n">
        <v>64.90000000000001</v>
      </c>
      <c r="O51" t="n">
        <v>183.2</v>
      </c>
      <c r="P51" t="inlineStr">
        <is>
          <t>CKD</t>
        </is>
      </c>
      <c r="Q51" s="26" t="n">
        <v>44862</v>
      </c>
    </row>
    <row r="52">
      <c r="A52" t="inlineStr">
        <is>
          <t>PT10408</t>
        </is>
      </c>
      <c r="B52" t="inlineStr">
        <is>
          <t>00406003</t>
        </is>
      </c>
      <c r="C52" t="inlineStr">
        <is>
          <t>Watson</t>
        </is>
      </c>
      <c r="D52" t="inlineStr">
        <is>
          <t>Virginia</t>
        </is>
      </c>
      <c r="E52" t="inlineStr">
        <is>
          <t>F</t>
        </is>
      </c>
      <c r="F52" s="26" t="n">
        <v>38037</v>
      </c>
      <c r="G52" t="inlineStr">
        <is>
          <t>Bluestone</t>
        </is>
      </c>
      <c r="H52" t="inlineStr">
        <is>
          <t>45501</t>
        </is>
      </c>
      <c r="I52" t="inlineStr">
        <is>
          <t>(555) 747-3858</t>
        </is>
      </c>
      <c r="K52" t="inlineStr">
        <is>
          <t>English</t>
        </is>
      </c>
      <c r="L52" t="inlineStr">
        <is>
          <t>PY03</t>
        </is>
      </c>
      <c r="M52" t="inlineStr">
        <is>
          <t>PRV1138</t>
        </is>
      </c>
      <c r="N52" t="n">
        <v>64.7</v>
      </c>
      <c r="O52" t="n">
        <v>218.1</v>
      </c>
      <c r="P52" t="inlineStr">
        <is>
          <t>PSYCH</t>
        </is>
      </c>
      <c r="Q52" s="26" t="n">
        <v>45077</v>
      </c>
    </row>
    <row r="53">
      <c r="A53" t="inlineStr">
        <is>
          <t>PT10416</t>
        </is>
      </c>
      <c r="B53" t="inlineStr">
        <is>
          <t>04372929</t>
        </is>
      </c>
      <c r="C53" t="inlineStr">
        <is>
          <t>Wagner</t>
        </is>
      </c>
      <c r="D53" t="inlineStr">
        <is>
          <t>Justin</t>
        </is>
      </c>
      <c r="E53" t="inlineStr">
        <is>
          <t>M</t>
        </is>
      </c>
      <c r="F53" s="26" t="n">
        <v>27337</v>
      </c>
      <c r="G53" t="inlineStr">
        <is>
          <t>Bluestone</t>
        </is>
      </c>
      <c r="H53" t="inlineStr">
        <is>
          <t>45501</t>
        </is>
      </c>
      <c r="I53" t="inlineStr">
        <is>
          <t>(555) 269-0189</t>
        </is>
      </c>
      <c r="J53" t="inlineStr">
        <is>
          <t>justin.wagner51@example.com</t>
        </is>
      </c>
      <c r="K53" t="inlineStr">
        <is>
          <t>English</t>
        </is>
      </c>
      <c r="L53" t="inlineStr">
        <is>
          <t>PY07</t>
        </is>
      </c>
      <c r="M53" t="inlineStr">
        <is>
          <t>PRV1135</t>
        </is>
      </c>
      <c r="N53" t="n">
        <v>66.5</v>
      </c>
      <c r="O53" t="n">
        <v>131.1</v>
      </c>
      <c r="Q53" s="26" t="n">
        <v>45056</v>
      </c>
    </row>
    <row r="54">
      <c r="A54" t="inlineStr">
        <is>
          <t>PT10424</t>
        </is>
      </c>
      <c r="B54" t="inlineStr">
        <is>
          <t>08163756</t>
        </is>
      </c>
      <c r="C54" t="inlineStr">
        <is>
          <t>Mendez</t>
        </is>
      </c>
      <c r="D54" t="inlineStr">
        <is>
          <t>Olivia</t>
        </is>
      </c>
      <c r="E54" t="inlineStr">
        <is>
          <t>F</t>
        </is>
      </c>
      <c r="F54" s="26" t="n">
        <v>36362</v>
      </c>
      <c r="G54" t="inlineStr">
        <is>
          <t>Lakeview Heights</t>
        </is>
      </c>
      <c r="H54" t="inlineStr">
        <is>
          <t>45510</t>
        </is>
      </c>
      <c r="I54" t="inlineStr">
        <is>
          <t>(555) 376-5508</t>
        </is>
      </c>
      <c r="J54" t="inlineStr">
        <is>
          <t>olivia.mendez16@example.com</t>
        </is>
      </c>
      <c r="K54" t="inlineStr">
        <is>
          <t>English</t>
        </is>
      </c>
      <c r="L54" t="inlineStr">
        <is>
          <t>PY07</t>
        </is>
      </c>
      <c r="M54" t="inlineStr">
        <is>
          <t>PRV1137</t>
        </is>
      </c>
      <c r="N54" t="n">
        <v>65.3</v>
      </c>
      <c r="O54" t="n">
        <v>245.3</v>
      </c>
      <c r="Q54" s="26" t="n">
        <v>44379</v>
      </c>
    </row>
    <row r="55">
      <c r="A55" t="inlineStr">
        <is>
          <t>PT10432</t>
        </is>
      </c>
      <c r="B55" t="inlineStr">
        <is>
          <t>09847034</t>
        </is>
      </c>
      <c r="C55" t="inlineStr">
        <is>
          <t>Webb</t>
        </is>
      </c>
      <c r="D55" t="inlineStr">
        <is>
          <t>Amanda</t>
        </is>
      </c>
      <c r="E55" t="inlineStr">
        <is>
          <t>F</t>
        </is>
      </c>
      <c r="F55" s="26" t="n">
        <v>17961</v>
      </c>
      <c r="G55" t="inlineStr">
        <is>
          <t>Lakeview Heights</t>
        </is>
      </c>
      <c r="H55" t="inlineStr">
        <is>
          <t>45510</t>
        </is>
      </c>
      <c r="I55" t="inlineStr">
        <is>
          <t>(555) 392-8949</t>
        </is>
      </c>
      <c r="J55" t="inlineStr">
        <is>
          <t>amanda.webb58@example.com</t>
        </is>
      </c>
      <c r="K55" t="inlineStr">
        <is>
          <t>English</t>
        </is>
      </c>
      <c r="L55" t="inlineStr">
        <is>
          <t>PY01</t>
        </is>
      </c>
      <c r="M55" t="inlineStr">
        <is>
          <t>PRV1128</t>
        </is>
      </c>
      <c r="N55" t="n">
        <v>63.2</v>
      </c>
      <c r="O55" t="n">
        <v>149.6</v>
      </c>
      <c r="P55" t="inlineStr">
        <is>
          <t>DM</t>
        </is>
      </c>
      <c r="Q55" s="26" t="n">
        <v>44418</v>
      </c>
    </row>
    <row r="56">
      <c r="A56" t="inlineStr">
        <is>
          <t>PT10440</t>
        </is>
      </c>
      <c r="B56" t="inlineStr">
        <is>
          <t>01789043</t>
        </is>
      </c>
      <c r="C56" t="inlineStr">
        <is>
          <t>Lee</t>
        </is>
      </c>
      <c r="D56" t="inlineStr">
        <is>
          <t>Michelle</t>
        </is>
      </c>
      <c r="E56" t="inlineStr">
        <is>
          <t>F</t>
        </is>
      </c>
      <c r="F56" s="26" t="n">
        <v>17900</v>
      </c>
      <c r="G56" t="inlineStr">
        <is>
          <t>Bluestone</t>
        </is>
      </c>
      <c r="H56" t="inlineStr">
        <is>
          <t>45502</t>
        </is>
      </c>
      <c r="I56" t="inlineStr">
        <is>
          <t>(555) 875-6581</t>
        </is>
      </c>
      <c r="K56" t="inlineStr">
        <is>
          <t>English</t>
        </is>
      </c>
      <c r="L56" t="inlineStr">
        <is>
          <t>PY01</t>
        </is>
      </c>
      <c r="M56" t="inlineStr">
        <is>
          <t>PRV1130</t>
        </is>
      </c>
      <c r="N56" t="n">
        <v>60.1</v>
      </c>
      <c r="O56" t="n">
        <v>152.3</v>
      </c>
      <c r="P56" t="inlineStr">
        <is>
          <t>HF;AFIB</t>
        </is>
      </c>
      <c r="Q56" s="26" t="n">
        <v>42143</v>
      </c>
    </row>
    <row r="57">
      <c r="A57" t="inlineStr">
        <is>
          <t>PT10448</t>
        </is>
      </c>
      <c r="B57" t="inlineStr">
        <is>
          <t>03678052</t>
        </is>
      </c>
      <c r="C57" t="inlineStr">
        <is>
          <t>Haddad</t>
        </is>
      </c>
      <c r="D57" t="inlineStr">
        <is>
          <t>Victoria</t>
        </is>
      </c>
      <c r="E57" t="inlineStr">
        <is>
          <t>F</t>
        </is>
      </c>
      <c r="F57" s="26" t="n">
        <v>27450</v>
      </c>
      <c r="G57" t="inlineStr">
        <is>
          <t>Ashby Falls</t>
        </is>
      </c>
      <c r="H57" t="inlineStr">
        <is>
          <t>45610</t>
        </is>
      </c>
      <c r="I57" t="inlineStr">
        <is>
          <t>(555) 941-2876</t>
        </is>
      </c>
      <c r="K57" t="inlineStr">
        <is>
          <t>English</t>
        </is>
      </c>
      <c r="L57" t="inlineStr">
        <is>
          <t>PY06</t>
        </is>
      </c>
      <c r="M57" t="inlineStr">
        <is>
          <t>PRV1125</t>
        </is>
      </c>
      <c r="N57" t="n">
        <v>67.59999999999999</v>
      </c>
      <c r="O57" t="n">
        <v>232.6</v>
      </c>
      <c r="Q57" s="26" t="n">
        <v>41176</v>
      </c>
    </row>
    <row r="58">
      <c r="A58" t="inlineStr">
        <is>
          <t>PT10456</t>
        </is>
      </c>
      <c r="B58" t="inlineStr">
        <is>
          <t>04702454</t>
        </is>
      </c>
      <c r="C58" t="inlineStr">
        <is>
          <t>Knight</t>
        </is>
      </c>
      <c r="D58" t="inlineStr">
        <is>
          <t>Amina</t>
        </is>
      </c>
      <c r="E58" t="inlineStr">
        <is>
          <t>F</t>
        </is>
      </c>
      <c r="F58" s="26" t="n">
        <v>29240</v>
      </c>
      <c r="G58" t="inlineStr">
        <is>
          <t>Ashby Falls</t>
        </is>
      </c>
      <c r="H58" t="inlineStr">
        <is>
          <t>45610</t>
        </is>
      </c>
      <c r="I58" t="inlineStr">
        <is>
          <t>(555) 500-8604</t>
        </is>
      </c>
      <c r="J58" t="inlineStr">
        <is>
          <t>amina.knight8@example.com</t>
        </is>
      </c>
      <c r="K58" t="inlineStr">
        <is>
          <t>English</t>
        </is>
      </c>
      <c r="L58" t="inlineStr">
        <is>
          <t>PY03</t>
        </is>
      </c>
      <c r="M58" t="inlineStr">
        <is>
          <t>PRV1132</t>
        </is>
      </c>
      <c r="N58" t="n">
        <v>64.3</v>
      </c>
      <c r="O58" t="n">
        <v>181.9</v>
      </c>
      <c r="Q58" s="26" t="n">
        <v>44127</v>
      </c>
    </row>
    <row r="59">
      <c r="A59" t="inlineStr">
        <is>
          <t>PT10464</t>
        </is>
      </c>
      <c r="B59" t="inlineStr">
        <is>
          <t>03319123</t>
        </is>
      </c>
      <c r="C59" t="inlineStr">
        <is>
          <t>Santos</t>
        </is>
      </c>
      <c r="D59" t="inlineStr">
        <is>
          <t>Alexander</t>
        </is>
      </c>
      <c r="E59" t="inlineStr">
        <is>
          <t>M</t>
        </is>
      </c>
      <c r="F59" s="26" t="n">
        <v>28953</v>
      </c>
      <c r="G59" t="inlineStr">
        <is>
          <t>Lakeview Heights</t>
        </is>
      </c>
      <c r="H59" t="inlineStr">
        <is>
          <t>45510</t>
        </is>
      </c>
      <c r="I59" t="inlineStr">
        <is>
          <t>(555) 792-1910</t>
        </is>
      </c>
      <c r="J59" t="inlineStr">
        <is>
          <t>alexander.santos1@example.com</t>
        </is>
      </c>
      <c r="K59" t="inlineStr">
        <is>
          <t>English</t>
        </is>
      </c>
      <c r="L59" t="inlineStr">
        <is>
          <t>PY05</t>
        </is>
      </c>
      <c r="M59" t="inlineStr">
        <is>
          <t>PRV1125</t>
        </is>
      </c>
      <c r="N59" t="n">
        <v>71.2</v>
      </c>
      <c r="O59" t="n">
        <v>248.6</v>
      </c>
      <c r="Q59" s="26" t="n">
        <v>43314</v>
      </c>
    </row>
    <row r="60">
      <c r="A60" t="inlineStr">
        <is>
          <t>PT10472</t>
        </is>
      </c>
      <c r="B60" t="inlineStr">
        <is>
          <t>04147047</t>
        </is>
      </c>
      <c r="C60" t="inlineStr">
        <is>
          <t>Rodriguez</t>
        </is>
      </c>
      <c r="D60" t="inlineStr">
        <is>
          <t>Matthew</t>
        </is>
      </c>
      <c r="E60" t="inlineStr">
        <is>
          <t>M</t>
        </is>
      </c>
      <c r="F60" s="26" t="n">
        <v>20225</v>
      </c>
      <c r="G60" t="inlineStr">
        <is>
          <t>Millbrook</t>
        </is>
      </c>
      <c r="H60" t="inlineStr">
        <is>
          <t>45530</t>
        </is>
      </c>
      <c r="I60" t="inlineStr">
        <is>
          <t>(555) 490-4461</t>
        </is>
      </c>
      <c r="K60" t="inlineStr">
        <is>
          <t>English</t>
        </is>
      </c>
      <c r="L60" t="inlineStr">
        <is>
          <t>PY01</t>
        </is>
      </c>
      <c r="M60" t="inlineStr">
        <is>
          <t>PRV1136</t>
        </is>
      </c>
      <c r="N60" t="n">
        <v>66.40000000000001</v>
      </c>
      <c r="O60" t="n">
        <v>126.1</v>
      </c>
      <c r="P60" t="inlineStr">
        <is>
          <t>HTN;HF;COPD</t>
        </is>
      </c>
      <c r="Q60" s="26" t="n">
        <v>44465</v>
      </c>
    </row>
    <row r="61">
      <c r="A61" t="inlineStr">
        <is>
          <t>PT10480</t>
        </is>
      </c>
      <c r="B61" t="inlineStr">
        <is>
          <t>05545233</t>
        </is>
      </c>
      <c r="C61" t="inlineStr">
        <is>
          <t>James</t>
        </is>
      </c>
      <c r="D61" t="inlineStr">
        <is>
          <t>Albert</t>
        </is>
      </c>
      <c r="E61" t="inlineStr">
        <is>
          <t>M</t>
        </is>
      </c>
      <c r="F61" s="26" t="n">
        <v>45134</v>
      </c>
      <c r="G61" t="inlineStr">
        <is>
          <t>Ashby Falls</t>
        </is>
      </c>
      <c r="H61" t="inlineStr">
        <is>
          <t>45610</t>
        </is>
      </c>
      <c r="I61" t="inlineStr">
        <is>
          <t>(555) 922-6790</t>
        </is>
      </c>
      <c r="K61" t="inlineStr">
        <is>
          <t>English</t>
        </is>
      </c>
      <c r="L61" t="inlineStr">
        <is>
          <t>PY03</t>
        </is>
      </c>
      <c r="M61" t="inlineStr">
        <is>
          <t>PRV1106</t>
        </is>
      </c>
      <c r="N61" t="n">
        <v>25.8</v>
      </c>
      <c r="O61" t="n">
        <v>17.6</v>
      </c>
      <c r="Q61" s="26" t="n">
        <v>45289</v>
      </c>
    </row>
    <row r="62">
      <c r="A62" t="inlineStr">
        <is>
          <t>PT10488</t>
        </is>
      </c>
      <c r="B62" t="inlineStr">
        <is>
          <t>06604124</t>
        </is>
      </c>
      <c r="C62" t="inlineStr">
        <is>
          <t>Burns</t>
        </is>
      </c>
      <c r="D62" t="inlineStr">
        <is>
          <t>Walter</t>
        </is>
      </c>
      <c r="E62" t="inlineStr">
        <is>
          <t>M</t>
        </is>
      </c>
      <c r="F62" s="26" t="n">
        <v>20321</v>
      </c>
      <c r="G62" t="inlineStr">
        <is>
          <t>Bluestone</t>
        </is>
      </c>
      <c r="H62" t="inlineStr">
        <is>
          <t>45503</t>
        </is>
      </c>
      <c r="I62" t="inlineStr">
        <is>
          <t>(555) 635-6025</t>
        </is>
      </c>
      <c r="J62" t="inlineStr">
        <is>
          <t>walter.burns96@example.com</t>
        </is>
      </c>
      <c r="K62" t="inlineStr">
        <is>
          <t>English</t>
        </is>
      </c>
      <c r="L62" t="inlineStr">
        <is>
          <t>PY01</t>
        </is>
      </c>
      <c r="M62" t="inlineStr">
        <is>
          <t>PRV1132</t>
        </is>
      </c>
      <c r="N62" t="n">
        <v>71.09999999999999</v>
      </c>
      <c r="O62" t="n">
        <v>225.9</v>
      </c>
      <c r="P62" t="inlineStr">
        <is>
          <t>ASTHMA</t>
        </is>
      </c>
      <c r="Q62" s="26" t="n">
        <v>40274</v>
      </c>
    </row>
    <row r="63">
      <c r="A63" t="inlineStr">
        <is>
          <t>PT10496</t>
        </is>
      </c>
      <c r="B63" t="inlineStr">
        <is>
          <t>02903331</t>
        </is>
      </c>
      <c r="C63" t="inlineStr">
        <is>
          <t>Cox</t>
        </is>
      </c>
      <c r="D63" t="inlineStr">
        <is>
          <t>Ava</t>
        </is>
      </c>
      <c r="E63" t="inlineStr">
        <is>
          <t>F</t>
        </is>
      </c>
      <c r="F63" s="26" t="n">
        <v>18806</v>
      </c>
      <c r="G63" t="inlineStr">
        <is>
          <t>Lakeview Heights</t>
        </is>
      </c>
      <c r="H63" t="inlineStr">
        <is>
          <t>45510</t>
        </is>
      </c>
      <c r="I63" t="inlineStr">
        <is>
          <t>(555) 897-5434</t>
        </is>
      </c>
      <c r="J63" t="inlineStr">
        <is>
          <t>ava.cox78@example.com</t>
        </is>
      </c>
      <c r="K63" t="inlineStr">
        <is>
          <t>English</t>
        </is>
      </c>
      <c r="L63" t="inlineStr">
        <is>
          <t>PY02</t>
        </is>
      </c>
      <c r="M63" t="inlineStr">
        <is>
          <t>PRV1138</t>
        </is>
      </c>
      <c r="N63" t="n">
        <v>65.3</v>
      </c>
      <c r="O63" t="n">
        <v>198.5</v>
      </c>
      <c r="P63" t="inlineStr">
        <is>
          <t>HTN;CANCER</t>
        </is>
      </c>
      <c r="Q63" s="26" t="n">
        <v>45217</v>
      </c>
    </row>
    <row r="64">
      <c r="A64" t="inlineStr">
        <is>
          <t>PT10504</t>
        </is>
      </c>
      <c r="B64" t="inlineStr">
        <is>
          <t>05207598</t>
        </is>
      </c>
      <c r="C64" t="inlineStr">
        <is>
          <t>Ford</t>
        </is>
      </c>
      <c r="D64" t="inlineStr">
        <is>
          <t>Luis</t>
        </is>
      </c>
      <c r="E64" t="inlineStr">
        <is>
          <t>M</t>
        </is>
      </c>
      <c r="F64" s="26" t="n">
        <v>19169</v>
      </c>
      <c r="G64" t="inlineStr">
        <is>
          <t>Ashby Falls</t>
        </is>
      </c>
      <c r="H64" t="inlineStr">
        <is>
          <t>45610</t>
        </is>
      </c>
      <c r="I64" t="inlineStr">
        <is>
          <t>(555) 791-9134</t>
        </is>
      </c>
      <c r="J64" t="inlineStr">
        <is>
          <t>luis.ford14@example.com</t>
        </is>
      </c>
      <c r="K64" t="inlineStr">
        <is>
          <t>English</t>
        </is>
      </c>
      <c r="L64" t="inlineStr">
        <is>
          <t>PY01</t>
        </is>
      </c>
      <c r="M64" t="inlineStr">
        <is>
          <t>PRV1139</t>
        </is>
      </c>
      <c r="N64" t="n">
        <v>65.09999999999999</v>
      </c>
      <c r="O64" t="n">
        <v>169.3</v>
      </c>
      <c r="P64" t="inlineStr">
        <is>
          <t>HTN</t>
        </is>
      </c>
      <c r="Q64" s="26" t="n">
        <v>39922</v>
      </c>
    </row>
    <row r="65">
      <c r="A65" t="inlineStr">
        <is>
          <t>PT10512</t>
        </is>
      </c>
      <c r="B65" t="inlineStr">
        <is>
          <t>06543348</t>
        </is>
      </c>
      <c r="C65" t="inlineStr">
        <is>
          <t>Ramos</t>
        </is>
      </c>
      <c r="D65" t="inlineStr">
        <is>
          <t>Betty</t>
        </is>
      </c>
      <c r="E65" t="inlineStr">
        <is>
          <t>F</t>
        </is>
      </c>
      <c r="F65" s="26" t="n">
        <v>25614</v>
      </c>
      <c r="G65" t="inlineStr">
        <is>
          <t>Ashby Falls</t>
        </is>
      </c>
      <c r="H65" t="inlineStr">
        <is>
          <t>45610</t>
        </is>
      </c>
      <c r="I65" t="inlineStr">
        <is>
          <t>(555) 669-0583</t>
        </is>
      </c>
      <c r="J65" t="inlineStr">
        <is>
          <t>betty.ramos8@example.com</t>
        </is>
      </c>
      <c r="K65" t="inlineStr">
        <is>
          <t>English</t>
        </is>
      </c>
      <c r="L65" t="inlineStr">
        <is>
          <t>PY03</t>
        </is>
      </c>
      <c r="N65" t="n">
        <v>62.9</v>
      </c>
      <c r="O65" t="n">
        <v>249.4</v>
      </c>
      <c r="P65" t="inlineStr">
        <is>
          <t>HTN</t>
        </is>
      </c>
      <c r="Q65" s="26" t="n">
        <v>44684</v>
      </c>
    </row>
    <row r="66">
      <c r="A66" t="inlineStr">
        <is>
          <t>PT10520</t>
        </is>
      </c>
      <c r="B66" t="inlineStr">
        <is>
          <t>08874861</t>
        </is>
      </c>
      <c r="C66" t="inlineStr">
        <is>
          <t>Bell</t>
        </is>
      </c>
      <c r="D66" t="inlineStr">
        <is>
          <t>Logan</t>
        </is>
      </c>
      <c r="E66" t="inlineStr">
        <is>
          <t>M</t>
        </is>
      </c>
      <c r="F66" s="26" t="n">
        <v>19165</v>
      </c>
      <c r="G66" t="inlineStr">
        <is>
          <t>Lakeview Heights</t>
        </is>
      </c>
      <c r="H66" t="inlineStr">
        <is>
          <t>45510</t>
        </is>
      </c>
      <c r="I66" t="inlineStr">
        <is>
          <t>(555) 455-1698</t>
        </is>
      </c>
      <c r="J66" t="inlineStr">
        <is>
          <t>logan.bell97@example.com</t>
        </is>
      </c>
      <c r="K66" t="inlineStr">
        <is>
          <t>English</t>
        </is>
      </c>
      <c r="L66" t="inlineStr">
        <is>
          <t>PY02</t>
        </is>
      </c>
      <c r="M66" t="inlineStr">
        <is>
          <t>PRV1130</t>
        </is>
      </c>
      <c r="N66" t="n">
        <v>67.2</v>
      </c>
      <c r="O66" t="n">
        <v>157.9</v>
      </c>
      <c r="P66" t="inlineStr">
        <is>
          <t>HTN</t>
        </is>
      </c>
      <c r="Q66" s="26" t="n">
        <v>42303</v>
      </c>
    </row>
    <row r="67">
      <c r="A67" t="inlineStr">
        <is>
          <t>PT10528</t>
        </is>
      </c>
      <c r="B67" t="inlineStr">
        <is>
          <t>06828964</t>
        </is>
      </c>
      <c r="C67" t="inlineStr">
        <is>
          <t>Murphy</t>
        </is>
      </c>
      <c r="D67" t="inlineStr">
        <is>
          <t>Susan</t>
        </is>
      </c>
      <c r="E67" t="inlineStr">
        <is>
          <t>F</t>
        </is>
      </c>
      <c r="F67" s="26" t="n">
        <v>12636</v>
      </c>
      <c r="G67" t="inlineStr">
        <is>
          <t>Bluestone</t>
        </is>
      </c>
      <c r="H67" t="inlineStr">
        <is>
          <t>45503</t>
        </is>
      </c>
      <c r="I67" t="inlineStr">
        <is>
          <t>(555) 267-4188</t>
        </is>
      </c>
      <c r="K67" t="inlineStr">
        <is>
          <t>English</t>
        </is>
      </c>
      <c r="L67" t="inlineStr">
        <is>
          <t>PY01</t>
        </is>
      </c>
      <c r="M67" t="inlineStr">
        <is>
          <t>PRV1137</t>
        </is>
      </c>
      <c r="N67" t="n">
        <v>61.5</v>
      </c>
      <c r="O67" t="n">
        <v>166.9</v>
      </c>
      <c r="P67" t="inlineStr">
        <is>
          <t>HTN</t>
        </is>
      </c>
      <c r="Q67" s="26" t="n">
        <v>45790</v>
      </c>
    </row>
    <row r="68">
      <c r="A68" t="inlineStr">
        <is>
          <t>PT10536</t>
        </is>
      </c>
      <c r="B68" t="inlineStr">
        <is>
          <t>04618432</t>
        </is>
      </c>
      <c r="C68" t="inlineStr">
        <is>
          <t>Wilson</t>
        </is>
      </c>
      <c r="D68" t="inlineStr">
        <is>
          <t>Billy</t>
        </is>
      </c>
      <c r="E68" t="inlineStr">
        <is>
          <t>M</t>
        </is>
      </c>
      <c r="F68" s="26" t="n">
        <v>26456</v>
      </c>
      <c r="G68" t="inlineStr">
        <is>
          <t>Pine Hollow</t>
        </is>
      </c>
      <c r="H68" t="inlineStr">
        <is>
          <t>45640</t>
        </is>
      </c>
      <c r="I68" t="inlineStr">
        <is>
          <t>(555) 838-7549</t>
        </is>
      </c>
      <c r="K68" t="inlineStr">
        <is>
          <t>English</t>
        </is>
      </c>
      <c r="L68" t="inlineStr">
        <is>
          <t>PY04</t>
        </is>
      </c>
      <c r="M68" t="inlineStr">
        <is>
          <t>PRV1135</t>
        </is>
      </c>
      <c r="N68" t="n">
        <v>65.5</v>
      </c>
      <c r="O68" t="n">
        <v>147.5</v>
      </c>
      <c r="P68" t="inlineStr">
        <is>
          <t>PSYCH;OA</t>
        </is>
      </c>
      <c r="Q68" s="26" t="n">
        <v>44678</v>
      </c>
    </row>
    <row r="69">
      <c r="A69" t="inlineStr">
        <is>
          <t>PT10544</t>
        </is>
      </c>
      <c r="B69" t="inlineStr">
        <is>
          <t>03505418</t>
        </is>
      </c>
      <c r="C69" t="inlineStr">
        <is>
          <t>Lawrence</t>
        </is>
      </c>
      <c r="D69" t="inlineStr">
        <is>
          <t>Janet</t>
        </is>
      </c>
      <c r="E69" t="inlineStr">
        <is>
          <t>F</t>
        </is>
      </c>
      <c r="F69" s="26" t="n">
        <v>34789</v>
      </c>
      <c r="G69" t="inlineStr">
        <is>
          <t>Ashby Falls</t>
        </is>
      </c>
      <c r="H69" t="inlineStr">
        <is>
          <t>45610</t>
        </is>
      </c>
      <c r="I69" t="inlineStr">
        <is>
          <t>(555) 406-4652</t>
        </is>
      </c>
      <c r="J69" t="inlineStr">
        <is>
          <t>janet.lawrence26@example.com</t>
        </is>
      </c>
      <c r="K69" t="inlineStr">
        <is>
          <t>Arabic</t>
        </is>
      </c>
      <c r="L69" t="inlineStr">
        <is>
          <t>PY07</t>
        </is>
      </c>
      <c r="M69" t="inlineStr">
        <is>
          <t>PRV1138</t>
        </is>
      </c>
      <c r="N69" t="n">
        <v>64.90000000000001</v>
      </c>
      <c r="O69" t="n">
        <v>108.7</v>
      </c>
      <c r="Q69" s="26" t="n">
        <v>45363</v>
      </c>
    </row>
    <row r="70">
      <c r="A70" t="inlineStr">
        <is>
          <t>PT10552</t>
        </is>
      </c>
      <c r="B70" t="inlineStr">
        <is>
          <t>02126768</t>
        </is>
      </c>
      <c r="C70" t="inlineStr">
        <is>
          <t>Nichols</t>
        </is>
      </c>
      <c r="D70" t="inlineStr">
        <is>
          <t>Evelyn</t>
        </is>
      </c>
      <c r="E70" t="inlineStr">
        <is>
          <t>F</t>
        </is>
      </c>
      <c r="F70" s="26" t="n">
        <v>20747</v>
      </c>
      <c r="G70" t="inlineStr">
        <is>
          <t>Bluestone</t>
        </is>
      </c>
      <c r="H70" t="inlineStr">
        <is>
          <t>45501</t>
        </is>
      </c>
      <c r="I70" t="inlineStr">
        <is>
          <t>(555) 523-2304</t>
        </is>
      </c>
      <c r="K70" t="inlineStr">
        <is>
          <t>English</t>
        </is>
      </c>
      <c r="L70" t="inlineStr">
        <is>
          <t>PY01</t>
        </is>
      </c>
      <c r="M70" t="inlineStr">
        <is>
          <t>PRV1131</t>
        </is>
      </c>
      <c r="N70" t="n">
        <v>62.7</v>
      </c>
      <c r="O70" t="n">
        <v>167.6</v>
      </c>
      <c r="P70" t="inlineStr">
        <is>
          <t>AFIB</t>
        </is>
      </c>
      <c r="Q70" s="26" t="n">
        <v>40067</v>
      </c>
    </row>
    <row r="71">
      <c r="A71" t="inlineStr">
        <is>
          <t>PT10560</t>
        </is>
      </c>
      <c r="B71" t="inlineStr">
        <is>
          <t>01913022</t>
        </is>
      </c>
      <c r="C71" t="inlineStr">
        <is>
          <t>Hayes</t>
        </is>
      </c>
      <c r="D71" t="inlineStr">
        <is>
          <t>Catherine</t>
        </is>
      </c>
      <c r="E71" t="inlineStr">
        <is>
          <t>F</t>
        </is>
      </c>
      <c r="F71" s="26" t="n">
        <v>22608</v>
      </c>
      <c r="G71" t="inlineStr">
        <is>
          <t>Millbrook</t>
        </is>
      </c>
      <c r="H71" t="inlineStr">
        <is>
          <t>45530</t>
        </is>
      </c>
      <c r="I71" t="inlineStr">
        <is>
          <t>(555) 333-6242</t>
        </is>
      </c>
      <c r="K71" t="inlineStr">
        <is>
          <t>English</t>
        </is>
      </c>
      <c r="L71" t="inlineStr">
        <is>
          <t>PY05</t>
        </is>
      </c>
      <c r="M71" t="inlineStr">
        <is>
          <t>PRV1129</t>
        </is>
      </c>
      <c r="N71" t="n">
        <v>63.5</v>
      </c>
      <c r="O71" t="n">
        <v>184.9</v>
      </c>
      <c r="P71" t="inlineStr">
        <is>
          <t>DM;ASTHMA;OA</t>
        </is>
      </c>
      <c r="Q71" s="26" t="n">
        <v>41033</v>
      </c>
    </row>
    <row r="72">
      <c r="A72" t="inlineStr">
        <is>
          <t>PT10568</t>
        </is>
      </c>
      <c r="B72" t="inlineStr">
        <is>
          <t>00903733</t>
        </is>
      </c>
      <c r="C72" t="inlineStr">
        <is>
          <t>Shaw</t>
        </is>
      </c>
      <c r="D72" t="inlineStr">
        <is>
          <t>Michael</t>
        </is>
      </c>
      <c r="E72" t="inlineStr">
        <is>
          <t>M</t>
        </is>
      </c>
      <c r="F72" s="26" t="n">
        <v>19491</v>
      </c>
      <c r="G72" t="inlineStr">
        <is>
          <t>Ashby Falls</t>
        </is>
      </c>
      <c r="H72" t="inlineStr">
        <is>
          <t>45610</t>
        </is>
      </c>
      <c r="I72" t="inlineStr">
        <is>
          <t>(555) 373-4984</t>
        </is>
      </c>
      <c r="K72" t="inlineStr">
        <is>
          <t>English</t>
        </is>
      </c>
      <c r="L72" t="inlineStr">
        <is>
          <t>PY02</t>
        </is>
      </c>
      <c r="M72" t="inlineStr">
        <is>
          <t>PRV1129</t>
        </is>
      </c>
      <c r="N72" t="n">
        <v>76.90000000000001</v>
      </c>
      <c r="O72" t="n">
        <v>243.6</v>
      </c>
      <c r="P72" t="inlineStr">
        <is>
          <t>HTN;AFIB</t>
        </is>
      </c>
      <c r="Q72" s="26" t="n">
        <v>41773</v>
      </c>
    </row>
    <row r="73">
      <c r="A73" t="inlineStr">
        <is>
          <t>PT10576</t>
        </is>
      </c>
      <c r="B73" t="inlineStr">
        <is>
          <t>00145520</t>
        </is>
      </c>
      <c r="C73" t="inlineStr">
        <is>
          <t>Williams</t>
        </is>
      </c>
      <c r="D73" t="inlineStr">
        <is>
          <t>Kelly</t>
        </is>
      </c>
      <c r="E73" t="inlineStr">
        <is>
          <t>F</t>
        </is>
      </c>
      <c r="F73" s="26" t="n">
        <v>24995</v>
      </c>
      <c r="G73" t="inlineStr">
        <is>
          <t>Bluestone</t>
        </is>
      </c>
      <c r="H73" t="inlineStr">
        <is>
          <t>45501</t>
        </is>
      </c>
      <c r="I73" t="inlineStr">
        <is>
          <t>(555) 408-2180</t>
        </is>
      </c>
      <c r="J73" t="inlineStr">
        <is>
          <t>kelly.williams12@example.com</t>
        </is>
      </c>
      <c r="K73" t="inlineStr">
        <is>
          <t>English</t>
        </is>
      </c>
      <c r="L73" t="inlineStr">
        <is>
          <t>PY06</t>
        </is>
      </c>
      <c r="M73" t="inlineStr">
        <is>
          <t>PRV1136</t>
        </is>
      </c>
      <c r="N73" t="n">
        <v>64.90000000000001</v>
      </c>
      <c r="O73" t="n">
        <v>180.3</v>
      </c>
      <c r="Q73" s="26" t="n">
        <v>43539</v>
      </c>
    </row>
    <row r="74">
      <c r="A74" t="inlineStr">
        <is>
          <t>PT10584</t>
        </is>
      </c>
      <c r="B74" t="inlineStr">
        <is>
          <t>05679304</t>
        </is>
      </c>
      <c r="C74" t="inlineStr">
        <is>
          <t>Garcia</t>
        </is>
      </c>
      <c r="D74" t="inlineStr">
        <is>
          <t>Amanda</t>
        </is>
      </c>
      <c r="E74" t="inlineStr">
        <is>
          <t>F</t>
        </is>
      </c>
      <c r="F74" s="26" t="n">
        <v>29727</v>
      </c>
      <c r="G74" t="inlineStr">
        <is>
          <t>Bluestone</t>
        </is>
      </c>
      <c r="H74" t="inlineStr">
        <is>
          <t>45503</t>
        </is>
      </c>
      <c r="I74" t="inlineStr">
        <is>
          <t>(555) 464-0808</t>
        </is>
      </c>
      <c r="J74" t="inlineStr">
        <is>
          <t>amanda.garcia70@example.com</t>
        </is>
      </c>
      <c r="K74" t="inlineStr">
        <is>
          <t>English</t>
        </is>
      </c>
      <c r="L74" t="inlineStr">
        <is>
          <t>PY04</t>
        </is>
      </c>
      <c r="M74" t="inlineStr">
        <is>
          <t>PRV1127</t>
        </is>
      </c>
      <c r="N74" t="n">
        <v>63.6</v>
      </c>
      <c r="O74" t="n">
        <v>162</v>
      </c>
      <c r="P74" t="inlineStr">
        <is>
          <t>ASTHMA</t>
        </is>
      </c>
      <c r="Q74" s="26" t="n">
        <v>42678</v>
      </c>
    </row>
    <row r="75">
      <c r="A75" t="inlineStr">
        <is>
          <t>PT10592</t>
        </is>
      </c>
      <c r="B75" t="inlineStr">
        <is>
          <t>01189100</t>
        </is>
      </c>
      <c r="C75" t="inlineStr">
        <is>
          <t>Wood</t>
        </is>
      </c>
      <c r="D75" t="inlineStr">
        <is>
          <t>Rachel</t>
        </is>
      </c>
      <c r="E75" t="inlineStr">
        <is>
          <t>F</t>
        </is>
      </c>
      <c r="F75" s="26" t="n">
        <v>20626</v>
      </c>
      <c r="G75" t="inlineStr">
        <is>
          <t>Lakeview Heights</t>
        </is>
      </c>
      <c r="H75" t="inlineStr">
        <is>
          <t>45510</t>
        </is>
      </c>
      <c r="I75" t="inlineStr">
        <is>
          <t>(555) 347-5882</t>
        </is>
      </c>
      <c r="J75" t="inlineStr">
        <is>
          <t>rachel.wood79@example.com</t>
        </is>
      </c>
      <c r="K75" t="inlineStr">
        <is>
          <t>English</t>
        </is>
      </c>
      <c r="L75" t="inlineStr">
        <is>
          <t>PY02</t>
        </is>
      </c>
      <c r="M75" t="inlineStr">
        <is>
          <t>PRV1135</t>
        </is>
      </c>
      <c r="N75" t="n">
        <v>61.2</v>
      </c>
      <c r="O75" t="n">
        <v>149.8</v>
      </c>
      <c r="P75" t="inlineStr">
        <is>
          <t>DM;COPD</t>
        </is>
      </c>
      <c r="Q75" s="26" t="n">
        <v>43555</v>
      </c>
    </row>
    <row r="76">
      <c r="A76" t="inlineStr">
        <is>
          <t>PT10600</t>
        </is>
      </c>
      <c r="B76" t="inlineStr">
        <is>
          <t>06193564</t>
        </is>
      </c>
      <c r="C76" t="inlineStr">
        <is>
          <t>Freeman</t>
        </is>
      </c>
      <c r="D76" t="inlineStr">
        <is>
          <t>Evelyn</t>
        </is>
      </c>
      <c r="E76" t="inlineStr">
        <is>
          <t>F</t>
        </is>
      </c>
      <c r="F76" s="26" t="n">
        <v>25206</v>
      </c>
      <c r="G76" t="inlineStr">
        <is>
          <t>Bluestone</t>
        </is>
      </c>
      <c r="H76" t="inlineStr">
        <is>
          <t>45502</t>
        </is>
      </c>
      <c r="I76" t="inlineStr">
        <is>
          <t>(555) 724-0551</t>
        </is>
      </c>
      <c r="J76" t="inlineStr">
        <is>
          <t>evelyn.freeman26@example.com</t>
        </is>
      </c>
      <c r="K76" t="inlineStr">
        <is>
          <t>English</t>
        </is>
      </c>
      <c r="L76" t="inlineStr">
        <is>
          <t>PY06</t>
        </is>
      </c>
      <c r="M76" t="inlineStr">
        <is>
          <t>PRV1125</t>
        </is>
      </c>
      <c r="N76" t="n">
        <v>61.9</v>
      </c>
      <c r="O76" t="n">
        <v>155.7</v>
      </c>
      <c r="P76" t="inlineStr">
        <is>
          <t>ASTHMA;PSYCH</t>
        </is>
      </c>
      <c r="Q76" s="26" t="n">
        <v>40198</v>
      </c>
    </row>
    <row r="77">
      <c r="A77" t="inlineStr">
        <is>
          <t>PT10608</t>
        </is>
      </c>
      <c r="B77" t="inlineStr">
        <is>
          <t>07270423</t>
        </is>
      </c>
      <c r="C77" t="inlineStr">
        <is>
          <t>Bailey</t>
        </is>
      </c>
      <c r="D77" t="inlineStr">
        <is>
          <t>Sophia</t>
        </is>
      </c>
      <c r="E77" t="inlineStr">
        <is>
          <t>F</t>
        </is>
      </c>
      <c r="F77" s="26" t="n">
        <v>22136</v>
      </c>
      <c r="G77" t="inlineStr">
        <is>
          <t>Lakeview Heights</t>
        </is>
      </c>
      <c r="H77" t="inlineStr">
        <is>
          <t>45510</t>
        </is>
      </c>
      <c r="I77" t="inlineStr">
        <is>
          <t>(555) 306-4041</t>
        </is>
      </c>
      <c r="J77" t="inlineStr">
        <is>
          <t>sophia.bailey30@example.com</t>
        </is>
      </c>
      <c r="K77" t="inlineStr">
        <is>
          <t>English</t>
        </is>
      </c>
      <c r="L77" t="inlineStr">
        <is>
          <t>PY02</t>
        </is>
      </c>
      <c r="M77" t="inlineStr">
        <is>
          <t>PRV1134</t>
        </is>
      </c>
      <c r="N77" t="n">
        <v>63.3</v>
      </c>
      <c r="O77" t="n">
        <v>137.3</v>
      </c>
      <c r="P77" t="inlineStr">
        <is>
          <t>HTN;CANCER</t>
        </is>
      </c>
      <c r="Q77" s="26" t="n">
        <v>45070</v>
      </c>
    </row>
    <row r="78">
      <c r="A78" t="inlineStr">
        <is>
          <t>PT10616</t>
        </is>
      </c>
      <c r="B78" t="inlineStr">
        <is>
          <t>00081003</t>
        </is>
      </c>
      <c r="C78" t="inlineStr">
        <is>
          <t>Matthews</t>
        </is>
      </c>
      <c r="D78" t="inlineStr">
        <is>
          <t>Mei</t>
        </is>
      </c>
      <c r="E78" t="inlineStr">
        <is>
          <t>F</t>
        </is>
      </c>
      <c r="F78" s="26" t="n">
        <v>11811</v>
      </c>
      <c r="G78" t="inlineStr">
        <is>
          <t>Millbrook</t>
        </is>
      </c>
      <c r="H78" t="inlineStr">
        <is>
          <t>45530</t>
        </is>
      </c>
      <c r="I78" t="inlineStr">
        <is>
          <t>(555) 441-5745</t>
        </is>
      </c>
      <c r="J78" t="inlineStr">
        <is>
          <t>mei.matthews59@example.com</t>
        </is>
      </c>
      <c r="K78" t="inlineStr">
        <is>
          <t>English</t>
        </is>
      </c>
      <c r="L78" t="inlineStr">
        <is>
          <t>PY01</t>
        </is>
      </c>
      <c r="M78" t="inlineStr">
        <is>
          <t>PRV1133</t>
        </is>
      </c>
      <c r="N78" t="n">
        <v>62.6</v>
      </c>
      <c r="O78" t="n">
        <v>193</v>
      </c>
      <c r="P78" t="inlineStr">
        <is>
          <t>HTN</t>
        </is>
      </c>
      <c r="Q78" s="26" t="n">
        <v>45392</v>
      </c>
    </row>
    <row r="79">
      <c r="A79" t="inlineStr">
        <is>
          <t>PT10624</t>
        </is>
      </c>
      <c r="B79" t="inlineStr">
        <is>
          <t>01845696</t>
        </is>
      </c>
      <c r="C79" t="inlineStr">
        <is>
          <t>Bryant</t>
        </is>
      </c>
      <c r="D79" t="inlineStr">
        <is>
          <t>Amina</t>
        </is>
      </c>
      <c r="E79" t="inlineStr">
        <is>
          <t>F</t>
        </is>
      </c>
      <c r="F79" s="26" t="n">
        <v>17339</v>
      </c>
      <c r="G79" t="inlineStr">
        <is>
          <t>Millbrook</t>
        </is>
      </c>
      <c r="H79" t="inlineStr">
        <is>
          <t>45530</t>
        </is>
      </c>
      <c r="I79" t="inlineStr">
        <is>
          <t>(555) 856-4650</t>
        </is>
      </c>
      <c r="J79" t="inlineStr">
        <is>
          <t>amina.bryant64@example.com</t>
        </is>
      </c>
      <c r="K79" t="inlineStr">
        <is>
          <t>Somali</t>
        </is>
      </c>
      <c r="L79" t="inlineStr">
        <is>
          <t>PY01</t>
        </is>
      </c>
      <c r="M79" t="inlineStr">
        <is>
          <t>PRV1129</t>
        </is>
      </c>
      <c r="N79" t="n">
        <v>65.09999999999999</v>
      </c>
      <c r="O79" t="n">
        <v>221.2</v>
      </c>
      <c r="P79" t="inlineStr">
        <is>
          <t>DM</t>
        </is>
      </c>
      <c r="Q79" s="26" t="n">
        <v>40653</v>
      </c>
    </row>
    <row r="80">
      <c r="A80" t="inlineStr">
        <is>
          <t>PT10632</t>
        </is>
      </c>
      <c r="B80" t="inlineStr">
        <is>
          <t>07843648</t>
        </is>
      </c>
      <c r="C80" t="inlineStr">
        <is>
          <t>Lopez</t>
        </is>
      </c>
      <c r="D80" t="inlineStr">
        <is>
          <t>Jeremy</t>
        </is>
      </c>
      <c r="E80" t="inlineStr">
        <is>
          <t>M</t>
        </is>
      </c>
      <c r="F80" s="26" t="n">
        <v>41660</v>
      </c>
      <c r="G80" t="inlineStr">
        <is>
          <t>Cedar Ridge</t>
        </is>
      </c>
      <c r="H80" t="inlineStr">
        <is>
          <t>45720</t>
        </is>
      </c>
      <c r="I80" t="inlineStr">
        <is>
          <t>(555) 553-9254</t>
        </is>
      </c>
      <c r="K80" t="inlineStr">
        <is>
          <t>English</t>
        </is>
      </c>
      <c r="L80" t="inlineStr">
        <is>
          <t>PY05</t>
        </is>
      </c>
      <c r="M80" t="inlineStr">
        <is>
          <t>PRV1108</t>
        </is>
      </c>
      <c r="N80" t="n">
        <v>50.4</v>
      </c>
      <c r="O80" t="n">
        <v>64.8</v>
      </c>
      <c r="P80" t="inlineStr">
        <is>
          <t>SEIZURE</t>
        </is>
      </c>
      <c r="Q80" s="26" t="n">
        <v>45382</v>
      </c>
    </row>
    <row r="81">
      <c r="A81" t="inlineStr">
        <is>
          <t>PT10640</t>
        </is>
      </c>
      <c r="B81" t="inlineStr">
        <is>
          <t>08673376</t>
        </is>
      </c>
      <c r="C81" t="inlineStr">
        <is>
          <t>Armstrong</t>
        </is>
      </c>
      <c r="D81" t="inlineStr">
        <is>
          <t>Roy</t>
        </is>
      </c>
      <c r="E81" t="inlineStr">
        <is>
          <t>M</t>
        </is>
      </c>
      <c r="F81" s="26" t="n">
        <v>35703</v>
      </c>
      <c r="G81" t="inlineStr">
        <is>
          <t>Bluestone</t>
        </is>
      </c>
      <c r="H81" t="inlineStr">
        <is>
          <t>45503</t>
        </is>
      </c>
      <c r="I81" t="inlineStr">
        <is>
          <t>(555) 713-0625</t>
        </is>
      </c>
      <c r="K81" t="inlineStr">
        <is>
          <t>English</t>
        </is>
      </c>
      <c r="L81" t="inlineStr">
        <is>
          <t>PY07</t>
        </is>
      </c>
      <c r="M81" t="inlineStr">
        <is>
          <t>PRV1134</t>
        </is>
      </c>
      <c r="N81" t="n">
        <v>70.09999999999999</v>
      </c>
      <c r="O81" t="n">
        <v>180.2</v>
      </c>
      <c r="P81" t="inlineStr">
        <is>
          <t>ASTHMA</t>
        </is>
      </c>
      <c r="Q81" s="26" t="n">
        <v>43363</v>
      </c>
    </row>
    <row r="82">
      <c r="A82" t="inlineStr">
        <is>
          <t>PT10648</t>
        </is>
      </c>
      <c r="B82" t="inlineStr">
        <is>
          <t>09297384</t>
        </is>
      </c>
      <c r="C82" t="inlineStr">
        <is>
          <t>Jimenez</t>
        </is>
      </c>
      <c r="D82" t="inlineStr">
        <is>
          <t>Marie</t>
        </is>
      </c>
      <c r="E82" t="inlineStr">
        <is>
          <t>F</t>
        </is>
      </c>
      <c r="F82" s="26" t="n">
        <v>28247</v>
      </c>
      <c r="G82" t="inlineStr">
        <is>
          <t>Pine Hollow</t>
        </is>
      </c>
      <c r="H82" t="inlineStr">
        <is>
          <t>45640</t>
        </is>
      </c>
      <c r="I82" t="inlineStr">
        <is>
          <t>(555) 725-4850</t>
        </is>
      </c>
      <c r="J82" t="inlineStr">
        <is>
          <t>marie.jimenez66@example.com</t>
        </is>
      </c>
      <c r="K82" t="inlineStr">
        <is>
          <t>English</t>
        </is>
      </c>
      <c r="L82" t="inlineStr">
        <is>
          <t>PY07</t>
        </is>
      </c>
      <c r="M82" t="inlineStr">
        <is>
          <t>PRV1128</t>
        </is>
      </c>
      <c r="N82" t="n">
        <v>64.2</v>
      </c>
      <c r="O82" t="n">
        <v>189.9</v>
      </c>
      <c r="P82" t="inlineStr">
        <is>
          <t>HTN</t>
        </is>
      </c>
      <c r="Q82" s="26" t="n">
        <v>43234</v>
      </c>
    </row>
    <row r="83">
      <c r="A83" t="inlineStr">
        <is>
          <t>PT10656</t>
        </is>
      </c>
      <c r="B83" t="inlineStr">
        <is>
          <t>08834132</t>
        </is>
      </c>
      <c r="C83" t="inlineStr">
        <is>
          <t>Fernandez</t>
        </is>
      </c>
      <c r="D83" t="inlineStr">
        <is>
          <t>Elizabeth</t>
        </is>
      </c>
      <c r="E83" t="inlineStr">
        <is>
          <t>F</t>
        </is>
      </c>
      <c r="F83" s="26" t="n">
        <v>26866</v>
      </c>
      <c r="G83" t="inlineStr">
        <is>
          <t>Lakeview Heights</t>
        </is>
      </c>
      <c r="H83" t="inlineStr">
        <is>
          <t>45510</t>
        </is>
      </c>
      <c r="I83" t="inlineStr">
        <is>
          <t>(555) 210-1998</t>
        </is>
      </c>
      <c r="J83" t="inlineStr">
        <is>
          <t>elizabeth.fernandez69@example.com</t>
        </is>
      </c>
      <c r="K83" t="inlineStr">
        <is>
          <t>English</t>
        </is>
      </c>
      <c r="L83" t="inlineStr">
        <is>
          <t>PY06</t>
        </is>
      </c>
      <c r="N83" t="n">
        <v>65.5</v>
      </c>
      <c r="O83" t="n">
        <v>181.5</v>
      </c>
      <c r="Q83" s="26" t="n">
        <v>44465</v>
      </c>
    </row>
    <row r="84">
      <c r="A84" t="inlineStr">
        <is>
          <t>PT10664</t>
        </is>
      </c>
      <c r="B84" t="inlineStr">
        <is>
          <t>03770713</t>
        </is>
      </c>
      <c r="C84" t="inlineStr">
        <is>
          <t>Boyd</t>
        </is>
      </c>
      <c r="D84" t="inlineStr">
        <is>
          <t>Isabella</t>
        </is>
      </c>
      <c r="E84" t="inlineStr">
        <is>
          <t>F</t>
        </is>
      </c>
      <c r="F84" s="26" t="n">
        <v>25655</v>
      </c>
      <c r="G84" t="inlineStr">
        <is>
          <t>Bluestone</t>
        </is>
      </c>
      <c r="H84" t="inlineStr">
        <is>
          <t>45502</t>
        </is>
      </c>
      <c r="I84" t="inlineStr">
        <is>
          <t>(555) 587-5137</t>
        </is>
      </c>
      <c r="J84" t="inlineStr">
        <is>
          <t>isabella.boyd39@example.com</t>
        </is>
      </c>
      <c r="K84" t="inlineStr">
        <is>
          <t>English</t>
        </is>
      </c>
      <c r="L84" t="inlineStr">
        <is>
          <t>PY05</t>
        </is>
      </c>
      <c r="N84" t="n">
        <v>64.5</v>
      </c>
      <c r="O84" t="n">
        <v>120.7</v>
      </c>
      <c r="Q84" s="26" t="n">
        <v>42005</v>
      </c>
    </row>
    <row r="85">
      <c r="A85" t="inlineStr">
        <is>
          <t>PT10672</t>
        </is>
      </c>
      <c r="B85" t="inlineStr">
        <is>
          <t>06216094</t>
        </is>
      </c>
      <c r="C85" t="inlineStr">
        <is>
          <t>Grant</t>
        </is>
      </c>
      <c r="D85" t="inlineStr">
        <is>
          <t>Richard</t>
        </is>
      </c>
      <c r="E85" t="inlineStr">
        <is>
          <t>M</t>
        </is>
      </c>
      <c r="F85" s="26" t="n">
        <v>34517</v>
      </c>
      <c r="G85" t="inlineStr">
        <is>
          <t>Fairhaven</t>
        </is>
      </c>
      <c r="H85" t="inlineStr">
        <is>
          <t>45620</t>
        </is>
      </c>
      <c r="I85" t="inlineStr">
        <is>
          <t>(555) 765-9426</t>
        </is>
      </c>
      <c r="K85" t="inlineStr">
        <is>
          <t>English</t>
        </is>
      </c>
      <c r="L85" t="inlineStr">
        <is>
          <t>PY04</t>
        </is>
      </c>
      <c r="M85" t="inlineStr">
        <is>
          <t>PRV1136</t>
        </is>
      </c>
      <c r="N85" t="n">
        <v>72.09999999999999</v>
      </c>
      <c r="O85" t="n">
        <v>294.2</v>
      </c>
      <c r="Q85" s="26" t="n">
        <v>39977</v>
      </c>
    </row>
    <row r="86">
      <c r="A86" t="inlineStr">
        <is>
          <t>PT10680</t>
        </is>
      </c>
      <c r="B86" t="inlineStr">
        <is>
          <t>03012328</t>
        </is>
      </c>
      <c r="C86" t="inlineStr">
        <is>
          <t>Okafor</t>
        </is>
      </c>
      <c r="D86" t="inlineStr">
        <is>
          <t>Dennis</t>
        </is>
      </c>
      <c r="E86" t="inlineStr">
        <is>
          <t>M</t>
        </is>
      </c>
      <c r="F86" s="26" t="n">
        <v>28252</v>
      </c>
      <c r="G86" t="inlineStr">
        <is>
          <t>Lakeview Heights</t>
        </is>
      </c>
      <c r="H86" t="inlineStr">
        <is>
          <t>45510</t>
        </is>
      </c>
      <c r="I86" t="inlineStr">
        <is>
          <t>(555) 653-7271</t>
        </is>
      </c>
      <c r="J86" t="inlineStr">
        <is>
          <t>dennis.okafor55@example.com</t>
        </is>
      </c>
      <c r="K86" t="inlineStr">
        <is>
          <t>English</t>
        </is>
      </c>
      <c r="L86" t="inlineStr">
        <is>
          <t>PY05</t>
        </is>
      </c>
      <c r="M86" t="inlineStr">
        <is>
          <t>PRV1136</t>
        </is>
      </c>
      <c r="N86" t="n">
        <v>76.40000000000001</v>
      </c>
      <c r="O86" t="n">
        <v>243.9</v>
      </c>
      <c r="P86" t="inlineStr">
        <is>
          <t>DM</t>
        </is>
      </c>
      <c r="Q86" s="26" t="n">
        <v>43837</v>
      </c>
    </row>
    <row r="87">
      <c r="A87" t="inlineStr">
        <is>
          <t>PT10688</t>
        </is>
      </c>
      <c r="B87" t="inlineStr">
        <is>
          <t>03585244</t>
        </is>
      </c>
      <c r="C87" t="inlineStr">
        <is>
          <t>Ramos</t>
        </is>
      </c>
      <c r="D87" t="inlineStr">
        <is>
          <t>Denise</t>
        </is>
      </c>
      <c r="E87" t="inlineStr">
        <is>
          <t>F</t>
        </is>
      </c>
      <c r="F87" s="26" t="n">
        <v>33270</v>
      </c>
      <c r="G87" t="inlineStr">
        <is>
          <t>Pine Hollow</t>
        </is>
      </c>
      <c r="H87" t="inlineStr">
        <is>
          <t>45640</t>
        </is>
      </c>
      <c r="I87" t="inlineStr">
        <is>
          <t>(555) 753-8264</t>
        </is>
      </c>
      <c r="K87" t="inlineStr">
        <is>
          <t>English</t>
        </is>
      </c>
      <c r="L87" t="inlineStr">
        <is>
          <t>PY03</t>
        </is>
      </c>
      <c r="N87" t="n">
        <v>62.1</v>
      </c>
      <c r="O87" t="n">
        <v>142.8</v>
      </c>
      <c r="Q87" s="26" t="n">
        <v>44902</v>
      </c>
    </row>
    <row r="88">
      <c r="A88" t="inlineStr">
        <is>
          <t>PT10696</t>
        </is>
      </c>
      <c r="B88" t="inlineStr">
        <is>
          <t>00938538</t>
        </is>
      </c>
      <c r="C88" t="inlineStr">
        <is>
          <t>Coleman</t>
        </is>
      </c>
      <c r="D88" t="inlineStr">
        <is>
          <t>Madison</t>
        </is>
      </c>
      <c r="E88" t="inlineStr">
        <is>
          <t>F</t>
        </is>
      </c>
      <c r="F88" s="26" t="n">
        <v>20466</v>
      </c>
      <c r="G88" t="inlineStr">
        <is>
          <t>Pine Hollow</t>
        </is>
      </c>
      <c r="H88" t="inlineStr">
        <is>
          <t>45640</t>
        </is>
      </c>
      <c r="I88" t="inlineStr">
        <is>
          <t>(555) 875-7045</t>
        </is>
      </c>
      <c r="J88" t="inlineStr">
        <is>
          <t>madison.coleman79@example.com</t>
        </is>
      </c>
      <c r="K88" t="inlineStr">
        <is>
          <t>English</t>
        </is>
      </c>
      <c r="L88" t="inlineStr">
        <is>
          <t>PY01</t>
        </is>
      </c>
      <c r="M88" t="inlineStr">
        <is>
          <t>PRV1127</t>
        </is>
      </c>
      <c r="N88" t="n">
        <v>65.5</v>
      </c>
      <c r="O88" t="n">
        <v>235.2</v>
      </c>
      <c r="Q88" s="26" t="n">
        <v>41839</v>
      </c>
    </row>
    <row r="89">
      <c r="A89" t="inlineStr">
        <is>
          <t>PT10704</t>
        </is>
      </c>
      <c r="B89" t="inlineStr">
        <is>
          <t>00076448</t>
        </is>
      </c>
      <c r="C89" t="inlineStr">
        <is>
          <t>Perkins</t>
        </is>
      </c>
      <c r="D89" t="inlineStr">
        <is>
          <t>Jack</t>
        </is>
      </c>
      <c r="E89" t="inlineStr">
        <is>
          <t>M</t>
        </is>
      </c>
      <c r="F89" s="26" t="n">
        <v>34188</v>
      </c>
      <c r="G89" t="inlineStr">
        <is>
          <t>Lakeview Heights</t>
        </is>
      </c>
      <c r="H89" t="inlineStr">
        <is>
          <t>45510</t>
        </is>
      </c>
      <c r="I89" t="inlineStr">
        <is>
          <t>(555) 263-3965</t>
        </is>
      </c>
      <c r="J89" t="inlineStr">
        <is>
          <t>jack.perkins53@example.com</t>
        </is>
      </c>
      <c r="K89" t="inlineStr">
        <is>
          <t>Spanish</t>
        </is>
      </c>
      <c r="L89" t="inlineStr">
        <is>
          <t>PY04</t>
        </is>
      </c>
      <c r="M89" t="inlineStr">
        <is>
          <t>PRV1130</t>
        </is>
      </c>
      <c r="N89" t="n">
        <v>68.7</v>
      </c>
      <c r="O89" t="n">
        <v>188.1</v>
      </c>
      <c r="Q89" s="26" t="n">
        <v>43636</v>
      </c>
    </row>
    <row r="90">
      <c r="A90" t="inlineStr">
        <is>
          <t>PT10712</t>
        </is>
      </c>
      <c r="B90" t="inlineStr">
        <is>
          <t>06834609</t>
        </is>
      </c>
      <c r="C90" t="inlineStr">
        <is>
          <t>Freeman</t>
        </is>
      </c>
      <c r="D90" t="inlineStr">
        <is>
          <t>Philip</t>
        </is>
      </c>
      <c r="E90" t="inlineStr">
        <is>
          <t>M</t>
        </is>
      </c>
      <c r="F90" s="26" t="n">
        <v>31462</v>
      </c>
      <c r="G90" t="inlineStr">
        <is>
          <t>Riverbend</t>
        </is>
      </c>
      <c r="H90" t="inlineStr">
        <is>
          <t>45545</t>
        </is>
      </c>
      <c r="I90" t="inlineStr">
        <is>
          <t>(555) 518-0539</t>
        </is>
      </c>
      <c r="K90" t="inlineStr">
        <is>
          <t>English</t>
        </is>
      </c>
      <c r="L90" t="inlineStr">
        <is>
          <t>PY03</t>
        </is>
      </c>
      <c r="M90" t="inlineStr">
        <is>
          <t>PRV1136</t>
        </is>
      </c>
      <c r="N90" t="n">
        <v>71.09999999999999</v>
      </c>
      <c r="O90" t="n">
        <v>214.1</v>
      </c>
      <c r="Q90" s="26" t="n">
        <v>44848</v>
      </c>
    </row>
    <row r="91">
      <c r="A91" t="inlineStr">
        <is>
          <t>PT10720</t>
        </is>
      </c>
      <c r="B91" t="inlineStr">
        <is>
          <t>08643303</t>
        </is>
      </c>
      <c r="C91" t="inlineStr">
        <is>
          <t>Olson</t>
        </is>
      </c>
      <c r="D91" t="inlineStr">
        <is>
          <t>George</t>
        </is>
      </c>
      <c r="E91" t="inlineStr">
        <is>
          <t>M</t>
        </is>
      </c>
      <c r="F91" s="26" t="n">
        <v>24415</v>
      </c>
      <c r="G91" t="inlineStr">
        <is>
          <t>Bluestone</t>
        </is>
      </c>
      <c r="H91" t="inlineStr">
        <is>
          <t>45503</t>
        </is>
      </c>
      <c r="I91" t="inlineStr">
        <is>
          <t>(555) 641-1667</t>
        </is>
      </c>
      <c r="J91" t="inlineStr">
        <is>
          <t>george.olson45@example.com</t>
        </is>
      </c>
      <c r="K91" t="inlineStr">
        <is>
          <t>English</t>
        </is>
      </c>
      <c r="L91" t="inlineStr">
        <is>
          <t>PY06</t>
        </is>
      </c>
      <c r="M91" t="inlineStr">
        <is>
          <t>PRV1131</t>
        </is>
      </c>
      <c r="N91" t="n">
        <v>68.90000000000001</v>
      </c>
      <c r="O91" t="n">
        <v>111.9</v>
      </c>
      <c r="P91" t="inlineStr">
        <is>
          <t>COPD</t>
        </is>
      </c>
      <c r="Q91" s="26" t="n">
        <v>44866</v>
      </c>
    </row>
    <row r="92">
      <c r="A92" t="inlineStr">
        <is>
          <t>PT10728</t>
        </is>
      </c>
      <c r="B92" t="inlineStr">
        <is>
          <t>09686638</t>
        </is>
      </c>
      <c r="C92" t="inlineStr">
        <is>
          <t>Alvarez</t>
        </is>
      </c>
      <c r="D92" t="inlineStr">
        <is>
          <t>Beverly</t>
        </is>
      </c>
      <c r="E92" t="inlineStr">
        <is>
          <t>F</t>
        </is>
      </c>
      <c r="F92" s="26" t="n">
        <v>41597</v>
      </c>
      <c r="G92" t="inlineStr">
        <is>
          <t>Bluestone</t>
        </is>
      </c>
      <c r="H92" t="inlineStr">
        <is>
          <t>45501</t>
        </is>
      </c>
      <c r="I92" t="inlineStr">
        <is>
          <t>(555) 985-5423</t>
        </is>
      </c>
      <c r="K92" t="inlineStr">
        <is>
          <t>English</t>
        </is>
      </c>
      <c r="L92" t="inlineStr">
        <is>
          <t>PY04</t>
        </is>
      </c>
      <c r="M92" t="inlineStr">
        <is>
          <t>PRV1107</t>
        </is>
      </c>
      <c r="N92" t="n">
        <v>52.8</v>
      </c>
      <c r="O92" t="n">
        <v>97.2</v>
      </c>
      <c r="Q92" s="26" t="n">
        <v>44913</v>
      </c>
    </row>
    <row r="93">
      <c r="A93" t="inlineStr">
        <is>
          <t>PT10736</t>
        </is>
      </c>
      <c r="B93" t="inlineStr">
        <is>
          <t>03667226</t>
        </is>
      </c>
      <c r="C93" t="inlineStr">
        <is>
          <t>Fernandez</t>
        </is>
      </c>
      <c r="D93" t="inlineStr">
        <is>
          <t>Jean</t>
        </is>
      </c>
      <c r="E93" t="inlineStr">
        <is>
          <t>F</t>
        </is>
      </c>
      <c r="F93" s="26" t="n">
        <v>25786</v>
      </c>
      <c r="G93" t="inlineStr">
        <is>
          <t>Cedar Ridge</t>
        </is>
      </c>
      <c r="H93" t="inlineStr">
        <is>
          <t>45720</t>
        </is>
      </c>
      <c r="I93" t="inlineStr">
        <is>
          <t>(555) 655-1241</t>
        </is>
      </c>
      <c r="K93" t="inlineStr">
        <is>
          <t>English</t>
        </is>
      </c>
      <c r="L93" t="inlineStr">
        <is>
          <t>PY04</t>
        </is>
      </c>
      <c r="M93" t="inlineStr">
        <is>
          <t>PRV1130</t>
        </is>
      </c>
      <c r="N93" t="n">
        <v>61.7</v>
      </c>
      <c r="O93" t="n">
        <v>186.6</v>
      </c>
      <c r="Q93" s="26" t="n">
        <v>43410</v>
      </c>
    </row>
    <row r="94">
      <c r="A94" t="inlineStr">
        <is>
          <t>PT10744</t>
        </is>
      </c>
      <c r="B94" t="inlineStr">
        <is>
          <t>02776247</t>
        </is>
      </c>
      <c r="C94" t="inlineStr">
        <is>
          <t>Fisher</t>
        </is>
      </c>
      <c r="D94" t="inlineStr">
        <is>
          <t>Wayne</t>
        </is>
      </c>
      <c r="E94" t="inlineStr">
        <is>
          <t>M</t>
        </is>
      </c>
      <c r="F94" s="26" t="n">
        <v>27706</v>
      </c>
      <c r="G94" t="inlineStr">
        <is>
          <t>Bluestone</t>
        </is>
      </c>
      <c r="H94" t="inlineStr">
        <is>
          <t>45501</t>
        </is>
      </c>
      <c r="I94" t="inlineStr">
        <is>
          <t>(555) 326-7097</t>
        </is>
      </c>
      <c r="J94" t="inlineStr">
        <is>
          <t>wayne.fisher81@example.com</t>
        </is>
      </c>
      <c r="K94" t="inlineStr">
        <is>
          <t>English</t>
        </is>
      </c>
      <c r="L94" t="inlineStr">
        <is>
          <t>PY03</t>
        </is>
      </c>
      <c r="M94" t="inlineStr">
        <is>
          <t>PRV1131</t>
        </is>
      </c>
      <c r="N94" t="n">
        <v>65.90000000000001</v>
      </c>
      <c r="O94" t="n">
        <v>234.4</v>
      </c>
      <c r="P94" t="inlineStr">
        <is>
          <t>PSYCH;ETOH;SEIZURE</t>
        </is>
      </c>
      <c r="Q94" s="26" t="n">
        <v>42369</v>
      </c>
    </row>
    <row r="95">
      <c r="A95" t="inlineStr">
        <is>
          <t>PT10752</t>
        </is>
      </c>
      <c r="B95" t="inlineStr">
        <is>
          <t>07477991</t>
        </is>
      </c>
      <c r="C95" t="inlineStr">
        <is>
          <t>Jones</t>
        </is>
      </c>
      <c r="D95" t="inlineStr">
        <is>
          <t>Helen</t>
        </is>
      </c>
      <c r="E95" t="inlineStr">
        <is>
          <t>F</t>
        </is>
      </c>
      <c r="F95" s="26" t="n">
        <v>45243</v>
      </c>
      <c r="G95" t="inlineStr">
        <is>
          <t>Fairhaven</t>
        </is>
      </c>
      <c r="H95" t="inlineStr">
        <is>
          <t>45620</t>
        </is>
      </c>
      <c r="I95" t="inlineStr">
        <is>
          <t>(555) 860-3844</t>
        </is>
      </c>
      <c r="K95" t="inlineStr">
        <is>
          <t>English</t>
        </is>
      </c>
      <c r="L95" t="inlineStr">
        <is>
          <t>PY03</t>
        </is>
      </c>
      <c r="M95" t="inlineStr">
        <is>
          <t>PRV1104</t>
        </is>
      </c>
      <c r="N95" t="n">
        <v>24.4</v>
      </c>
      <c r="O95" t="n">
        <v>12</v>
      </c>
      <c r="Q95" s="26" t="n">
        <v>45380</v>
      </c>
    </row>
    <row r="96">
      <c r="A96" t="inlineStr">
        <is>
          <t>PT10760</t>
        </is>
      </c>
      <c r="B96" t="inlineStr">
        <is>
          <t>03874942</t>
        </is>
      </c>
      <c r="C96" t="inlineStr">
        <is>
          <t>Grant</t>
        </is>
      </c>
      <c r="D96" t="inlineStr">
        <is>
          <t>Margaret</t>
        </is>
      </c>
      <c r="E96" t="inlineStr">
        <is>
          <t>F</t>
        </is>
      </c>
      <c r="F96" s="26" t="n">
        <v>10376</v>
      </c>
      <c r="G96" t="inlineStr">
        <is>
          <t>Bluestone</t>
        </is>
      </c>
      <c r="H96" t="inlineStr">
        <is>
          <t>45501</t>
        </is>
      </c>
      <c r="I96" t="inlineStr">
        <is>
          <t>(555) 526-1094</t>
        </is>
      </c>
      <c r="J96" t="inlineStr">
        <is>
          <t>margaret.grant23@example.com</t>
        </is>
      </c>
      <c r="K96" t="inlineStr">
        <is>
          <t>English</t>
        </is>
      </c>
      <c r="L96" t="inlineStr">
        <is>
          <t>PY01</t>
        </is>
      </c>
      <c r="M96" t="inlineStr">
        <is>
          <t>PRV1130</t>
        </is>
      </c>
      <c r="N96" t="n">
        <v>61</v>
      </c>
      <c r="O96" t="n">
        <v>129.4</v>
      </c>
      <c r="P96" t="inlineStr">
        <is>
          <t>HTN;DM</t>
        </is>
      </c>
      <c r="Q96" s="26" t="n">
        <v>40403</v>
      </c>
    </row>
    <row r="97">
      <c r="A97" t="inlineStr">
        <is>
          <t>PT10768</t>
        </is>
      </c>
      <c r="B97" t="inlineStr">
        <is>
          <t>06695970</t>
        </is>
      </c>
      <c r="C97" t="inlineStr">
        <is>
          <t>Garza</t>
        </is>
      </c>
      <c r="D97" t="inlineStr">
        <is>
          <t>Jeremy</t>
        </is>
      </c>
      <c r="E97" t="inlineStr">
        <is>
          <t>M</t>
        </is>
      </c>
      <c r="F97" s="26" t="n">
        <v>28841</v>
      </c>
      <c r="G97" t="inlineStr">
        <is>
          <t>Fairhaven</t>
        </is>
      </c>
      <c r="H97" t="inlineStr">
        <is>
          <t>45620</t>
        </is>
      </c>
      <c r="I97" t="inlineStr">
        <is>
          <t>(555) 553-1664</t>
        </is>
      </c>
      <c r="J97" t="inlineStr">
        <is>
          <t>jeremy.garza79@example.com</t>
        </is>
      </c>
      <c r="K97" t="inlineStr">
        <is>
          <t>English</t>
        </is>
      </c>
      <c r="L97" t="inlineStr">
        <is>
          <t>PY05</t>
        </is>
      </c>
      <c r="M97" t="inlineStr">
        <is>
          <t>PRV1127</t>
        </is>
      </c>
      <c r="N97" t="n">
        <v>73.09999999999999</v>
      </c>
      <c r="O97" t="n">
        <v>297.7</v>
      </c>
      <c r="P97" t="inlineStr">
        <is>
          <t>HTN;PSYCH</t>
        </is>
      </c>
      <c r="Q97" s="26" t="n">
        <v>45257</v>
      </c>
    </row>
    <row r="98">
      <c r="A98" t="inlineStr">
        <is>
          <t>PT10776</t>
        </is>
      </c>
      <c r="B98" t="inlineStr">
        <is>
          <t>05540551</t>
        </is>
      </c>
      <c r="C98" t="inlineStr">
        <is>
          <t>Sanchez</t>
        </is>
      </c>
      <c r="D98" t="inlineStr">
        <is>
          <t>Juan</t>
        </is>
      </c>
      <c r="E98" t="inlineStr">
        <is>
          <t>M</t>
        </is>
      </c>
      <c r="F98" s="26" t="n">
        <v>23715</v>
      </c>
      <c r="G98" t="inlineStr">
        <is>
          <t>Riverbend</t>
        </is>
      </c>
      <c r="H98" t="inlineStr">
        <is>
          <t>45545</t>
        </is>
      </c>
      <c r="I98" t="inlineStr">
        <is>
          <t>(555) 327-5233</t>
        </is>
      </c>
      <c r="K98" t="inlineStr">
        <is>
          <t>English</t>
        </is>
      </c>
      <c r="L98" t="inlineStr">
        <is>
          <t>PY03</t>
        </is>
      </c>
      <c r="M98" t="inlineStr">
        <is>
          <t>PRV1126</t>
        </is>
      </c>
      <c r="N98" t="n">
        <v>69.90000000000001</v>
      </c>
      <c r="O98" t="n">
        <v>125.6</v>
      </c>
      <c r="Q98" s="26" t="n">
        <v>44936</v>
      </c>
    </row>
    <row r="99">
      <c r="A99" t="inlineStr">
        <is>
          <t>PT10784</t>
        </is>
      </c>
      <c r="B99" t="inlineStr">
        <is>
          <t>05404334</t>
        </is>
      </c>
      <c r="C99" t="inlineStr">
        <is>
          <t>Vargas</t>
        </is>
      </c>
      <c r="D99" t="inlineStr">
        <is>
          <t>Daniel</t>
        </is>
      </c>
      <c r="E99" t="inlineStr">
        <is>
          <t>M</t>
        </is>
      </c>
      <c r="F99" s="26" t="n">
        <v>13075</v>
      </c>
      <c r="G99" t="inlineStr">
        <is>
          <t>Bluestone</t>
        </is>
      </c>
      <c r="H99" t="inlineStr">
        <is>
          <t>45503</t>
        </is>
      </c>
      <c r="I99" t="inlineStr">
        <is>
          <t>(555) 520-7003</t>
        </is>
      </c>
      <c r="J99" t="inlineStr">
        <is>
          <t>daniel.vargas97@example.com</t>
        </is>
      </c>
      <c r="K99" t="inlineStr">
        <is>
          <t>English</t>
        </is>
      </c>
      <c r="L99" t="inlineStr">
        <is>
          <t>PY02</t>
        </is>
      </c>
      <c r="M99" t="inlineStr">
        <is>
          <t>PRV1124</t>
        </is>
      </c>
      <c r="N99" t="n">
        <v>66</v>
      </c>
      <c r="O99" t="n">
        <v>162.5</v>
      </c>
      <c r="P99" t="inlineStr">
        <is>
          <t>HF</t>
        </is>
      </c>
      <c r="Q99" s="26" t="n">
        <v>41384</v>
      </c>
    </row>
    <row r="100">
      <c r="A100" t="inlineStr">
        <is>
          <t>PT10792</t>
        </is>
      </c>
      <c r="B100" t="inlineStr">
        <is>
          <t>05957424</t>
        </is>
      </c>
      <c r="C100" t="inlineStr">
        <is>
          <t>Petrov</t>
        </is>
      </c>
      <c r="D100" t="inlineStr">
        <is>
          <t>Nicole</t>
        </is>
      </c>
      <c r="E100" t="inlineStr">
        <is>
          <t>F</t>
        </is>
      </c>
      <c r="F100" s="26" t="n">
        <v>28893</v>
      </c>
      <c r="G100" t="inlineStr">
        <is>
          <t>Millbrook</t>
        </is>
      </c>
      <c r="H100" t="inlineStr">
        <is>
          <t>45530</t>
        </is>
      </c>
      <c r="I100" t="inlineStr">
        <is>
          <t>(555) 435-1842</t>
        </is>
      </c>
      <c r="J100" t="inlineStr">
        <is>
          <t>nicole.petrov17@example.com</t>
        </is>
      </c>
      <c r="K100" t="inlineStr">
        <is>
          <t>English</t>
        </is>
      </c>
      <c r="L100" t="inlineStr">
        <is>
          <t>PY06</t>
        </is>
      </c>
      <c r="M100" t="inlineStr">
        <is>
          <t>PRV1130</t>
        </is>
      </c>
      <c r="N100" t="n">
        <v>62.8</v>
      </c>
      <c r="O100" t="n">
        <v>187.5</v>
      </c>
      <c r="Q100" s="26" t="n">
        <v>41909</v>
      </c>
    </row>
    <row r="101">
      <c r="A101" t="inlineStr">
        <is>
          <t>PT10800</t>
        </is>
      </c>
      <c r="B101" t="inlineStr">
        <is>
          <t>01853998</t>
        </is>
      </c>
      <c r="C101" t="inlineStr">
        <is>
          <t>Johnston</t>
        </is>
      </c>
      <c r="D101" t="inlineStr">
        <is>
          <t>Jack</t>
        </is>
      </c>
      <c r="E101" t="inlineStr">
        <is>
          <t>M</t>
        </is>
      </c>
      <c r="F101" s="26" t="n">
        <v>45183</v>
      </c>
      <c r="G101" t="inlineStr">
        <is>
          <t>Cedar Ridge</t>
        </is>
      </c>
      <c r="H101" t="inlineStr">
        <is>
          <t>45720</t>
        </is>
      </c>
      <c r="I101" t="inlineStr">
        <is>
          <t>(555) 486-4327</t>
        </is>
      </c>
      <c r="K101" t="inlineStr">
        <is>
          <t>English</t>
        </is>
      </c>
      <c r="L101" t="inlineStr">
        <is>
          <t>PY04</t>
        </is>
      </c>
      <c r="M101" t="inlineStr">
        <is>
          <t>PRV1108</t>
        </is>
      </c>
      <c r="N101" t="n">
        <v>23.7</v>
      </c>
      <c r="O101" t="n">
        <v>16.6</v>
      </c>
      <c r="Q101" s="26" t="n">
        <v>45250</v>
      </c>
    </row>
    <row r="102">
      <c r="A102" t="inlineStr">
        <is>
          <t>PT10808</t>
        </is>
      </c>
      <c r="B102" t="inlineStr">
        <is>
          <t>02110671</t>
        </is>
      </c>
      <c r="C102" t="inlineStr">
        <is>
          <t>Kim</t>
        </is>
      </c>
      <c r="D102" t="inlineStr">
        <is>
          <t>Ethan</t>
        </is>
      </c>
      <c r="E102" t="inlineStr">
        <is>
          <t>M</t>
        </is>
      </c>
      <c r="F102" s="26" t="n">
        <v>11466</v>
      </c>
      <c r="G102" t="inlineStr">
        <is>
          <t>Ashby Falls</t>
        </is>
      </c>
      <c r="H102" t="inlineStr">
        <is>
          <t>45610</t>
        </is>
      </c>
      <c r="I102" t="inlineStr">
        <is>
          <t>(555) 964-8131</t>
        </is>
      </c>
      <c r="J102" t="inlineStr">
        <is>
          <t>ethan.kim24@example.com</t>
        </is>
      </c>
      <c r="K102" t="inlineStr">
        <is>
          <t>Spanish</t>
        </is>
      </c>
      <c r="L102" t="inlineStr">
        <is>
          <t>PY01</t>
        </is>
      </c>
      <c r="M102" t="inlineStr">
        <is>
          <t>PRV1137</t>
        </is>
      </c>
      <c r="N102" t="n">
        <v>66</v>
      </c>
      <c r="O102" t="n">
        <v>128.6</v>
      </c>
      <c r="P102" t="inlineStr">
        <is>
          <t>HTN</t>
        </is>
      </c>
      <c r="Q102" s="26" t="n">
        <v>44863</v>
      </c>
    </row>
    <row r="103">
      <c r="A103" t="inlineStr">
        <is>
          <t>PT10816</t>
        </is>
      </c>
      <c r="B103" t="inlineStr">
        <is>
          <t>06111672</t>
        </is>
      </c>
      <c r="C103" t="inlineStr">
        <is>
          <t>Tucker</t>
        </is>
      </c>
      <c r="D103" t="inlineStr">
        <is>
          <t>Timothy</t>
        </is>
      </c>
      <c r="E103" t="inlineStr">
        <is>
          <t>M</t>
        </is>
      </c>
      <c r="F103" s="26" t="n">
        <v>42145</v>
      </c>
      <c r="G103" t="inlineStr">
        <is>
          <t>Bluestone</t>
        </is>
      </c>
      <c r="H103" t="inlineStr">
        <is>
          <t>45501</t>
        </is>
      </c>
      <c r="I103" t="inlineStr">
        <is>
          <t>(555) 584-2550</t>
        </is>
      </c>
      <c r="K103" t="inlineStr">
        <is>
          <t>English</t>
        </is>
      </c>
      <c r="L103" t="inlineStr">
        <is>
          <t>PY06</t>
        </is>
      </c>
      <c r="M103" t="inlineStr">
        <is>
          <t>PRV1106</t>
        </is>
      </c>
      <c r="N103" t="n">
        <v>43.7</v>
      </c>
      <c r="O103" t="n">
        <v>55</v>
      </c>
      <c r="P103" t="inlineStr">
        <is>
          <t>ASTHMA</t>
        </is>
      </c>
      <c r="Q103" s="26" t="n">
        <v>44709</v>
      </c>
    </row>
    <row r="104">
      <c r="A104" t="inlineStr">
        <is>
          <t>PT10824</t>
        </is>
      </c>
      <c r="B104" t="inlineStr">
        <is>
          <t>06160144</t>
        </is>
      </c>
      <c r="C104" t="inlineStr">
        <is>
          <t>Rivera</t>
        </is>
      </c>
      <c r="D104" t="inlineStr">
        <is>
          <t>Jerry</t>
        </is>
      </c>
      <c r="E104" t="inlineStr">
        <is>
          <t>M</t>
        </is>
      </c>
      <c r="F104" s="26" t="n">
        <v>30158</v>
      </c>
      <c r="G104" t="inlineStr">
        <is>
          <t>Bluestone</t>
        </is>
      </c>
      <c r="H104" t="inlineStr">
        <is>
          <t>45501</t>
        </is>
      </c>
      <c r="I104" t="inlineStr">
        <is>
          <t>(555) 454-8750</t>
        </is>
      </c>
      <c r="K104" t="inlineStr">
        <is>
          <t>English</t>
        </is>
      </c>
      <c r="L104" t="inlineStr">
        <is>
          <t>PY03</t>
        </is>
      </c>
      <c r="M104" t="inlineStr">
        <is>
          <t>PRV1126</t>
        </is>
      </c>
      <c r="N104" t="n">
        <v>72.5</v>
      </c>
      <c r="O104" t="n">
        <v>123.4</v>
      </c>
      <c r="P104" t="inlineStr">
        <is>
          <t>HTN</t>
        </is>
      </c>
      <c r="Q104" s="26" t="n">
        <v>43814</v>
      </c>
    </row>
    <row r="105">
      <c r="A105" t="inlineStr">
        <is>
          <t>PT10832</t>
        </is>
      </c>
      <c r="B105" t="inlineStr">
        <is>
          <t>00656311</t>
        </is>
      </c>
      <c r="C105" t="inlineStr">
        <is>
          <t>Rogers</t>
        </is>
      </c>
      <c r="D105" t="inlineStr">
        <is>
          <t>Lucia</t>
        </is>
      </c>
      <c r="E105" t="inlineStr">
        <is>
          <t>F</t>
        </is>
      </c>
      <c r="F105" s="26" t="n">
        <v>23881</v>
      </c>
      <c r="G105" t="inlineStr">
        <is>
          <t>Bluestone</t>
        </is>
      </c>
      <c r="H105" t="inlineStr">
        <is>
          <t>45502</t>
        </is>
      </c>
      <c r="I105" t="inlineStr">
        <is>
          <t>(555) 790-2748</t>
        </is>
      </c>
      <c r="K105" t="inlineStr">
        <is>
          <t>English</t>
        </is>
      </c>
      <c r="L105" t="inlineStr">
        <is>
          <t>PY04</t>
        </is>
      </c>
      <c r="M105" t="inlineStr">
        <is>
          <t>PRV1140</t>
        </is>
      </c>
      <c r="N105" t="n">
        <v>62.7</v>
      </c>
      <c r="O105" t="n">
        <v>187.6</v>
      </c>
      <c r="P105" t="inlineStr">
        <is>
          <t>HTN</t>
        </is>
      </c>
      <c r="Q105" s="26" t="n">
        <v>39571</v>
      </c>
    </row>
    <row r="106">
      <c r="A106" t="inlineStr">
        <is>
          <t>PT10840</t>
        </is>
      </c>
      <c r="B106" t="inlineStr">
        <is>
          <t>00966057</t>
        </is>
      </c>
      <c r="C106" t="inlineStr">
        <is>
          <t>Fox</t>
        </is>
      </c>
      <c r="D106" t="inlineStr">
        <is>
          <t>Isabella</t>
        </is>
      </c>
      <c r="E106" t="inlineStr">
        <is>
          <t>F</t>
        </is>
      </c>
      <c r="F106" s="26" t="n">
        <v>22126</v>
      </c>
      <c r="G106" t="inlineStr">
        <is>
          <t>Oak Glen</t>
        </is>
      </c>
      <c r="H106" t="inlineStr">
        <is>
          <t>45730</t>
        </is>
      </c>
      <c r="I106" t="inlineStr">
        <is>
          <t>(555) 433-4828</t>
        </is>
      </c>
      <c r="J106" t="inlineStr">
        <is>
          <t>isabella.fox92@example.com</t>
        </is>
      </c>
      <c r="K106" t="inlineStr">
        <is>
          <t>English</t>
        </is>
      </c>
      <c r="L106" t="inlineStr">
        <is>
          <t>PY01</t>
        </is>
      </c>
      <c r="M106" t="inlineStr">
        <is>
          <t>PRV1133</t>
        </is>
      </c>
      <c r="N106" t="n">
        <v>63.1</v>
      </c>
      <c r="O106" t="n">
        <v>202.8</v>
      </c>
      <c r="P106" t="inlineStr">
        <is>
          <t>HTN</t>
        </is>
      </c>
      <c r="Q106" s="26" t="n">
        <v>42481</v>
      </c>
    </row>
    <row r="107">
      <c r="A107" t="inlineStr">
        <is>
          <t>PT10848</t>
        </is>
      </c>
      <c r="B107" t="inlineStr">
        <is>
          <t>09241713</t>
        </is>
      </c>
      <c r="C107" t="inlineStr">
        <is>
          <t>Riley</t>
        </is>
      </c>
      <c r="D107" t="inlineStr">
        <is>
          <t>Raymond</t>
        </is>
      </c>
      <c r="E107" t="inlineStr">
        <is>
          <t>M</t>
        </is>
      </c>
      <c r="F107" s="26" t="n">
        <v>39341</v>
      </c>
      <c r="G107" t="inlineStr">
        <is>
          <t>Bluestone</t>
        </is>
      </c>
      <c r="H107" t="inlineStr">
        <is>
          <t>45501</t>
        </is>
      </c>
      <c r="I107" t="inlineStr">
        <is>
          <t>(555) 966-2747</t>
        </is>
      </c>
      <c r="K107" t="inlineStr">
        <is>
          <t>Spanish</t>
        </is>
      </c>
      <c r="L107" t="inlineStr">
        <is>
          <t>PY04</t>
        </is>
      </c>
      <c r="M107" t="inlineStr">
        <is>
          <t>PRV1136</t>
        </is>
      </c>
      <c r="N107" t="n">
        <v>72.3</v>
      </c>
      <c r="O107" t="n">
        <v>263</v>
      </c>
      <c r="P107" t="inlineStr">
        <is>
          <t>ASTHMA</t>
        </is>
      </c>
      <c r="Q107" s="26" t="n">
        <v>43746</v>
      </c>
    </row>
    <row r="108">
      <c r="A108" t="inlineStr">
        <is>
          <t>PT10856</t>
        </is>
      </c>
      <c r="B108" t="inlineStr">
        <is>
          <t>03738040</t>
        </is>
      </c>
      <c r="C108" t="inlineStr">
        <is>
          <t>Gomez</t>
        </is>
      </c>
      <c r="D108" t="inlineStr">
        <is>
          <t>Diane</t>
        </is>
      </c>
      <c r="E108" t="inlineStr">
        <is>
          <t>F</t>
        </is>
      </c>
      <c r="F108" s="26" t="n">
        <v>18078</v>
      </c>
      <c r="G108" t="inlineStr">
        <is>
          <t>Fairhaven</t>
        </is>
      </c>
      <c r="H108" t="inlineStr">
        <is>
          <t>45620</t>
        </is>
      </c>
      <c r="I108" t="inlineStr">
        <is>
          <t>(555) 214-2191</t>
        </is>
      </c>
      <c r="K108" t="inlineStr">
        <is>
          <t>English</t>
        </is>
      </c>
      <c r="L108" t="inlineStr">
        <is>
          <t>PY01</t>
        </is>
      </c>
      <c r="M108" t="inlineStr">
        <is>
          <t>PRV1127</t>
        </is>
      </c>
      <c r="N108" t="n">
        <v>59.7</v>
      </c>
      <c r="O108" t="n">
        <v>92.90000000000001</v>
      </c>
      <c r="Q108" s="26" t="n">
        <v>41598</v>
      </c>
    </row>
    <row r="109">
      <c r="A109" t="inlineStr">
        <is>
          <t>PT10864</t>
        </is>
      </c>
      <c r="B109" t="inlineStr">
        <is>
          <t>09401951</t>
        </is>
      </c>
      <c r="C109" t="inlineStr">
        <is>
          <t>Hughes</t>
        </is>
      </c>
      <c r="D109" t="inlineStr">
        <is>
          <t>Nicole</t>
        </is>
      </c>
      <c r="E109" t="inlineStr">
        <is>
          <t>F</t>
        </is>
      </c>
      <c r="F109" s="26" t="n">
        <v>36674</v>
      </c>
      <c r="G109" t="inlineStr">
        <is>
          <t>Cedar Ridge</t>
        </is>
      </c>
      <c r="H109" t="inlineStr">
        <is>
          <t>45720</t>
        </is>
      </c>
      <c r="I109" t="inlineStr">
        <is>
          <t>(555) 750-0648</t>
        </is>
      </c>
      <c r="J109" t="inlineStr">
        <is>
          <t>nicole.hughes79@example.com</t>
        </is>
      </c>
      <c r="K109" t="inlineStr">
        <is>
          <t>English</t>
        </is>
      </c>
      <c r="L109" t="inlineStr">
        <is>
          <t>PY03</t>
        </is>
      </c>
      <c r="M109" t="inlineStr">
        <is>
          <t>PRV1126</t>
        </is>
      </c>
      <c r="N109" t="n">
        <v>63.1</v>
      </c>
      <c r="O109" t="n">
        <v>177.6</v>
      </c>
      <c r="P109" t="inlineStr">
        <is>
          <t>PSYCH</t>
        </is>
      </c>
      <c r="Q109" s="26" t="n">
        <v>44941</v>
      </c>
    </row>
    <row r="110">
      <c r="A110" t="inlineStr">
        <is>
          <t>PT10872</t>
        </is>
      </c>
      <c r="B110" t="inlineStr">
        <is>
          <t>08702707</t>
        </is>
      </c>
      <c r="C110" t="inlineStr">
        <is>
          <t>Bennett</t>
        </is>
      </c>
      <c r="D110" t="inlineStr">
        <is>
          <t>Priya</t>
        </is>
      </c>
      <c r="E110" t="inlineStr">
        <is>
          <t>F</t>
        </is>
      </c>
      <c r="F110" s="26" t="n">
        <v>25002</v>
      </c>
      <c r="G110" t="inlineStr">
        <is>
          <t>Lakeview Heights</t>
        </is>
      </c>
      <c r="H110" t="inlineStr">
        <is>
          <t>45510</t>
        </is>
      </c>
      <c r="I110" t="inlineStr">
        <is>
          <t>(555) 335-5281</t>
        </is>
      </c>
      <c r="J110" t="inlineStr">
        <is>
          <t>priya.bennett59@example.com</t>
        </is>
      </c>
      <c r="K110" t="inlineStr">
        <is>
          <t>English</t>
        </is>
      </c>
      <c r="L110" t="inlineStr">
        <is>
          <t>PY04</t>
        </is>
      </c>
      <c r="M110" t="inlineStr">
        <is>
          <t>PRV1136</t>
        </is>
      </c>
      <c r="N110" t="n">
        <v>66.3</v>
      </c>
      <c r="O110" t="n">
        <v>224</v>
      </c>
      <c r="P110" t="inlineStr">
        <is>
          <t>OA</t>
        </is>
      </c>
      <c r="Q110" s="26" t="n">
        <v>44359</v>
      </c>
    </row>
    <row r="111">
      <c r="A111" t="inlineStr">
        <is>
          <t>PT10880</t>
        </is>
      </c>
      <c r="B111" t="inlineStr">
        <is>
          <t>07235484</t>
        </is>
      </c>
      <c r="C111" t="inlineStr">
        <is>
          <t>Freeman</t>
        </is>
      </c>
      <c r="D111" t="inlineStr">
        <is>
          <t>Harper</t>
        </is>
      </c>
      <c r="E111" t="inlineStr">
        <is>
          <t>F</t>
        </is>
      </c>
      <c r="F111" s="26" t="n">
        <v>40503</v>
      </c>
      <c r="G111" t="inlineStr">
        <is>
          <t>Bluestone</t>
        </is>
      </c>
      <c r="H111" t="inlineStr">
        <is>
          <t>45501</t>
        </is>
      </c>
      <c r="I111" t="inlineStr">
        <is>
          <t>(555) 232-3148</t>
        </is>
      </c>
      <c r="K111" t="inlineStr">
        <is>
          <t>English</t>
        </is>
      </c>
      <c r="L111" t="inlineStr">
        <is>
          <t>PY07</t>
        </is>
      </c>
      <c r="M111" t="inlineStr">
        <is>
          <t>PRV1107</t>
        </is>
      </c>
      <c r="N111" t="n">
        <v>66.40000000000001</v>
      </c>
      <c r="O111" t="n">
        <v>161.8</v>
      </c>
      <c r="P111" t="inlineStr">
        <is>
          <t>ASTHMA</t>
        </is>
      </c>
      <c r="Q111" s="26" t="n">
        <v>41916</v>
      </c>
    </row>
    <row r="112">
      <c r="A112" t="inlineStr">
        <is>
          <t>PT10888</t>
        </is>
      </c>
      <c r="B112" t="inlineStr">
        <is>
          <t>02241332</t>
        </is>
      </c>
      <c r="C112" t="inlineStr">
        <is>
          <t>Freeman</t>
        </is>
      </c>
      <c r="D112" t="inlineStr">
        <is>
          <t>Ava</t>
        </is>
      </c>
      <c r="E112" t="inlineStr">
        <is>
          <t>F</t>
        </is>
      </c>
      <c r="F112" s="26" t="n">
        <v>27133</v>
      </c>
      <c r="G112" t="inlineStr">
        <is>
          <t>Ashby Falls</t>
        </is>
      </c>
      <c r="H112" t="inlineStr">
        <is>
          <t>45610</t>
        </is>
      </c>
      <c r="I112" t="inlineStr">
        <is>
          <t>(555) 595-9019</t>
        </is>
      </c>
      <c r="J112" t="inlineStr">
        <is>
          <t>ava.freeman31@example.com</t>
        </is>
      </c>
      <c r="K112" t="inlineStr">
        <is>
          <t>English</t>
        </is>
      </c>
      <c r="L112" t="inlineStr">
        <is>
          <t>PY04</t>
        </is>
      </c>
      <c r="M112" t="inlineStr">
        <is>
          <t>PRV1137</t>
        </is>
      </c>
      <c r="N112" t="n">
        <v>61.9</v>
      </c>
      <c r="O112" t="n">
        <v>134.1</v>
      </c>
      <c r="P112" t="inlineStr">
        <is>
          <t>HTN</t>
        </is>
      </c>
      <c r="Q112" s="26" t="n">
        <v>40101</v>
      </c>
    </row>
    <row r="113">
      <c r="A113" t="inlineStr">
        <is>
          <t>PT10896</t>
        </is>
      </c>
      <c r="B113" t="inlineStr">
        <is>
          <t>00137411</t>
        </is>
      </c>
      <c r="C113" t="inlineStr">
        <is>
          <t>Wells</t>
        </is>
      </c>
      <c r="D113" t="inlineStr">
        <is>
          <t>Amina</t>
        </is>
      </c>
      <c r="E113" t="inlineStr">
        <is>
          <t>F</t>
        </is>
      </c>
      <c r="F113" s="26" t="n">
        <v>43610</v>
      </c>
      <c r="G113" t="inlineStr">
        <is>
          <t>Bluestone</t>
        </is>
      </c>
      <c r="H113" t="inlineStr">
        <is>
          <t>45501</t>
        </is>
      </c>
      <c r="I113" t="inlineStr">
        <is>
          <t>(555) 270-0319</t>
        </is>
      </c>
      <c r="K113" t="inlineStr">
        <is>
          <t>English</t>
        </is>
      </c>
      <c r="L113" t="inlineStr">
        <is>
          <t>PY03</t>
        </is>
      </c>
      <c r="M113" t="inlineStr">
        <is>
          <t>PRV1105</t>
        </is>
      </c>
      <c r="N113" t="n">
        <v>36.7</v>
      </c>
      <c r="O113" t="n">
        <v>31.6</v>
      </c>
      <c r="Q113" s="26" t="n">
        <v>44823</v>
      </c>
    </row>
    <row r="114">
      <c r="A114" t="inlineStr">
        <is>
          <t>PT10904</t>
        </is>
      </c>
      <c r="B114" t="inlineStr">
        <is>
          <t>01169845</t>
        </is>
      </c>
      <c r="C114" t="inlineStr">
        <is>
          <t>Romero</t>
        </is>
      </c>
      <c r="D114" t="inlineStr">
        <is>
          <t>Frank</t>
        </is>
      </c>
      <c r="E114" t="inlineStr">
        <is>
          <t>M</t>
        </is>
      </c>
      <c r="F114" s="26" t="n">
        <v>11783</v>
      </c>
      <c r="G114" t="inlineStr">
        <is>
          <t>Oak Glen</t>
        </is>
      </c>
      <c r="H114" t="inlineStr">
        <is>
          <t>45730</t>
        </is>
      </c>
      <c r="I114" t="inlineStr">
        <is>
          <t>(555) 256-5059</t>
        </is>
      </c>
      <c r="K114" t="inlineStr">
        <is>
          <t>English</t>
        </is>
      </c>
      <c r="L114" t="inlineStr">
        <is>
          <t>PY02</t>
        </is>
      </c>
      <c r="M114" t="inlineStr">
        <is>
          <t>PRV1127</t>
        </is>
      </c>
      <c r="N114" t="n">
        <v>68.90000000000001</v>
      </c>
      <c r="O114" t="n">
        <v>157.7</v>
      </c>
      <c r="P114" t="inlineStr">
        <is>
          <t>HTN</t>
        </is>
      </c>
      <c r="Q114" s="26" t="n">
        <v>44254</v>
      </c>
    </row>
    <row r="115">
      <c r="A115" t="inlineStr">
        <is>
          <t>PT10912</t>
        </is>
      </c>
      <c r="B115" t="inlineStr">
        <is>
          <t>03800736</t>
        </is>
      </c>
      <c r="C115" t="inlineStr">
        <is>
          <t>Shaw</t>
        </is>
      </c>
      <c r="D115" t="inlineStr">
        <is>
          <t>Eugene</t>
        </is>
      </c>
      <c r="E115" t="inlineStr">
        <is>
          <t>M</t>
        </is>
      </c>
      <c r="F115" s="26" t="n">
        <v>24138</v>
      </c>
      <c r="G115" t="inlineStr">
        <is>
          <t>Bluestone</t>
        </is>
      </c>
      <c r="H115" t="inlineStr">
        <is>
          <t>45501</t>
        </is>
      </c>
      <c r="I115" t="inlineStr">
        <is>
          <t>(555) 765-8513</t>
        </is>
      </c>
      <c r="K115" t="inlineStr">
        <is>
          <t>Spanish</t>
        </is>
      </c>
      <c r="L115" t="inlineStr">
        <is>
          <t>PY04</t>
        </is>
      </c>
      <c r="M115" t="inlineStr">
        <is>
          <t>PRV1128</t>
        </is>
      </c>
      <c r="N115" t="n">
        <v>69.3</v>
      </c>
      <c r="O115" t="n">
        <v>234.3</v>
      </c>
      <c r="P115" t="inlineStr">
        <is>
          <t>HTN;HF;ETOH</t>
        </is>
      </c>
      <c r="Q115" s="26" t="n">
        <v>40672</v>
      </c>
    </row>
    <row r="116">
      <c r="A116" t="inlineStr">
        <is>
          <t>PT10920</t>
        </is>
      </c>
      <c r="B116" t="inlineStr">
        <is>
          <t>07994937</t>
        </is>
      </c>
      <c r="C116" t="inlineStr">
        <is>
          <t>Johnson</t>
        </is>
      </c>
      <c r="D116" t="inlineStr">
        <is>
          <t>Eugene</t>
        </is>
      </c>
      <c r="E116" t="inlineStr">
        <is>
          <t>M</t>
        </is>
      </c>
      <c r="F116" s="26" t="n">
        <v>17072</v>
      </c>
      <c r="G116" t="inlineStr">
        <is>
          <t>Bluestone</t>
        </is>
      </c>
      <c r="H116" t="inlineStr">
        <is>
          <t>45503</t>
        </is>
      </c>
      <c r="I116" t="inlineStr">
        <is>
          <t>(555) 617-0016</t>
        </is>
      </c>
      <c r="J116" t="inlineStr">
        <is>
          <t>eugene.johnson41@example.com</t>
        </is>
      </c>
      <c r="K116" t="inlineStr">
        <is>
          <t>English</t>
        </is>
      </c>
      <c r="L116" t="inlineStr">
        <is>
          <t>PY01</t>
        </is>
      </c>
      <c r="M116" t="inlineStr">
        <is>
          <t>PRV1125</t>
        </is>
      </c>
      <c r="N116" t="n">
        <v>70</v>
      </c>
      <c r="O116" t="n">
        <v>175.7</v>
      </c>
      <c r="Q116" s="26" t="n">
        <v>39528</v>
      </c>
    </row>
    <row r="117">
      <c r="A117" t="inlineStr">
        <is>
          <t>PT10928</t>
        </is>
      </c>
      <c r="B117" t="inlineStr">
        <is>
          <t>04400054</t>
        </is>
      </c>
      <c r="C117" t="inlineStr">
        <is>
          <t>Henderson</t>
        </is>
      </c>
      <c r="D117" t="inlineStr">
        <is>
          <t>Donna</t>
        </is>
      </c>
      <c r="E117" t="inlineStr">
        <is>
          <t>F</t>
        </is>
      </c>
      <c r="F117" s="26" t="n">
        <v>34803</v>
      </c>
      <c r="G117" t="inlineStr">
        <is>
          <t>Millbrook</t>
        </is>
      </c>
      <c r="H117" t="inlineStr">
        <is>
          <t>45530</t>
        </is>
      </c>
      <c r="I117" t="inlineStr">
        <is>
          <t>(555) 740-3947</t>
        </is>
      </c>
      <c r="K117" t="inlineStr">
        <is>
          <t>English</t>
        </is>
      </c>
      <c r="L117" t="inlineStr">
        <is>
          <t>PY04</t>
        </is>
      </c>
      <c r="M117" t="inlineStr">
        <is>
          <t>PRV1127</t>
        </is>
      </c>
      <c r="N117" t="n">
        <v>64.3</v>
      </c>
      <c r="O117" t="n">
        <v>140.3</v>
      </c>
      <c r="Q117" s="26" t="n">
        <v>45569</v>
      </c>
    </row>
    <row r="118">
      <c r="A118" t="inlineStr">
        <is>
          <t>PT10936</t>
        </is>
      </c>
      <c r="B118" t="inlineStr">
        <is>
          <t>03342515</t>
        </is>
      </c>
      <c r="C118" t="inlineStr">
        <is>
          <t>Mendoza</t>
        </is>
      </c>
      <c r="D118" t="inlineStr">
        <is>
          <t>Dorothy</t>
        </is>
      </c>
      <c r="E118" t="inlineStr">
        <is>
          <t>F</t>
        </is>
      </c>
      <c r="F118" s="26" t="n">
        <v>35216</v>
      </c>
      <c r="G118" t="inlineStr">
        <is>
          <t>Lakeview Heights</t>
        </is>
      </c>
      <c r="H118" t="inlineStr">
        <is>
          <t>45510</t>
        </is>
      </c>
      <c r="I118" t="inlineStr">
        <is>
          <t>(555) 694-7160</t>
        </is>
      </c>
      <c r="J118" t="inlineStr">
        <is>
          <t>dorothy.mendoza11@example.com</t>
        </is>
      </c>
      <c r="K118" t="inlineStr">
        <is>
          <t>English</t>
        </is>
      </c>
      <c r="L118" t="inlineStr">
        <is>
          <t>PY05</t>
        </is>
      </c>
      <c r="M118" t="inlineStr">
        <is>
          <t>PRV1125</t>
        </is>
      </c>
      <c r="N118" t="n">
        <v>62.9</v>
      </c>
      <c r="O118" t="n">
        <v>118.2</v>
      </c>
      <c r="Q118" s="26" t="n">
        <v>40429</v>
      </c>
    </row>
    <row r="119">
      <c r="A119" t="inlineStr">
        <is>
          <t>PT10944</t>
        </is>
      </c>
      <c r="B119" t="inlineStr">
        <is>
          <t>02595019</t>
        </is>
      </c>
      <c r="C119" t="inlineStr">
        <is>
          <t>Martin</t>
        </is>
      </c>
      <c r="D119" t="inlineStr">
        <is>
          <t>Ruth</t>
        </is>
      </c>
      <c r="E119" t="inlineStr">
        <is>
          <t>F</t>
        </is>
      </c>
      <c r="F119" s="26" t="n">
        <v>42737</v>
      </c>
      <c r="G119" t="inlineStr">
        <is>
          <t>Pine Hollow</t>
        </is>
      </c>
      <c r="H119" t="inlineStr">
        <is>
          <t>45640</t>
        </is>
      </c>
      <c r="I119" t="inlineStr">
        <is>
          <t>(555) 984-0781</t>
        </is>
      </c>
      <c r="K119" t="inlineStr">
        <is>
          <t>English</t>
        </is>
      </c>
      <c r="L119" t="inlineStr">
        <is>
          <t>PY03</t>
        </is>
      </c>
      <c r="M119" t="inlineStr">
        <is>
          <t>PRV1107</t>
        </is>
      </c>
      <c r="N119" t="n">
        <v>41.8</v>
      </c>
      <c r="O119" t="n">
        <v>45.2</v>
      </c>
      <c r="Q119" s="26" t="n">
        <v>45305</v>
      </c>
    </row>
    <row r="120">
      <c r="A120" t="inlineStr">
        <is>
          <t>PT10952</t>
        </is>
      </c>
      <c r="B120" t="inlineStr">
        <is>
          <t>02581523</t>
        </is>
      </c>
      <c r="C120" t="inlineStr">
        <is>
          <t>Stone</t>
        </is>
      </c>
      <c r="D120" t="inlineStr">
        <is>
          <t>Roy</t>
        </is>
      </c>
      <c r="E120" t="inlineStr">
        <is>
          <t>M</t>
        </is>
      </c>
      <c r="F120" s="26" t="n">
        <v>28023</v>
      </c>
      <c r="G120" t="inlineStr">
        <is>
          <t>Pine Hollow</t>
        </is>
      </c>
      <c r="H120" t="inlineStr">
        <is>
          <t>45640</t>
        </is>
      </c>
      <c r="I120" t="inlineStr">
        <is>
          <t>(555) 584-9884</t>
        </is>
      </c>
      <c r="J120" t="inlineStr">
        <is>
          <t>roy.stone18@example.com</t>
        </is>
      </c>
      <c r="K120" t="inlineStr">
        <is>
          <t>English</t>
        </is>
      </c>
      <c r="L120" t="inlineStr">
        <is>
          <t>PY03</t>
        </is>
      </c>
      <c r="M120" t="inlineStr">
        <is>
          <t>PRV1139</t>
        </is>
      </c>
      <c r="N120" t="n">
        <v>71</v>
      </c>
      <c r="O120" t="n">
        <v>197.3</v>
      </c>
      <c r="Q120" s="26" t="n">
        <v>40915</v>
      </c>
    </row>
    <row r="121">
      <c r="A121" t="inlineStr">
        <is>
          <t>PT10960</t>
        </is>
      </c>
      <c r="B121" t="inlineStr">
        <is>
          <t>02723089</t>
        </is>
      </c>
      <c r="C121" t="inlineStr">
        <is>
          <t>Herrera</t>
        </is>
      </c>
      <c r="D121" t="inlineStr">
        <is>
          <t>Harold</t>
        </is>
      </c>
      <c r="E121" t="inlineStr">
        <is>
          <t>M</t>
        </is>
      </c>
      <c r="F121" s="26" t="n">
        <v>43722</v>
      </c>
      <c r="G121" t="inlineStr">
        <is>
          <t>Bluestone</t>
        </is>
      </c>
      <c r="H121" t="inlineStr">
        <is>
          <t>45501</t>
        </is>
      </c>
      <c r="I121" t="inlineStr">
        <is>
          <t>(555) 310-8491</t>
        </is>
      </c>
      <c r="K121" t="inlineStr">
        <is>
          <t>English</t>
        </is>
      </c>
      <c r="L121" t="inlineStr">
        <is>
          <t>PY04</t>
        </is>
      </c>
      <c r="M121" t="inlineStr">
        <is>
          <t>PRV1106</t>
        </is>
      </c>
      <c r="N121" t="n">
        <v>36.3</v>
      </c>
      <c r="O121" t="n">
        <v>40.4</v>
      </c>
      <c r="Q121" s="26" t="n">
        <v>45208</v>
      </c>
    </row>
    <row r="122">
      <c r="A122" t="inlineStr">
        <is>
          <t>PT10968</t>
        </is>
      </c>
      <c r="B122" t="inlineStr">
        <is>
          <t>07427300</t>
        </is>
      </c>
      <c r="C122" t="inlineStr">
        <is>
          <t>Novak</t>
        </is>
      </c>
      <c r="D122" t="inlineStr">
        <is>
          <t>Patricia</t>
        </is>
      </c>
      <c r="E122" t="inlineStr">
        <is>
          <t>F</t>
        </is>
      </c>
      <c r="F122" s="26" t="n">
        <v>17711</v>
      </c>
      <c r="G122" t="inlineStr">
        <is>
          <t>Cedar Ridge</t>
        </is>
      </c>
      <c r="H122" t="inlineStr">
        <is>
          <t>45720</t>
        </is>
      </c>
      <c r="I122" t="inlineStr">
        <is>
          <t>(555) 871-2848</t>
        </is>
      </c>
      <c r="J122" t="inlineStr">
        <is>
          <t>patricia.novak58@example.com</t>
        </is>
      </c>
      <c r="K122" t="inlineStr">
        <is>
          <t>English</t>
        </is>
      </c>
      <c r="L122" t="inlineStr">
        <is>
          <t>PY01</t>
        </is>
      </c>
      <c r="M122" t="inlineStr">
        <is>
          <t>PRV1129</t>
        </is>
      </c>
      <c r="N122" t="n">
        <v>64.3</v>
      </c>
      <c r="O122" t="n">
        <v>112.6</v>
      </c>
      <c r="Q122" s="26" t="n">
        <v>39713</v>
      </c>
    </row>
    <row r="123">
      <c r="A123" t="inlineStr">
        <is>
          <t>PT10976</t>
        </is>
      </c>
      <c r="B123" t="inlineStr">
        <is>
          <t>03838330</t>
        </is>
      </c>
      <c r="C123" t="inlineStr">
        <is>
          <t>Hunter</t>
        </is>
      </c>
      <c r="D123" t="inlineStr">
        <is>
          <t>Ivan</t>
        </is>
      </c>
      <c r="E123" t="inlineStr">
        <is>
          <t>M</t>
        </is>
      </c>
      <c r="F123" s="26" t="n">
        <v>35412</v>
      </c>
      <c r="G123" t="inlineStr">
        <is>
          <t>Oak Glen</t>
        </is>
      </c>
      <c r="H123" t="inlineStr">
        <is>
          <t>45730</t>
        </is>
      </c>
      <c r="I123" t="inlineStr">
        <is>
          <t>(555) 741-0301</t>
        </is>
      </c>
      <c r="K123" t="inlineStr">
        <is>
          <t>English</t>
        </is>
      </c>
      <c r="L123" t="inlineStr">
        <is>
          <t>PY04</t>
        </is>
      </c>
      <c r="M123" t="inlineStr">
        <is>
          <t>PRV1125</t>
        </is>
      </c>
      <c r="N123" t="n">
        <v>65.90000000000001</v>
      </c>
      <c r="O123" t="n">
        <v>156.4</v>
      </c>
      <c r="Q123" s="26" t="n">
        <v>42360</v>
      </c>
    </row>
    <row r="124">
      <c r="A124" t="inlineStr">
        <is>
          <t>PT10984</t>
        </is>
      </c>
      <c r="B124" t="inlineStr">
        <is>
          <t>00655081</t>
        </is>
      </c>
      <c r="C124" t="inlineStr">
        <is>
          <t>White</t>
        </is>
      </c>
      <c r="D124" t="inlineStr">
        <is>
          <t>Melissa</t>
        </is>
      </c>
      <c r="E124" t="inlineStr">
        <is>
          <t>F</t>
        </is>
      </c>
      <c r="F124" s="26" t="n">
        <v>21114</v>
      </c>
      <c r="G124" t="inlineStr">
        <is>
          <t>Bluestone</t>
        </is>
      </c>
      <c r="H124" t="inlineStr">
        <is>
          <t>45502</t>
        </is>
      </c>
      <c r="I124" t="inlineStr">
        <is>
          <t>(555) 744-9020</t>
        </is>
      </c>
      <c r="J124" t="inlineStr">
        <is>
          <t>melissa.white74@example.com</t>
        </is>
      </c>
      <c r="K124" t="inlineStr">
        <is>
          <t>Spanish</t>
        </is>
      </c>
      <c r="L124" t="inlineStr">
        <is>
          <t>PY02</t>
        </is>
      </c>
      <c r="M124" t="inlineStr">
        <is>
          <t>PRV1126</t>
        </is>
      </c>
      <c r="N124" t="n">
        <v>62.2</v>
      </c>
      <c r="O124" t="n">
        <v>222.8</v>
      </c>
      <c r="P124" t="inlineStr">
        <is>
          <t>HTN</t>
        </is>
      </c>
      <c r="Q124" s="26" t="n">
        <v>45073</v>
      </c>
    </row>
    <row r="125">
      <c r="A125" t="inlineStr">
        <is>
          <t>PT10992</t>
        </is>
      </c>
      <c r="B125" t="inlineStr">
        <is>
          <t>02015185</t>
        </is>
      </c>
      <c r="C125" t="inlineStr">
        <is>
          <t>Santos</t>
        </is>
      </c>
      <c r="D125" t="inlineStr">
        <is>
          <t>Brandon</t>
        </is>
      </c>
      <c r="E125" t="inlineStr">
        <is>
          <t>M</t>
        </is>
      </c>
      <c r="F125" s="26" t="n">
        <v>32179</v>
      </c>
      <c r="G125" t="inlineStr">
        <is>
          <t>Cedar Ridge</t>
        </is>
      </c>
      <c r="H125" t="inlineStr">
        <is>
          <t>45720</t>
        </is>
      </c>
      <c r="I125" t="inlineStr">
        <is>
          <t>(555) 263-4633</t>
        </is>
      </c>
      <c r="K125" t="inlineStr">
        <is>
          <t>English</t>
        </is>
      </c>
      <c r="L125" t="inlineStr">
        <is>
          <t>PY03</t>
        </is>
      </c>
      <c r="M125" t="inlineStr">
        <is>
          <t>PRV1137</t>
        </is>
      </c>
      <c r="N125" t="n">
        <v>65.59999999999999</v>
      </c>
      <c r="O125" t="n">
        <v>171.2</v>
      </c>
      <c r="Q125" s="26" t="n">
        <v>45266</v>
      </c>
    </row>
    <row r="126">
      <c r="A126" t="inlineStr">
        <is>
          <t>PT11000</t>
        </is>
      </c>
      <c r="B126" t="inlineStr">
        <is>
          <t>00381216</t>
        </is>
      </c>
      <c r="C126" t="inlineStr">
        <is>
          <t>Spencer</t>
        </is>
      </c>
      <c r="D126" t="inlineStr">
        <is>
          <t>Diego</t>
        </is>
      </c>
      <c r="E126" t="inlineStr">
        <is>
          <t>M</t>
        </is>
      </c>
      <c r="F126" s="26" t="n">
        <v>27270</v>
      </c>
      <c r="G126" t="inlineStr">
        <is>
          <t>Riverbend</t>
        </is>
      </c>
      <c r="H126" t="inlineStr">
        <is>
          <t>45545</t>
        </is>
      </c>
      <c r="I126" t="inlineStr">
        <is>
          <t>(555) 902-0837</t>
        </is>
      </c>
      <c r="J126" t="inlineStr">
        <is>
          <t>diego.spencer4@example.com</t>
        </is>
      </c>
      <c r="K126" t="inlineStr">
        <is>
          <t>English</t>
        </is>
      </c>
      <c r="L126" t="inlineStr">
        <is>
          <t>PY05</t>
        </is>
      </c>
      <c r="M126" t="inlineStr">
        <is>
          <t>PRV1131</t>
        </is>
      </c>
      <c r="N126" t="n">
        <v>70.2</v>
      </c>
      <c r="O126" t="n">
        <v>200</v>
      </c>
      <c r="P126" t="inlineStr">
        <is>
          <t>HTN;ETOH</t>
        </is>
      </c>
      <c r="Q126" s="26" t="n">
        <v>40921</v>
      </c>
    </row>
    <row r="127">
      <c r="A127" t="inlineStr">
        <is>
          <t>PT11008</t>
        </is>
      </c>
      <c r="B127" t="inlineStr">
        <is>
          <t>09760165</t>
        </is>
      </c>
      <c r="C127" t="inlineStr">
        <is>
          <t>Johnson</t>
        </is>
      </c>
      <c r="D127" t="inlineStr">
        <is>
          <t>Denise</t>
        </is>
      </c>
      <c r="E127" t="inlineStr">
        <is>
          <t>F</t>
        </is>
      </c>
      <c r="F127" s="26" t="n">
        <v>33371</v>
      </c>
      <c r="G127" t="inlineStr">
        <is>
          <t>Bluestone</t>
        </is>
      </c>
      <c r="H127" t="inlineStr">
        <is>
          <t>45501</t>
        </is>
      </c>
      <c r="I127" t="inlineStr">
        <is>
          <t>(555) 379-4544</t>
        </is>
      </c>
      <c r="J127" t="inlineStr">
        <is>
          <t>denise.johnson31@example.com</t>
        </is>
      </c>
      <c r="K127" t="inlineStr">
        <is>
          <t>English</t>
        </is>
      </c>
      <c r="L127" t="inlineStr">
        <is>
          <t>PY03</t>
        </is>
      </c>
      <c r="M127" t="inlineStr">
        <is>
          <t>PRV1140</t>
        </is>
      </c>
      <c r="N127" t="n">
        <v>66</v>
      </c>
      <c r="O127" t="n">
        <v>156.5</v>
      </c>
      <c r="Q127" s="26" t="n">
        <v>41317</v>
      </c>
    </row>
    <row r="128">
      <c r="A128" t="inlineStr">
        <is>
          <t>PT11016</t>
        </is>
      </c>
      <c r="B128" t="inlineStr">
        <is>
          <t>08120728</t>
        </is>
      </c>
      <c r="C128" t="inlineStr">
        <is>
          <t>Gonzales</t>
        </is>
      </c>
      <c r="D128" t="inlineStr">
        <is>
          <t>Hannah</t>
        </is>
      </c>
      <c r="E128" t="inlineStr">
        <is>
          <t>F</t>
        </is>
      </c>
      <c r="F128" s="26" t="n">
        <v>23317</v>
      </c>
      <c r="G128" t="inlineStr">
        <is>
          <t>Bluestone</t>
        </is>
      </c>
      <c r="H128" t="inlineStr">
        <is>
          <t>45502</t>
        </is>
      </c>
      <c r="I128" t="inlineStr">
        <is>
          <t>(555) 439-6418</t>
        </is>
      </c>
      <c r="J128" t="inlineStr">
        <is>
          <t>hannah.gonzales33@example.com</t>
        </is>
      </c>
      <c r="K128" t="inlineStr">
        <is>
          <t>English</t>
        </is>
      </c>
      <c r="L128" t="inlineStr">
        <is>
          <t>PY04</t>
        </is>
      </c>
      <c r="M128" t="inlineStr">
        <is>
          <t>PRV1125</t>
        </is>
      </c>
      <c r="N128" t="n">
        <v>66</v>
      </c>
      <c r="O128" t="n">
        <v>119.4</v>
      </c>
      <c r="P128" t="inlineStr">
        <is>
          <t>PSYCH</t>
        </is>
      </c>
      <c r="Q128" s="26" t="n">
        <v>45350</v>
      </c>
    </row>
    <row r="129">
      <c r="A129" t="inlineStr">
        <is>
          <t>PT11024</t>
        </is>
      </c>
      <c r="B129" t="inlineStr">
        <is>
          <t>05192241</t>
        </is>
      </c>
      <c r="C129" t="inlineStr">
        <is>
          <t>Nguyen</t>
        </is>
      </c>
      <c r="D129" t="inlineStr">
        <is>
          <t>Jacob</t>
        </is>
      </c>
      <c r="E129" t="inlineStr">
        <is>
          <t>M</t>
        </is>
      </c>
      <c r="F129" s="26" t="n">
        <v>24520</v>
      </c>
      <c r="G129" t="inlineStr">
        <is>
          <t>Riverbend</t>
        </is>
      </c>
      <c r="H129" t="inlineStr">
        <is>
          <t>45545</t>
        </is>
      </c>
      <c r="I129" t="inlineStr">
        <is>
          <t>(555) 704-2601</t>
        </is>
      </c>
      <c r="J129" t="inlineStr">
        <is>
          <t>jacob.nguyen35@example.com</t>
        </is>
      </c>
      <c r="K129" t="inlineStr">
        <is>
          <t>English</t>
        </is>
      </c>
      <c r="L129" t="inlineStr">
        <is>
          <t>PY05</t>
        </is>
      </c>
      <c r="N129" t="n">
        <v>66.09999999999999</v>
      </c>
      <c r="O129" t="n">
        <v>191.2</v>
      </c>
      <c r="P129" t="inlineStr">
        <is>
          <t>HTN;CKD;ETOH</t>
        </is>
      </c>
      <c r="Q129" s="26" t="n">
        <v>42703</v>
      </c>
    </row>
    <row r="130">
      <c r="A130" t="inlineStr">
        <is>
          <t>PT11032</t>
        </is>
      </c>
      <c r="B130" t="inlineStr">
        <is>
          <t>08920730</t>
        </is>
      </c>
      <c r="C130" t="inlineStr">
        <is>
          <t>Matthews</t>
        </is>
      </c>
      <c r="D130" t="inlineStr">
        <is>
          <t>Thomas</t>
        </is>
      </c>
      <c r="E130" t="inlineStr">
        <is>
          <t>M</t>
        </is>
      </c>
      <c r="F130" s="26" t="n">
        <v>43447</v>
      </c>
      <c r="G130" t="inlineStr">
        <is>
          <t>Bluestone</t>
        </is>
      </c>
      <c r="H130" t="inlineStr">
        <is>
          <t>45502</t>
        </is>
      </c>
      <c r="I130" t="inlineStr">
        <is>
          <t>(555) 530-9211</t>
        </is>
      </c>
      <c r="K130" t="inlineStr">
        <is>
          <t>English</t>
        </is>
      </c>
      <c r="L130" t="inlineStr">
        <is>
          <t>PY03</t>
        </is>
      </c>
      <c r="M130" t="inlineStr">
        <is>
          <t>PRV1106</t>
        </is>
      </c>
      <c r="N130" t="n">
        <v>39.1</v>
      </c>
      <c r="O130" t="n">
        <v>38.8</v>
      </c>
      <c r="Q130" s="26" t="n">
        <v>45233</v>
      </c>
    </row>
    <row r="131">
      <c r="A131" t="inlineStr">
        <is>
          <t>PT11040</t>
        </is>
      </c>
      <c r="B131" t="inlineStr">
        <is>
          <t>02666800</t>
        </is>
      </c>
      <c r="C131" t="inlineStr">
        <is>
          <t>Ramirez</t>
        </is>
      </c>
      <c r="D131" t="inlineStr">
        <is>
          <t>Cynthia</t>
        </is>
      </c>
      <c r="E131" t="inlineStr">
        <is>
          <t>F</t>
        </is>
      </c>
      <c r="F131" s="26" t="n">
        <v>14360</v>
      </c>
      <c r="G131" t="inlineStr">
        <is>
          <t>Bluestone</t>
        </is>
      </c>
      <c r="H131" t="inlineStr">
        <is>
          <t>45502</t>
        </is>
      </c>
      <c r="I131" t="inlineStr">
        <is>
          <t>(555) 924-6807</t>
        </is>
      </c>
      <c r="K131" t="inlineStr">
        <is>
          <t>English</t>
        </is>
      </c>
      <c r="L131" t="inlineStr">
        <is>
          <t>PY02</t>
        </is>
      </c>
      <c r="M131" t="inlineStr">
        <is>
          <t>PRV1127</t>
        </is>
      </c>
      <c r="N131" t="n">
        <v>67.59999999999999</v>
      </c>
      <c r="O131" t="n">
        <v>202</v>
      </c>
      <c r="P131" t="inlineStr">
        <is>
          <t>HTN</t>
        </is>
      </c>
      <c r="Q131" s="26" t="n">
        <v>41219</v>
      </c>
    </row>
    <row r="132">
      <c r="A132" t="inlineStr">
        <is>
          <t>PT11048</t>
        </is>
      </c>
      <c r="B132" t="inlineStr">
        <is>
          <t>09182588</t>
        </is>
      </c>
      <c r="C132" t="inlineStr">
        <is>
          <t>Crawford</t>
        </is>
      </c>
      <c r="D132" t="inlineStr">
        <is>
          <t>Amina</t>
        </is>
      </c>
      <c r="E132" t="inlineStr">
        <is>
          <t>F</t>
        </is>
      </c>
      <c r="F132" s="26" t="n">
        <v>35099</v>
      </c>
      <c r="G132" t="inlineStr">
        <is>
          <t>Bluestone</t>
        </is>
      </c>
      <c r="H132" t="inlineStr">
        <is>
          <t>45503</t>
        </is>
      </c>
      <c r="I132" t="inlineStr">
        <is>
          <t>(555) 802-3659</t>
        </is>
      </c>
      <c r="K132" t="inlineStr">
        <is>
          <t>English</t>
        </is>
      </c>
      <c r="L132" t="inlineStr">
        <is>
          <t>PY05</t>
        </is>
      </c>
      <c r="M132" t="inlineStr">
        <is>
          <t>PRV1127</t>
        </is>
      </c>
      <c r="N132" t="n">
        <v>63.2</v>
      </c>
      <c r="O132" t="n">
        <v>177</v>
      </c>
      <c r="Q132" s="26" t="n">
        <v>40486</v>
      </c>
    </row>
    <row r="133">
      <c r="A133" t="inlineStr">
        <is>
          <t>PT11056</t>
        </is>
      </c>
      <c r="B133" t="inlineStr">
        <is>
          <t>02574309</t>
        </is>
      </c>
      <c r="C133" t="inlineStr">
        <is>
          <t>Reynolds</t>
        </is>
      </c>
      <c r="D133" t="inlineStr">
        <is>
          <t>Philip</t>
        </is>
      </c>
      <c r="E133" t="inlineStr">
        <is>
          <t>M</t>
        </is>
      </c>
      <c r="F133" s="26" t="n">
        <v>45439</v>
      </c>
      <c r="G133" t="inlineStr">
        <is>
          <t>Fairhaven</t>
        </is>
      </c>
      <c r="H133" t="inlineStr">
        <is>
          <t>45620</t>
        </is>
      </c>
      <c r="I133" t="inlineStr">
        <is>
          <t>(555) 771-4073</t>
        </is>
      </c>
      <c r="K133" t="inlineStr">
        <is>
          <t>English</t>
        </is>
      </c>
      <c r="L133" t="inlineStr">
        <is>
          <t>PY04</t>
        </is>
      </c>
      <c r="M133" t="inlineStr">
        <is>
          <t>PRV1104</t>
        </is>
      </c>
      <c r="N133" t="n">
        <v>23.2</v>
      </c>
      <c r="O133" t="n">
        <v>13.5</v>
      </c>
      <c r="Q133" s="26" t="n">
        <v>45323</v>
      </c>
    </row>
    <row r="134">
      <c r="A134" t="inlineStr">
        <is>
          <t>PT11064</t>
        </is>
      </c>
      <c r="B134" t="inlineStr">
        <is>
          <t>07219071</t>
        </is>
      </c>
      <c r="C134" t="inlineStr">
        <is>
          <t>Garcia</t>
        </is>
      </c>
      <c r="D134" t="inlineStr">
        <is>
          <t>Diana</t>
        </is>
      </c>
      <c r="E134" t="inlineStr">
        <is>
          <t>F</t>
        </is>
      </c>
      <c r="F134" s="26" t="n">
        <v>13304</v>
      </c>
      <c r="G134" t="inlineStr">
        <is>
          <t>Bluestone</t>
        </is>
      </c>
      <c r="H134" t="inlineStr">
        <is>
          <t>45502</t>
        </is>
      </c>
      <c r="I134" t="inlineStr">
        <is>
          <t>(555) 681-0859</t>
        </is>
      </c>
      <c r="K134" t="inlineStr">
        <is>
          <t>Somali</t>
        </is>
      </c>
      <c r="L134" t="inlineStr">
        <is>
          <t>PY04</t>
        </is>
      </c>
      <c r="M134" t="inlineStr">
        <is>
          <t>PRV1128</t>
        </is>
      </c>
      <c r="N134" t="n">
        <v>60.6</v>
      </c>
      <c r="O134" t="n">
        <v>115.8</v>
      </c>
      <c r="P134" t="inlineStr">
        <is>
          <t>HTN;COPD;AFIB;CKD</t>
        </is>
      </c>
      <c r="Q134" s="26" t="n">
        <v>41041</v>
      </c>
    </row>
    <row r="135">
      <c r="A135" t="inlineStr">
        <is>
          <t>PT11072</t>
        </is>
      </c>
      <c r="B135" t="inlineStr">
        <is>
          <t>09887818</t>
        </is>
      </c>
      <c r="C135" t="inlineStr">
        <is>
          <t>Ramos</t>
        </is>
      </c>
      <c r="D135" t="inlineStr">
        <is>
          <t>Sean</t>
        </is>
      </c>
      <c r="E135" t="inlineStr">
        <is>
          <t>M</t>
        </is>
      </c>
      <c r="F135" s="26" t="n">
        <v>28049</v>
      </c>
      <c r="G135" t="inlineStr">
        <is>
          <t>Lakeview Heights</t>
        </is>
      </c>
      <c r="H135" t="inlineStr">
        <is>
          <t>45510</t>
        </is>
      </c>
      <c r="I135" t="inlineStr">
        <is>
          <t>(555) 898-3028</t>
        </is>
      </c>
      <c r="J135" t="inlineStr">
        <is>
          <t>sean.ramos84@example.com</t>
        </is>
      </c>
      <c r="K135" t="inlineStr">
        <is>
          <t>English</t>
        </is>
      </c>
      <c r="L135" t="inlineStr">
        <is>
          <t>PY06</t>
        </is>
      </c>
      <c r="M135" t="inlineStr">
        <is>
          <t>PRV1130</t>
        </is>
      </c>
      <c r="N135" t="n">
        <v>73.40000000000001</v>
      </c>
      <c r="O135" t="n">
        <v>179.8</v>
      </c>
      <c r="Q135" s="26" t="n">
        <v>45307</v>
      </c>
    </row>
    <row r="136">
      <c r="A136" t="inlineStr">
        <is>
          <t>PT11080</t>
        </is>
      </c>
      <c r="B136" t="inlineStr">
        <is>
          <t>05301015</t>
        </is>
      </c>
      <c r="C136" t="inlineStr">
        <is>
          <t>Andrews</t>
        </is>
      </c>
      <c r="D136" t="inlineStr">
        <is>
          <t>Priya</t>
        </is>
      </c>
      <c r="E136" t="inlineStr">
        <is>
          <t>F</t>
        </is>
      </c>
      <c r="F136" s="26" t="n">
        <v>9534</v>
      </c>
      <c r="G136" t="inlineStr">
        <is>
          <t>Bluestone</t>
        </is>
      </c>
      <c r="H136" t="inlineStr">
        <is>
          <t>45501</t>
        </is>
      </c>
      <c r="I136" t="inlineStr">
        <is>
          <t>(555) 276-8176</t>
        </is>
      </c>
      <c r="J136" t="inlineStr">
        <is>
          <t>priya.andrews54@example.com</t>
        </is>
      </c>
      <c r="K136" t="inlineStr">
        <is>
          <t>English</t>
        </is>
      </c>
      <c r="L136" t="inlineStr">
        <is>
          <t>PY01</t>
        </is>
      </c>
      <c r="N136" t="n">
        <v>63.6</v>
      </c>
      <c r="O136" t="n">
        <v>119.7</v>
      </c>
      <c r="P136" t="inlineStr">
        <is>
          <t>HTN</t>
        </is>
      </c>
      <c r="Q136" s="26" t="n">
        <v>41956</v>
      </c>
    </row>
    <row r="137">
      <c r="A137" t="inlineStr">
        <is>
          <t>PT11088</t>
        </is>
      </c>
      <c r="B137" t="inlineStr">
        <is>
          <t>07740106</t>
        </is>
      </c>
      <c r="C137" t="inlineStr">
        <is>
          <t>Parker</t>
        </is>
      </c>
      <c r="D137" t="inlineStr">
        <is>
          <t>Walter</t>
        </is>
      </c>
      <c r="E137" t="inlineStr">
        <is>
          <t>M</t>
        </is>
      </c>
      <c r="F137" s="26" t="n">
        <v>24334</v>
      </c>
      <c r="G137" t="inlineStr">
        <is>
          <t>Pine Hollow</t>
        </is>
      </c>
      <c r="H137" t="inlineStr">
        <is>
          <t>45640</t>
        </is>
      </c>
      <c r="I137" t="inlineStr">
        <is>
          <t>(555) 658-7079</t>
        </is>
      </c>
      <c r="J137" t="inlineStr">
        <is>
          <t>walter.parker33@example.com</t>
        </is>
      </c>
      <c r="K137" t="inlineStr">
        <is>
          <t>English</t>
        </is>
      </c>
      <c r="L137" t="inlineStr">
        <is>
          <t>PY04</t>
        </is>
      </c>
      <c r="M137" t="inlineStr">
        <is>
          <t>PRV1130</t>
        </is>
      </c>
      <c r="N137" t="n">
        <v>69</v>
      </c>
      <c r="O137" t="n">
        <v>247.9</v>
      </c>
      <c r="P137" t="inlineStr">
        <is>
          <t>DM</t>
        </is>
      </c>
      <c r="Q137" s="26" t="n">
        <v>45447</v>
      </c>
    </row>
    <row r="138">
      <c r="A138" t="inlineStr">
        <is>
          <t>PT11096</t>
        </is>
      </c>
      <c r="B138" t="inlineStr">
        <is>
          <t>01944499</t>
        </is>
      </c>
      <c r="C138" t="inlineStr">
        <is>
          <t>Ortiz</t>
        </is>
      </c>
      <c r="D138" t="inlineStr">
        <is>
          <t>Alexander</t>
        </is>
      </c>
      <c r="E138" t="inlineStr">
        <is>
          <t>M</t>
        </is>
      </c>
      <c r="F138" s="26" t="n">
        <v>16545</v>
      </c>
      <c r="G138" t="inlineStr">
        <is>
          <t>Bluestone</t>
        </is>
      </c>
      <c r="H138" t="inlineStr">
        <is>
          <t>45502</t>
        </is>
      </c>
      <c r="I138" t="inlineStr">
        <is>
          <t>(555) 283-8029</t>
        </is>
      </c>
      <c r="J138" t="inlineStr">
        <is>
          <t>alexander.ortiz1@example.com</t>
        </is>
      </c>
      <c r="K138" t="inlineStr">
        <is>
          <t>English</t>
        </is>
      </c>
      <c r="L138" t="inlineStr">
        <is>
          <t>PY01</t>
        </is>
      </c>
      <c r="N138" t="n">
        <v>70.09999999999999</v>
      </c>
      <c r="O138" t="n">
        <v>197.1</v>
      </c>
      <c r="P138" t="inlineStr">
        <is>
          <t>HTN;AFIB;SEIZURE</t>
        </is>
      </c>
      <c r="Q138" s="26" t="n">
        <v>43353</v>
      </c>
    </row>
    <row r="139">
      <c r="A139" t="inlineStr">
        <is>
          <t>PT11104</t>
        </is>
      </c>
      <c r="B139" t="inlineStr">
        <is>
          <t>09184498</t>
        </is>
      </c>
      <c r="C139" t="inlineStr">
        <is>
          <t>Anderson</t>
        </is>
      </c>
      <c r="D139" t="inlineStr">
        <is>
          <t>Elizabeth</t>
        </is>
      </c>
      <c r="E139" t="inlineStr">
        <is>
          <t>F</t>
        </is>
      </c>
      <c r="F139" s="26" t="n">
        <v>21583</v>
      </c>
      <c r="G139" t="inlineStr">
        <is>
          <t>Granite Springs</t>
        </is>
      </c>
      <c r="H139" t="inlineStr">
        <is>
          <t>45750</t>
        </is>
      </c>
      <c r="I139" t="inlineStr">
        <is>
          <t>(555) 317-9683</t>
        </is>
      </c>
      <c r="J139" t="inlineStr">
        <is>
          <t>elizabeth.anderson82@example.com</t>
        </is>
      </c>
      <c r="K139" t="inlineStr">
        <is>
          <t>English</t>
        </is>
      </c>
      <c r="L139" t="inlineStr">
        <is>
          <t>PY01</t>
        </is>
      </c>
      <c r="M139" t="inlineStr">
        <is>
          <t>PRV1130</t>
        </is>
      </c>
      <c r="N139" t="n">
        <v>59</v>
      </c>
      <c r="O139" t="n">
        <v>141.6</v>
      </c>
      <c r="P139" t="inlineStr">
        <is>
          <t>HTN;OA</t>
        </is>
      </c>
      <c r="Q139" s="26" t="n">
        <v>44686</v>
      </c>
    </row>
    <row r="140">
      <c r="A140" t="inlineStr">
        <is>
          <t>PT11112</t>
        </is>
      </c>
      <c r="B140" t="inlineStr">
        <is>
          <t>05271904</t>
        </is>
      </c>
      <c r="C140" t="inlineStr">
        <is>
          <t>Kennedy</t>
        </is>
      </c>
      <c r="D140" t="inlineStr">
        <is>
          <t>Larry</t>
        </is>
      </c>
      <c r="E140" t="inlineStr">
        <is>
          <t>M</t>
        </is>
      </c>
      <c r="F140" s="26" t="n">
        <v>34782</v>
      </c>
      <c r="G140" t="inlineStr">
        <is>
          <t>Bluestone</t>
        </is>
      </c>
      <c r="H140" t="inlineStr">
        <is>
          <t>45501</t>
        </is>
      </c>
      <c r="I140" t="inlineStr">
        <is>
          <t>(555) 645-4182</t>
        </is>
      </c>
      <c r="K140" t="inlineStr">
        <is>
          <t>English</t>
        </is>
      </c>
      <c r="L140" t="inlineStr">
        <is>
          <t>PY06</t>
        </is>
      </c>
      <c r="M140" t="inlineStr">
        <is>
          <t>PRV1136</t>
        </is>
      </c>
      <c r="N140" t="n">
        <v>69.5</v>
      </c>
      <c r="O140" t="n">
        <v>215.7</v>
      </c>
      <c r="P140" t="inlineStr">
        <is>
          <t>PSYCH</t>
        </is>
      </c>
      <c r="Q140" s="26" t="n">
        <v>45375</v>
      </c>
    </row>
    <row r="141">
      <c r="A141" t="inlineStr">
        <is>
          <t>PT11120</t>
        </is>
      </c>
      <c r="B141" t="inlineStr">
        <is>
          <t>04887094</t>
        </is>
      </c>
      <c r="C141" t="inlineStr">
        <is>
          <t>Walker</t>
        </is>
      </c>
      <c r="D141" t="inlineStr">
        <is>
          <t>Jesse</t>
        </is>
      </c>
      <c r="E141" t="inlineStr">
        <is>
          <t>M</t>
        </is>
      </c>
      <c r="F141" s="26" t="n">
        <v>43637</v>
      </c>
      <c r="G141" t="inlineStr">
        <is>
          <t>Bluestone</t>
        </is>
      </c>
      <c r="H141" t="inlineStr">
        <is>
          <t>45502</t>
        </is>
      </c>
      <c r="I141" t="inlineStr">
        <is>
          <t>(555) 696-9600</t>
        </is>
      </c>
      <c r="K141" t="inlineStr">
        <is>
          <t>English</t>
        </is>
      </c>
      <c r="L141" t="inlineStr">
        <is>
          <t>PY05</t>
        </is>
      </c>
      <c r="M141" t="inlineStr">
        <is>
          <t>PRV1108</t>
        </is>
      </c>
      <c r="N141" t="n">
        <v>36.1</v>
      </c>
      <c r="O141" t="n">
        <v>35.3</v>
      </c>
      <c r="Q141" s="26" t="n">
        <v>44978</v>
      </c>
    </row>
    <row r="142">
      <c r="A142" t="inlineStr">
        <is>
          <t>PT11128</t>
        </is>
      </c>
      <c r="B142" t="inlineStr">
        <is>
          <t>06992853</t>
        </is>
      </c>
      <c r="C142" t="inlineStr">
        <is>
          <t>Pierce</t>
        </is>
      </c>
      <c r="D142" t="inlineStr">
        <is>
          <t>Nancy</t>
        </is>
      </c>
      <c r="E142" t="inlineStr">
        <is>
          <t>F</t>
        </is>
      </c>
      <c r="F142" s="26" t="n">
        <v>39363</v>
      </c>
      <c r="G142" t="inlineStr">
        <is>
          <t>Cedar Ridge</t>
        </is>
      </c>
      <c r="H142" t="inlineStr">
        <is>
          <t>45720</t>
        </is>
      </c>
      <c r="I142" t="inlineStr">
        <is>
          <t>(555) 516-9142</t>
        </is>
      </c>
      <c r="K142" t="inlineStr">
        <is>
          <t>English</t>
        </is>
      </c>
      <c r="L142" t="inlineStr">
        <is>
          <t>PY04</t>
        </is>
      </c>
      <c r="M142" t="inlineStr">
        <is>
          <t>PRV1129</t>
        </is>
      </c>
      <c r="N142" t="n">
        <v>62.9</v>
      </c>
      <c r="O142" t="n">
        <v>177</v>
      </c>
      <c r="Q142" s="26" t="n">
        <v>43767</v>
      </c>
    </row>
    <row r="143">
      <c r="A143" t="inlineStr">
        <is>
          <t>PT11136</t>
        </is>
      </c>
      <c r="B143" t="inlineStr">
        <is>
          <t>08229643</t>
        </is>
      </c>
      <c r="C143" t="inlineStr">
        <is>
          <t>Spencer</t>
        </is>
      </c>
      <c r="D143" t="inlineStr">
        <is>
          <t>Kyle</t>
        </is>
      </c>
      <c r="E143" t="inlineStr">
        <is>
          <t>M</t>
        </is>
      </c>
      <c r="F143" s="26" t="n">
        <v>16750</v>
      </c>
      <c r="G143" t="inlineStr">
        <is>
          <t>Cedar Ridge</t>
        </is>
      </c>
      <c r="H143" t="inlineStr">
        <is>
          <t>45720</t>
        </is>
      </c>
      <c r="I143" t="inlineStr">
        <is>
          <t>(555) 662-0533</t>
        </is>
      </c>
      <c r="J143" t="inlineStr">
        <is>
          <t>kyle.spencer30@example.com</t>
        </is>
      </c>
      <c r="K143" t="inlineStr">
        <is>
          <t>English</t>
        </is>
      </c>
      <c r="L143" t="inlineStr">
        <is>
          <t>PY03</t>
        </is>
      </c>
      <c r="M143" t="inlineStr">
        <is>
          <t>PRV1136</t>
        </is>
      </c>
      <c r="N143" t="n">
        <v>67.90000000000001</v>
      </c>
      <c r="O143" t="n">
        <v>181.3</v>
      </c>
      <c r="Q143" s="26" t="n">
        <v>44321</v>
      </c>
    </row>
    <row r="144">
      <c r="A144" t="inlineStr">
        <is>
          <t>PT11144</t>
        </is>
      </c>
      <c r="B144" t="inlineStr">
        <is>
          <t>09181706</t>
        </is>
      </c>
      <c r="C144" t="inlineStr">
        <is>
          <t>Kelley</t>
        </is>
      </c>
      <c r="D144" t="inlineStr">
        <is>
          <t>Harper</t>
        </is>
      </c>
      <c r="E144" t="inlineStr">
        <is>
          <t>F</t>
        </is>
      </c>
      <c r="F144" s="26" t="n">
        <v>44319</v>
      </c>
      <c r="G144" t="inlineStr">
        <is>
          <t>Bluestone</t>
        </is>
      </c>
      <c r="H144" t="inlineStr">
        <is>
          <t>45501</t>
        </is>
      </c>
      <c r="I144" t="inlineStr">
        <is>
          <t>(555) 200-4153</t>
        </is>
      </c>
      <c r="K144" t="inlineStr">
        <is>
          <t>English</t>
        </is>
      </c>
      <c r="L144" t="inlineStr">
        <is>
          <t>PY05</t>
        </is>
      </c>
      <c r="M144" t="inlineStr">
        <is>
          <t>PRV1105</t>
        </is>
      </c>
      <c r="N144" t="n">
        <v>29.4</v>
      </c>
      <c r="O144" t="n">
        <v>21.5</v>
      </c>
      <c r="Q144" s="26" t="n">
        <v>44649</v>
      </c>
    </row>
    <row r="145">
      <c r="A145" t="inlineStr">
        <is>
          <t>PT11152</t>
        </is>
      </c>
      <c r="B145" t="inlineStr">
        <is>
          <t>03897539</t>
        </is>
      </c>
      <c r="C145" t="inlineStr">
        <is>
          <t>Hart</t>
        </is>
      </c>
      <c r="D145" t="inlineStr">
        <is>
          <t>Jordan</t>
        </is>
      </c>
      <c r="E145" t="inlineStr">
        <is>
          <t>M</t>
        </is>
      </c>
      <c r="F145" s="26" t="n">
        <v>25460</v>
      </c>
      <c r="G145" t="inlineStr">
        <is>
          <t>Granite Springs</t>
        </is>
      </c>
      <c r="H145" t="inlineStr">
        <is>
          <t>45750</t>
        </is>
      </c>
      <c r="I145" t="inlineStr">
        <is>
          <t>(555) 648-6784</t>
        </is>
      </c>
      <c r="J145" t="inlineStr">
        <is>
          <t>jordan.hart74@example.com</t>
        </is>
      </c>
      <c r="K145" t="inlineStr">
        <is>
          <t>English</t>
        </is>
      </c>
      <c r="L145" t="inlineStr">
        <is>
          <t>PY03</t>
        </is>
      </c>
      <c r="M145" t="inlineStr">
        <is>
          <t>PRV1138</t>
        </is>
      </c>
      <c r="N145" t="n">
        <v>65.7</v>
      </c>
      <c r="O145" t="n">
        <v>202.8</v>
      </c>
      <c r="P145" t="inlineStr">
        <is>
          <t>HTN</t>
        </is>
      </c>
      <c r="Q145" s="26" t="n">
        <v>43297</v>
      </c>
    </row>
    <row r="146">
      <c r="A146" t="inlineStr">
        <is>
          <t>PT11160</t>
        </is>
      </c>
      <c r="B146" t="inlineStr">
        <is>
          <t>03533189</t>
        </is>
      </c>
      <c r="C146" t="inlineStr">
        <is>
          <t>Holmes</t>
        </is>
      </c>
      <c r="D146" t="inlineStr">
        <is>
          <t>Evelyn</t>
        </is>
      </c>
      <c r="E146" t="inlineStr">
        <is>
          <t>F</t>
        </is>
      </c>
      <c r="F146" s="26" t="n">
        <v>13597</v>
      </c>
      <c r="G146" t="inlineStr">
        <is>
          <t>Millbrook</t>
        </is>
      </c>
      <c r="H146" t="inlineStr">
        <is>
          <t>45530</t>
        </is>
      </c>
      <c r="I146" t="inlineStr">
        <is>
          <t>(555) 914-2417</t>
        </is>
      </c>
      <c r="J146" t="inlineStr">
        <is>
          <t>evelyn.holmes18@example.com</t>
        </is>
      </c>
      <c r="K146" t="inlineStr">
        <is>
          <t>English</t>
        </is>
      </c>
      <c r="L146" t="inlineStr">
        <is>
          <t>PY02</t>
        </is>
      </c>
      <c r="M146" t="inlineStr">
        <is>
          <t>PRV1139</t>
        </is>
      </c>
      <c r="N146" t="n">
        <v>63.2</v>
      </c>
      <c r="O146" t="n">
        <v>185.4</v>
      </c>
      <c r="Q146" s="26" t="n">
        <v>42944</v>
      </c>
    </row>
    <row r="147">
      <c r="A147" t="inlineStr">
        <is>
          <t>PT11168</t>
        </is>
      </c>
      <c r="B147" t="inlineStr">
        <is>
          <t>08597215</t>
        </is>
      </c>
      <c r="C147" t="inlineStr">
        <is>
          <t>Morgan</t>
        </is>
      </c>
      <c r="D147" t="inlineStr">
        <is>
          <t>Christian</t>
        </is>
      </c>
      <c r="E147" t="inlineStr">
        <is>
          <t>M</t>
        </is>
      </c>
      <c r="F147" s="26" t="n">
        <v>23125</v>
      </c>
      <c r="G147" t="inlineStr">
        <is>
          <t>Cedar Ridge</t>
        </is>
      </c>
      <c r="H147" t="inlineStr">
        <is>
          <t>45720</t>
        </is>
      </c>
      <c r="I147" t="inlineStr">
        <is>
          <t>(555) 576-9844</t>
        </is>
      </c>
      <c r="J147" t="inlineStr">
        <is>
          <t>christian.morgan49@example.com</t>
        </is>
      </c>
      <c r="K147" t="inlineStr">
        <is>
          <t>English</t>
        </is>
      </c>
      <c r="L147" t="inlineStr">
        <is>
          <t>PY01</t>
        </is>
      </c>
      <c r="M147" t="inlineStr">
        <is>
          <t>PRV1135</t>
        </is>
      </c>
      <c r="N147" t="n">
        <v>71.90000000000001</v>
      </c>
      <c r="O147" t="n">
        <v>212.4</v>
      </c>
      <c r="P147" t="inlineStr">
        <is>
          <t>HTN</t>
        </is>
      </c>
      <c r="Q147" s="26" t="n">
        <v>44715</v>
      </c>
    </row>
    <row r="148">
      <c r="A148" t="inlineStr">
        <is>
          <t>PT11176</t>
        </is>
      </c>
      <c r="B148" t="inlineStr">
        <is>
          <t>08501992</t>
        </is>
      </c>
      <c r="C148" t="inlineStr">
        <is>
          <t>Lewis</t>
        </is>
      </c>
      <c r="D148" t="inlineStr">
        <is>
          <t>Katherine</t>
        </is>
      </c>
      <c r="E148" t="inlineStr">
        <is>
          <t>F</t>
        </is>
      </c>
      <c r="F148" s="26" t="n">
        <v>19150</v>
      </c>
      <c r="G148" t="inlineStr">
        <is>
          <t>Bluestone</t>
        </is>
      </c>
      <c r="H148" t="inlineStr">
        <is>
          <t>45501</t>
        </is>
      </c>
      <c r="I148" t="inlineStr">
        <is>
          <t>(555) 451-4073</t>
        </is>
      </c>
      <c r="J148" t="inlineStr">
        <is>
          <t>katherine.lewis14@example.com</t>
        </is>
      </c>
      <c r="K148" t="inlineStr">
        <is>
          <t>English</t>
        </is>
      </c>
      <c r="L148" t="inlineStr">
        <is>
          <t>PY01</t>
        </is>
      </c>
      <c r="M148" t="inlineStr">
        <is>
          <t>PRV1138</t>
        </is>
      </c>
      <c r="N148" t="n">
        <v>68.7</v>
      </c>
      <c r="O148" t="n">
        <v>173.9</v>
      </c>
      <c r="P148" t="inlineStr">
        <is>
          <t>DM;PSYCH</t>
        </is>
      </c>
      <c r="Q148" s="26" t="n">
        <v>41749</v>
      </c>
    </row>
    <row r="149">
      <c r="A149" t="inlineStr">
        <is>
          <t>PT11184</t>
        </is>
      </c>
      <c r="B149" t="inlineStr">
        <is>
          <t>00887342</t>
        </is>
      </c>
      <c r="C149" t="inlineStr">
        <is>
          <t>Myers</t>
        </is>
      </c>
      <c r="D149" t="inlineStr">
        <is>
          <t>Kenneth</t>
        </is>
      </c>
      <c r="E149" t="inlineStr">
        <is>
          <t>M</t>
        </is>
      </c>
      <c r="F149" s="26" t="n">
        <v>34111</v>
      </c>
      <c r="G149" t="inlineStr">
        <is>
          <t>Ashby Falls</t>
        </is>
      </c>
      <c r="H149" t="inlineStr">
        <is>
          <t>45610</t>
        </is>
      </c>
      <c r="I149" t="inlineStr">
        <is>
          <t>(555) 364-1293</t>
        </is>
      </c>
      <c r="K149" t="inlineStr">
        <is>
          <t>English</t>
        </is>
      </c>
      <c r="L149" t="inlineStr">
        <is>
          <t>PY07</t>
        </is>
      </c>
      <c r="M149" t="inlineStr">
        <is>
          <t>PRV1133</t>
        </is>
      </c>
      <c r="N149" t="n">
        <v>68.3</v>
      </c>
      <c r="O149" t="n">
        <v>149.1</v>
      </c>
      <c r="P149" t="inlineStr">
        <is>
          <t>PSYCH</t>
        </is>
      </c>
      <c r="Q149" s="26" t="n">
        <v>43911</v>
      </c>
    </row>
    <row r="150">
      <c r="A150" t="inlineStr">
        <is>
          <t>PT11192</t>
        </is>
      </c>
      <c r="B150" t="inlineStr">
        <is>
          <t>00599467</t>
        </is>
      </c>
      <c r="C150" t="inlineStr">
        <is>
          <t>Stewart</t>
        </is>
      </c>
      <c r="D150" t="inlineStr">
        <is>
          <t>Dylan</t>
        </is>
      </c>
      <c r="E150" t="inlineStr">
        <is>
          <t>M</t>
        </is>
      </c>
      <c r="F150" s="26" t="n">
        <v>23699</v>
      </c>
      <c r="G150" t="inlineStr">
        <is>
          <t>Ashby Falls</t>
        </is>
      </c>
      <c r="H150" t="inlineStr">
        <is>
          <t>45610</t>
        </is>
      </c>
      <c r="I150" t="inlineStr">
        <is>
          <t>(555) 713-8774</t>
        </is>
      </c>
      <c r="K150" t="inlineStr">
        <is>
          <t>English</t>
        </is>
      </c>
      <c r="L150" t="inlineStr">
        <is>
          <t>PY03</t>
        </is>
      </c>
      <c r="M150" t="inlineStr">
        <is>
          <t>PRV1135</t>
        </is>
      </c>
      <c r="N150" t="n">
        <v>67.40000000000001</v>
      </c>
      <c r="O150" t="n">
        <v>191</v>
      </c>
      <c r="P150" t="inlineStr">
        <is>
          <t>HTN</t>
        </is>
      </c>
      <c r="Q150" s="26" t="n">
        <v>44051</v>
      </c>
    </row>
    <row r="151">
      <c r="A151" t="inlineStr">
        <is>
          <t>PT11200</t>
        </is>
      </c>
      <c r="B151" t="inlineStr">
        <is>
          <t>09548678</t>
        </is>
      </c>
      <c r="C151" t="inlineStr">
        <is>
          <t>Graham</t>
        </is>
      </c>
      <c r="D151" t="inlineStr">
        <is>
          <t>Carolyn</t>
        </is>
      </c>
      <c r="E151" t="inlineStr">
        <is>
          <t>F</t>
        </is>
      </c>
      <c r="F151" s="26" t="n">
        <v>28745</v>
      </c>
      <c r="G151" t="inlineStr">
        <is>
          <t>Cedar Ridge</t>
        </is>
      </c>
      <c r="H151" t="inlineStr">
        <is>
          <t>45720</t>
        </is>
      </c>
      <c r="I151" t="inlineStr">
        <is>
          <t>(555) 244-7879</t>
        </is>
      </c>
      <c r="K151" t="inlineStr">
        <is>
          <t>Spanish</t>
        </is>
      </c>
      <c r="L151" t="inlineStr">
        <is>
          <t>PY03</t>
        </is>
      </c>
      <c r="M151" t="inlineStr">
        <is>
          <t>PRV1128</t>
        </is>
      </c>
      <c r="N151" t="n">
        <v>63</v>
      </c>
      <c r="O151" t="n">
        <v>200.5</v>
      </c>
      <c r="P151" t="inlineStr">
        <is>
          <t>COPD</t>
        </is>
      </c>
      <c r="Q151" s="26" t="n">
        <v>41499</v>
      </c>
    </row>
    <row r="152">
      <c r="A152" t="inlineStr">
        <is>
          <t>PT11208</t>
        </is>
      </c>
      <c r="B152" t="inlineStr">
        <is>
          <t>05094809</t>
        </is>
      </c>
      <c r="C152" t="inlineStr">
        <is>
          <t>Gomez</t>
        </is>
      </c>
      <c r="D152" t="inlineStr">
        <is>
          <t>Elizabeth</t>
        </is>
      </c>
      <c r="E152" t="inlineStr">
        <is>
          <t>F</t>
        </is>
      </c>
      <c r="F152" s="26" t="n">
        <v>25867</v>
      </c>
      <c r="G152" t="inlineStr">
        <is>
          <t>Millbrook</t>
        </is>
      </c>
      <c r="H152" t="inlineStr">
        <is>
          <t>45530</t>
        </is>
      </c>
      <c r="I152" t="inlineStr">
        <is>
          <t>(555) 701-2318</t>
        </is>
      </c>
      <c r="J152" t="inlineStr">
        <is>
          <t>elizabeth.gomez76@example.com</t>
        </is>
      </c>
      <c r="K152" t="inlineStr">
        <is>
          <t>English</t>
        </is>
      </c>
      <c r="L152" t="inlineStr">
        <is>
          <t>PY03</t>
        </is>
      </c>
      <c r="M152" t="inlineStr">
        <is>
          <t>PRV1139</t>
        </is>
      </c>
      <c r="N152" t="n">
        <v>68.40000000000001</v>
      </c>
      <c r="O152" t="n">
        <v>233.4</v>
      </c>
      <c r="P152" t="inlineStr">
        <is>
          <t>HTN;CANCER</t>
        </is>
      </c>
      <c r="Q152" s="26" t="n">
        <v>39582</v>
      </c>
    </row>
    <row r="153">
      <c r="A153" t="inlineStr">
        <is>
          <t>PT11216</t>
        </is>
      </c>
      <c r="B153" t="inlineStr">
        <is>
          <t>06140573</t>
        </is>
      </c>
      <c r="C153" t="inlineStr">
        <is>
          <t>Perez</t>
        </is>
      </c>
      <c r="D153" t="inlineStr">
        <is>
          <t>Bradley</t>
        </is>
      </c>
      <c r="E153" t="inlineStr">
        <is>
          <t>M</t>
        </is>
      </c>
      <c r="F153" s="26" t="n">
        <v>19086</v>
      </c>
      <c r="G153" t="inlineStr">
        <is>
          <t>Bluestone</t>
        </is>
      </c>
      <c r="H153" t="inlineStr">
        <is>
          <t>45501</t>
        </is>
      </c>
      <c r="I153" t="inlineStr">
        <is>
          <t>(555) 681-9896</t>
        </is>
      </c>
      <c r="J153" t="inlineStr">
        <is>
          <t>bradley.perez17@example.com</t>
        </is>
      </c>
      <c r="K153" t="inlineStr">
        <is>
          <t>English</t>
        </is>
      </c>
      <c r="L153" t="inlineStr">
        <is>
          <t>PY01</t>
        </is>
      </c>
      <c r="M153" t="inlineStr">
        <is>
          <t>PRV1125</t>
        </is>
      </c>
      <c r="N153" t="n">
        <v>70</v>
      </c>
      <c r="O153" t="n">
        <v>194.4</v>
      </c>
      <c r="P153" t="inlineStr">
        <is>
          <t>HTN;DM;CANCER</t>
        </is>
      </c>
      <c r="Q153" s="26" t="n">
        <v>40323</v>
      </c>
    </row>
    <row r="154">
      <c r="A154" t="inlineStr">
        <is>
          <t>PT11224</t>
        </is>
      </c>
      <c r="B154" t="inlineStr">
        <is>
          <t>03101786</t>
        </is>
      </c>
      <c r="C154" t="inlineStr">
        <is>
          <t>Ramirez</t>
        </is>
      </c>
      <c r="D154" t="inlineStr">
        <is>
          <t>Kenneth</t>
        </is>
      </c>
      <c r="E154" t="inlineStr">
        <is>
          <t>M</t>
        </is>
      </c>
      <c r="F154" s="26" t="n">
        <v>17476</v>
      </c>
      <c r="G154" t="inlineStr">
        <is>
          <t>Granite Springs</t>
        </is>
      </c>
      <c r="H154" t="inlineStr">
        <is>
          <t>45750</t>
        </is>
      </c>
      <c r="I154" t="inlineStr">
        <is>
          <t>(555) 980-9495</t>
        </is>
      </c>
      <c r="K154" t="inlineStr">
        <is>
          <t>English</t>
        </is>
      </c>
      <c r="L154" t="inlineStr">
        <is>
          <t>PY01</t>
        </is>
      </c>
      <c r="M154" t="inlineStr">
        <is>
          <t>PRV1124</t>
        </is>
      </c>
      <c r="N154" t="n">
        <v>71.2</v>
      </c>
      <c r="O154" t="n">
        <v>119.1</v>
      </c>
      <c r="P154" t="inlineStr">
        <is>
          <t>HTN;COPD</t>
        </is>
      </c>
      <c r="Q154" s="26" t="n">
        <v>40841</v>
      </c>
    </row>
    <row r="155">
      <c r="A155" t="inlineStr">
        <is>
          <t>PT11232</t>
        </is>
      </c>
      <c r="B155" t="inlineStr">
        <is>
          <t>02263997</t>
        </is>
      </c>
      <c r="C155" t="inlineStr">
        <is>
          <t>Jenkins</t>
        </is>
      </c>
      <c r="D155" t="inlineStr">
        <is>
          <t>Janet</t>
        </is>
      </c>
      <c r="E155" t="inlineStr">
        <is>
          <t>F</t>
        </is>
      </c>
      <c r="F155" s="26" t="n">
        <v>17066</v>
      </c>
      <c r="G155" t="inlineStr">
        <is>
          <t>Bluestone</t>
        </is>
      </c>
      <c r="H155" t="inlineStr">
        <is>
          <t>45502</t>
        </is>
      </c>
      <c r="I155" t="inlineStr">
        <is>
          <t>(555) 292-4281</t>
        </is>
      </c>
      <c r="J155" t="inlineStr">
        <is>
          <t>janet.jenkins44@example.com</t>
        </is>
      </c>
      <c r="K155" t="inlineStr">
        <is>
          <t>English</t>
        </is>
      </c>
      <c r="L155" t="inlineStr">
        <is>
          <t>PY03</t>
        </is>
      </c>
      <c r="M155" t="inlineStr">
        <is>
          <t>PRV1131</t>
        </is>
      </c>
      <c r="N155" t="n">
        <v>60.4</v>
      </c>
      <c r="O155" t="n">
        <v>124.4</v>
      </c>
      <c r="P155" t="inlineStr">
        <is>
          <t>HTN;DM;PSYCH</t>
        </is>
      </c>
      <c r="Q155" s="26" t="n">
        <v>41039</v>
      </c>
    </row>
    <row r="156">
      <c r="A156" t="inlineStr">
        <is>
          <t>PT11240</t>
        </is>
      </c>
      <c r="B156" t="inlineStr">
        <is>
          <t>07958044</t>
        </is>
      </c>
      <c r="C156" t="inlineStr">
        <is>
          <t>Holmes</t>
        </is>
      </c>
      <c r="D156" t="inlineStr">
        <is>
          <t>Jessica</t>
        </is>
      </c>
      <c r="E156" t="inlineStr">
        <is>
          <t>F</t>
        </is>
      </c>
      <c r="F156" s="26" t="n">
        <v>29676</v>
      </c>
      <c r="G156" t="inlineStr">
        <is>
          <t>Cedar Ridge</t>
        </is>
      </c>
      <c r="H156" t="inlineStr">
        <is>
          <t>45720</t>
        </is>
      </c>
      <c r="I156" t="inlineStr">
        <is>
          <t>(555) 983-1092</t>
        </is>
      </c>
      <c r="J156" t="inlineStr">
        <is>
          <t>jessica.holmes71@example.com</t>
        </is>
      </c>
      <c r="K156" t="inlineStr">
        <is>
          <t>English</t>
        </is>
      </c>
      <c r="L156" t="inlineStr">
        <is>
          <t>PY05</t>
        </is>
      </c>
      <c r="M156" t="inlineStr">
        <is>
          <t>PRV1126</t>
        </is>
      </c>
      <c r="N156" t="n">
        <v>62.9</v>
      </c>
      <c r="O156" t="n">
        <v>143.5</v>
      </c>
      <c r="Q156" s="26" t="n">
        <v>45054</v>
      </c>
    </row>
    <row r="157">
      <c r="A157" t="inlineStr">
        <is>
          <t>PT11248</t>
        </is>
      </c>
      <c r="B157" t="inlineStr">
        <is>
          <t>01507990</t>
        </is>
      </c>
      <c r="C157" t="inlineStr">
        <is>
          <t>Wood</t>
        </is>
      </c>
      <c r="D157" t="inlineStr">
        <is>
          <t>Brittany</t>
        </is>
      </c>
      <c r="E157" t="inlineStr">
        <is>
          <t>F</t>
        </is>
      </c>
      <c r="F157" s="26" t="n">
        <v>29594</v>
      </c>
      <c r="G157" t="inlineStr">
        <is>
          <t>Bluestone</t>
        </is>
      </c>
      <c r="H157" t="inlineStr">
        <is>
          <t>45503</t>
        </is>
      </c>
      <c r="I157" t="inlineStr">
        <is>
          <t>(555) 380-5195</t>
        </is>
      </c>
      <c r="J157" t="inlineStr">
        <is>
          <t>brittany.wood40@example.com</t>
        </is>
      </c>
      <c r="K157" t="inlineStr">
        <is>
          <t>English</t>
        </is>
      </c>
      <c r="L157" t="inlineStr">
        <is>
          <t>PY06</t>
        </is>
      </c>
      <c r="M157" t="inlineStr">
        <is>
          <t>PRV1128</t>
        </is>
      </c>
      <c r="N157" t="n">
        <v>60.7</v>
      </c>
      <c r="O157" t="n">
        <v>180.9</v>
      </c>
      <c r="P157" t="inlineStr">
        <is>
          <t>DM</t>
        </is>
      </c>
      <c r="Q157" s="26" t="n">
        <v>40229</v>
      </c>
    </row>
    <row r="158">
      <c r="A158" t="inlineStr">
        <is>
          <t>PT11256</t>
        </is>
      </c>
      <c r="B158" t="inlineStr">
        <is>
          <t>09576896</t>
        </is>
      </c>
      <c r="C158" t="inlineStr">
        <is>
          <t>Cruz</t>
        </is>
      </c>
      <c r="D158" t="inlineStr">
        <is>
          <t>Barbara</t>
        </is>
      </c>
      <c r="E158" t="inlineStr">
        <is>
          <t>F</t>
        </is>
      </c>
      <c r="F158" s="26" t="n">
        <v>25110</v>
      </c>
      <c r="G158" t="inlineStr">
        <is>
          <t>Riverbend</t>
        </is>
      </c>
      <c r="H158" t="inlineStr">
        <is>
          <t>45545</t>
        </is>
      </c>
      <c r="I158" t="inlineStr">
        <is>
          <t>(555) 791-8252</t>
        </is>
      </c>
      <c r="K158" t="inlineStr">
        <is>
          <t>English</t>
        </is>
      </c>
      <c r="L158" t="inlineStr">
        <is>
          <t>PY04</t>
        </is>
      </c>
      <c r="M158" t="inlineStr">
        <is>
          <t>PRV1140</t>
        </is>
      </c>
      <c r="N158" t="n">
        <v>67.2</v>
      </c>
      <c r="O158" t="n">
        <v>188.9</v>
      </c>
      <c r="Q158" s="26" t="n">
        <v>44035</v>
      </c>
    </row>
    <row r="159">
      <c r="A159" t="inlineStr">
        <is>
          <t>PT11264</t>
        </is>
      </c>
      <c r="B159" t="inlineStr">
        <is>
          <t>02762891</t>
        </is>
      </c>
      <c r="C159" t="inlineStr">
        <is>
          <t>Meyer</t>
        </is>
      </c>
      <c r="D159" t="inlineStr">
        <is>
          <t>Henry</t>
        </is>
      </c>
      <c r="E159" t="inlineStr">
        <is>
          <t>M</t>
        </is>
      </c>
      <c r="F159" s="26" t="n">
        <v>23468</v>
      </c>
      <c r="G159" t="inlineStr">
        <is>
          <t>Cedar Ridge</t>
        </is>
      </c>
      <c r="H159" t="inlineStr">
        <is>
          <t>45720</t>
        </is>
      </c>
      <c r="I159" t="inlineStr">
        <is>
          <t>(555) 415-3362</t>
        </is>
      </c>
      <c r="J159" t="inlineStr">
        <is>
          <t>henry.meyer29@example.com</t>
        </is>
      </c>
      <c r="K159" t="inlineStr">
        <is>
          <t>English</t>
        </is>
      </c>
      <c r="L159" t="inlineStr">
        <is>
          <t>PY03</t>
        </is>
      </c>
      <c r="M159" t="inlineStr">
        <is>
          <t>PRV1135</t>
        </is>
      </c>
      <c r="N159" t="n">
        <v>70.09999999999999</v>
      </c>
      <c r="O159" t="n">
        <v>226.8</v>
      </c>
      <c r="P159" t="inlineStr">
        <is>
          <t>OA</t>
        </is>
      </c>
      <c r="Q159" s="26" t="n">
        <v>44366</v>
      </c>
    </row>
    <row r="160">
      <c r="A160" t="inlineStr">
        <is>
          <t>PT11272</t>
        </is>
      </c>
      <c r="B160" t="inlineStr">
        <is>
          <t>07852152</t>
        </is>
      </c>
      <c r="C160" t="inlineStr">
        <is>
          <t>Perez</t>
        </is>
      </c>
      <c r="D160" t="inlineStr">
        <is>
          <t>Catherine</t>
        </is>
      </c>
      <c r="E160" t="inlineStr">
        <is>
          <t>F</t>
        </is>
      </c>
      <c r="F160" s="26" t="n">
        <v>44381</v>
      </c>
      <c r="G160" t="inlineStr">
        <is>
          <t>Bluestone</t>
        </is>
      </c>
      <c r="H160" t="inlineStr">
        <is>
          <t>45502</t>
        </is>
      </c>
      <c r="I160" t="inlineStr">
        <is>
          <t>(555) 303-1860</t>
        </is>
      </c>
      <c r="K160" t="inlineStr">
        <is>
          <t>Vietnamese</t>
        </is>
      </c>
      <c r="L160" t="inlineStr">
        <is>
          <t>PY03</t>
        </is>
      </c>
      <c r="M160" t="inlineStr">
        <is>
          <t>PRV1104</t>
        </is>
      </c>
      <c r="N160" t="n">
        <v>25.8</v>
      </c>
      <c r="O160" t="n">
        <v>18.1</v>
      </c>
      <c r="Q160" s="26" t="n">
        <v>44812</v>
      </c>
    </row>
    <row r="161">
      <c r="A161" t="inlineStr">
        <is>
          <t>PT11280</t>
        </is>
      </c>
      <c r="B161" t="inlineStr">
        <is>
          <t>09247987</t>
        </is>
      </c>
      <c r="C161" t="inlineStr">
        <is>
          <t>Santos</t>
        </is>
      </c>
      <c r="D161" t="inlineStr">
        <is>
          <t>Roger</t>
        </is>
      </c>
      <c r="E161" t="inlineStr">
        <is>
          <t>M</t>
        </is>
      </c>
      <c r="F161" s="26" t="n">
        <v>17589</v>
      </c>
      <c r="G161" t="inlineStr">
        <is>
          <t>Ashby Falls</t>
        </is>
      </c>
      <c r="H161" t="inlineStr">
        <is>
          <t>45610</t>
        </is>
      </c>
      <c r="I161" t="inlineStr">
        <is>
          <t>(555) 399-9193</t>
        </is>
      </c>
      <c r="J161" t="inlineStr">
        <is>
          <t>roger.santos61@example.com</t>
        </is>
      </c>
      <c r="K161" t="inlineStr">
        <is>
          <t>Spanish</t>
        </is>
      </c>
      <c r="L161" t="inlineStr">
        <is>
          <t>PY02</t>
        </is>
      </c>
      <c r="M161" t="inlineStr">
        <is>
          <t>PRV1124</t>
        </is>
      </c>
      <c r="N161" t="n">
        <v>69.09999999999999</v>
      </c>
      <c r="O161" t="n">
        <v>162.9</v>
      </c>
      <c r="P161" t="inlineStr">
        <is>
          <t>HTN;DM</t>
        </is>
      </c>
      <c r="Q161" s="26" t="n">
        <v>45173</v>
      </c>
    </row>
    <row r="162">
      <c r="A162" t="inlineStr">
        <is>
          <t>PT11288</t>
        </is>
      </c>
      <c r="B162" t="inlineStr">
        <is>
          <t>03842293</t>
        </is>
      </c>
      <c r="C162" t="inlineStr">
        <is>
          <t>Mason</t>
        </is>
      </c>
      <c r="D162" t="inlineStr">
        <is>
          <t>Martha</t>
        </is>
      </c>
      <c r="E162" t="inlineStr">
        <is>
          <t>F</t>
        </is>
      </c>
      <c r="F162" s="26" t="n">
        <v>39911</v>
      </c>
      <c r="G162" t="inlineStr">
        <is>
          <t>Cedar Ridge</t>
        </is>
      </c>
      <c r="H162" t="inlineStr">
        <is>
          <t>45720</t>
        </is>
      </c>
      <c r="I162" t="inlineStr">
        <is>
          <t>(555) 764-7712</t>
        </is>
      </c>
      <c r="J162" t="inlineStr">
        <is>
          <t>martha.mason13@example.com</t>
        </is>
      </c>
      <c r="K162" t="inlineStr">
        <is>
          <t>English</t>
        </is>
      </c>
      <c r="L162" t="inlineStr">
        <is>
          <t>PY03</t>
        </is>
      </c>
      <c r="M162" t="inlineStr">
        <is>
          <t>PRV1104</t>
        </is>
      </c>
      <c r="N162" t="n">
        <v>67.8</v>
      </c>
      <c r="O162" t="n">
        <v>131.3</v>
      </c>
      <c r="P162" t="inlineStr">
        <is>
          <t>PSYCH</t>
        </is>
      </c>
      <c r="Q162" s="26" t="n">
        <v>40306</v>
      </c>
    </row>
    <row r="163">
      <c r="A163" t="inlineStr">
        <is>
          <t>PT11296</t>
        </is>
      </c>
      <c r="B163" t="inlineStr">
        <is>
          <t>03510957</t>
        </is>
      </c>
      <c r="C163" t="inlineStr">
        <is>
          <t>Robertson</t>
        </is>
      </c>
      <c r="D163" t="inlineStr">
        <is>
          <t>Kathryn</t>
        </is>
      </c>
      <c r="E163" t="inlineStr">
        <is>
          <t>F</t>
        </is>
      </c>
      <c r="F163" s="26" t="n">
        <v>42810</v>
      </c>
      <c r="G163" t="inlineStr">
        <is>
          <t>Bluestone</t>
        </is>
      </c>
      <c r="H163" t="inlineStr">
        <is>
          <t>45503</t>
        </is>
      </c>
      <c r="I163" t="inlineStr">
        <is>
          <t>(555) 283-8749</t>
        </is>
      </c>
      <c r="K163" t="inlineStr">
        <is>
          <t>English</t>
        </is>
      </c>
      <c r="L163" t="inlineStr">
        <is>
          <t>PY05</t>
        </is>
      </c>
      <c r="M163" t="inlineStr">
        <is>
          <t>PRV1107</t>
        </is>
      </c>
      <c r="N163" t="n">
        <v>40.6</v>
      </c>
      <c r="O163" t="n">
        <v>38.7</v>
      </c>
      <c r="Q163" s="26" t="n">
        <v>43984</v>
      </c>
    </row>
    <row r="164">
      <c r="A164" t="inlineStr">
        <is>
          <t>PT11304</t>
        </is>
      </c>
      <c r="B164" t="inlineStr">
        <is>
          <t>07629465</t>
        </is>
      </c>
      <c r="C164" t="inlineStr">
        <is>
          <t>Warren</t>
        </is>
      </c>
      <c r="D164" t="inlineStr">
        <is>
          <t>Virginia</t>
        </is>
      </c>
      <c r="E164" t="inlineStr">
        <is>
          <t>F</t>
        </is>
      </c>
      <c r="F164" s="26" t="n">
        <v>20574</v>
      </c>
      <c r="G164" t="inlineStr">
        <is>
          <t>Lakeview Heights</t>
        </is>
      </c>
      <c r="H164" t="inlineStr">
        <is>
          <t>45510</t>
        </is>
      </c>
      <c r="I164" t="inlineStr">
        <is>
          <t>(555) 802-8633</t>
        </is>
      </c>
      <c r="J164" t="inlineStr">
        <is>
          <t>virginia.warren33@example.com</t>
        </is>
      </c>
      <c r="K164" t="inlineStr">
        <is>
          <t>English</t>
        </is>
      </c>
      <c r="L164" t="inlineStr">
        <is>
          <t>PY02</t>
        </is>
      </c>
      <c r="M164" t="inlineStr">
        <is>
          <t>PRV1134</t>
        </is>
      </c>
      <c r="N164" t="n">
        <v>65.09999999999999</v>
      </c>
      <c r="O164" t="n">
        <v>197.8</v>
      </c>
      <c r="Q164" s="26" t="n">
        <v>43041</v>
      </c>
    </row>
    <row r="165">
      <c r="A165" t="inlineStr">
        <is>
          <t>PT11312</t>
        </is>
      </c>
      <c r="B165" t="inlineStr">
        <is>
          <t>05206917</t>
        </is>
      </c>
      <c r="C165" t="inlineStr">
        <is>
          <t>Miller</t>
        </is>
      </c>
      <c r="D165" t="inlineStr">
        <is>
          <t>Margaret</t>
        </is>
      </c>
      <c r="E165" t="inlineStr">
        <is>
          <t>F</t>
        </is>
      </c>
      <c r="F165" s="26" t="n">
        <v>37319</v>
      </c>
      <c r="G165" t="inlineStr">
        <is>
          <t>Cedar Ridge</t>
        </is>
      </c>
      <c r="H165" t="inlineStr">
        <is>
          <t>45720</t>
        </is>
      </c>
      <c r="I165" t="inlineStr">
        <is>
          <t>(555) 697-3225</t>
        </is>
      </c>
      <c r="J165" t="inlineStr">
        <is>
          <t>margaret.miller61@example.com</t>
        </is>
      </c>
      <c r="K165" t="inlineStr">
        <is>
          <t>English</t>
        </is>
      </c>
      <c r="L165" t="inlineStr">
        <is>
          <t>PY05</t>
        </is>
      </c>
      <c r="M165" t="inlineStr">
        <is>
          <t>PRV1125</t>
        </is>
      </c>
      <c r="N165" t="n">
        <v>59.9</v>
      </c>
      <c r="O165" t="n">
        <v>98.2</v>
      </c>
      <c r="Q165" s="26" t="n">
        <v>39636</v>
      </c>
    </row>
    <row r="166">
      <c r="A166" t="inlineStr">
        <is>
          <t>PT11320</t>
        </is>
      </c>
      <c r="B166" t="inlineStr">
        <is>
          <t>03830790</t>
        </is>
      </c>
      <c r="C166" t="inlineStr">
        <is>
          <t>Evans</t>
        </is>
      </c>
      <c r="D166" t="inlineStr">
        <is>
          <t>Sarah</t>
        </is>
      </c>
      <c r="E166" t="inlineStr">
        <is>
          <t>F</t>
        </is>
      </c>
      <c r="F166" s="26" t="n">
        <v>18584</v>
      </c>
      <c r="G166" t="inlineStr">
        <is>
          <t>Bluestone</t>
        </is>
      </c>
      <c r="H166" t="inlineStr">
        <is>
          <t>45502</t>
        </is>
      </c>
      <c r="I166" t="inlineStr">
        <is>
          <t>(555) 866-5133</t>
        </is>
      </c>
      <c r="J166" t="inlineStr">
        <is>
          <t>sarah.evans82@example.com</t>
        </is>
      </c>
      <c r="K166" t="inlineStr">
        <is>
          <t>English</t>
        </is>
      </c>
      <c r="L166" t="inlineStr">
        <is>
          <t>PY01</t>
        </is>
      </c>
      <c r="M166" t="inlineStr">
        <is>
          <t>PRV1128</t>
        </is>
      </c>
      <c r="N166" t="n">
        <v>60.4</v>
      </c>
      <c r="O166" t="n">
        <v>107.1</v>
      </c>
      <c r="P166" t="inlineStr">
        <is>
          <t>HTN;CANCER</t>
        </is>
      </c>
      <c r="Q166" s="26" t="n">
        <v>41250</v>
      </c>
    </row>
    <row r="167">
      <c r="A167" t="inlineStr">
        <is>
          <t>PT11328</t>
        </is>
      </c>
      <c r="B167" t="inlineStr">
        <is>
          <t>08651844</t>
        </is>
      </c>
      <c r="C167" t="inlineStr">
        <is>
          <t>Wright</t>
        </is>
      </c>
      <c r="D167" t="inlineStr">
        <is>
          <t>Eugene</t>
        </is>
      </c>
      <c r="E167" t="inlineStr">
        <is>
          <t>M</t>
        </is>
      </c>
      <c r="F167" s="26" t="n">
        <v>21258</v>
      </c>
      <c r="G167" t="inlineStr">
        <is>
          <t>Riverbend</t>
        </is>
      </c>
      <c r="H167" t="inlineStr">
        <is>
          <t>45545</t>
        </is>
      </c>
      <c r="I167" t="inlineStr">
        <is>
          <t>(555) 430-0695</t>
        </is>
      </c>
      <c r="K167" t="inlineStr">
        <is>
          <t>English</t>
        </is>
      </c>
      <c r="L167" t="inlineStr">
        <is>
          <t>PY01</t>
        </is>
      </c>
      <c r="M167" t="inlineStr">
        <is>
          <t>PRV1140</t>
        </is>
      </c>
      <c r="N167" t="n">
        <v>70.7</v>
      </c>
      <c r="O167" t="n">
        <v>158.6</v>
      </c>
      <c r="Q167" s="26" t="n">
        <v>43015</v>
      </c>
    </row>
    <row r="168">
      <c r="A168" t="inlineStr">
        <is>
          <t>PT11336</t>
        </is>
      </c>
      <c r="B168" t="inlineStr">
        <is>
          <t>02896748</t>
        </is>
      </c>
      <c r="C168" t="inlineStr">
        <is>
          <t>Webb</t>
        </is>
      </c>
      <c r="D168" t="inlineStr">
        <is>
          <t>Carlos</t>
        </is>
      </c>
      <c r="E168" t="inlineStr">
        <is>
          <t>M</t>
        </is>
      </c>
      <c r="F168" s="26" t="n">
        <v>25528</v>
      </c>
      <c r="G168" t="inlineStr">
        <is>
          <t>Pine Hollow</t>
        </is>
      </c>
      <c r="H168" t="inlineStr">
        <is>
          <t>45640</t>
        </is>
      </c>
      <c r="I168" t="inlineStr">
        <is>
          <t>(555) 486-0784</t>
        </is>
      </c>
      <c r="J168" t="inlineStr">
        <is>
          <t>carlos.webb22@example.com</t>
        </is>
      </c>
      <c r="K168" t="inlineStr">
        <is>
          <t>English</t>
        </is>
      </c>
      <c r="L168" t="inlineStr">
        <is>
          <t>PY06</t>
        </is>
      </c>
      <c r="M168" t="inlineStr">
        <is>
          <t>PRV1140</t>
        </is>
      </c>
      <c r="N168" t="n">
        <v>67</v>
      </c>
      <c r="O168" t="n">
        <v>159.2</v>
      </c>
      <c r="P168" t="inlineStr">
        <is>
          <t>HF</t>
        </is>
      </c>
      <c r="Q168" s="26" t="n">
        <v>42202</v>
      </c>
    </row>
    <row r="169">
      <c r="A169" t="inlineStr">
        <is>
          <t>PT11344</t>
        </is>
      </c>
      <c r="B169" t="inlineStr">
        <is>
          <t>03812845</t>
        </is>
      </c>
      <c r="C169" t="inlineStr">
        <is>
          <t>Davis</t>
        </is>
      </c>
      <c r="D169" t="inlineStr">
        <is>
          <t>Anthony</t>
        </is>
      </c>
      <c r="E169" t="inlineStr">
        <is>
          <t>M</t>
        </is>
      </c>
      <c r="F169" s="26" t="n">
        <v>26169</v>
      </c>
      <c r="G169" t="inlineStr">
        <is>
          <t>Lakeview Heights</t>
        </is>
      </c>
      <c r="H169" t="inlineStr">
        <is>
          <t>45510</t>
        </is>
      </c>
      <c r="I169" t="inlineStr">
        <is>
          <t>(555) 444-4170</t>
        </is>
      </c>
      <c r="J169" t="inlineStr">
        <is>
          <t>anthony.davis87@example.com</t>
        </is>
      </c>
      <c r="K169" t="inlineStr">
        <is>
          <t>English</t>
        </is>
      </c>
      <c r="L169" t="inlineStr">
        <is>
          <t>PY03</t>
        </is>
      </c>
      <c r="M169" t="inlineStr">
        <is>
          <t>PRV1127</t>
        </is>
      </c>
      <c r="N169" t="n">
        <v>69.40000000000001</v>
      </c>
      <c r="O169" t="n">
        <v>276.9</v>
      </c>
      <c r="Q169" s="26" t="n">
        <v>40067</v>
      </c>
    </row>
    <row r="170">
      <c r="A170" t="inlineStr">
        <is>
          <t>PT11352</t>
        </is>
      </c>
      <c r="B170" t="inlineStr">
        <is>
          <t>08014512</t>
        </is>
      </c>
      <c r="C170" t="inlineStr">
        <is>
          <t>Johnson</t>
        </is>
      </c>
      <c r="D170" t="inlineStr">
        <is>
          <t>Terry</t>
        </is>
      </c>
      <c r="E170" t="inlineStr">
        <is>
          <t>M</t>
        </is>
      </c>
      <c r="F170" s="26" t="n">
        <v>33208</v>
      </c>
      <c r="G170" t="inlineStr">
        <is>
          <t>Granite Springs</t>
        </is>
      </c>
      <c r="H170" t="inlineStr">
        <is>
          <t>45750</t>
        </is>
      </c>
      <c r="I170" t="inlineStr">
        <is>
          <t>(555) 339-2170</t>
        </is>
      </c>
      <c r="J170" t="inlineStr">
        <is>
          <t>terry.johnson14@example.com</t>
        </is>
      </c>
      <c r="K170" t="inlineStr">
        <is>
          <t>English</t>
        </is>
      </c>
      <c r="L170" t="inlineStr">
        <is>
          <t>PY05</t>
        </is>
      </c>
      <c r="M170" t="inlineStr">
        <is>
          <t>PRV1132</t>
        </is>
      </c>
      <c r="N170" t="n">
        <v>75.8</v>
      </c>
      <c r="O170" t="n">
        <v>289</v>
      </c>
      <c r="P170" t="inlineStr">
        <is>
          <t>DM</t>
        </is>
      </c>
      <c r="Q170" s="26" t="n">
        <v>41509</v>
      </c>
    </row>
    <row r="171">
      <c r="A171" t="inlineStr">
        <is>
          <t>PT11360</t>
        </is>
      </c>
      <c r="B171" t="inlineStr">
        <is>
          <t>04172549</t>
        </is>
      </c>
      <c r="C171" t="inlineStr">
        <is>
          <t>Black</t>
        </is>
      </c>
      <c r="D171" t="inlineStr">
        <is>
          <t>Grace</t>
        </is>
      </c>
      <c r="E171" t="inlineStr">
        <is>
          <t>F</t>
        </is>
      </c>
      <c r="F171" s="26" t="n">
        <v>35285</v>
      </c>
      <c r="G171" t="inlineStr">
        <is>
          <t>Bluestone</t>
        </is>
      </c>
      <c r="H171" t="inlineStr">
        <is>
          <t>45501</t>
        </is>
      </c>
      <c r="I171" t="inlineStr">
        <is>
          <t>(555) 617-8470</t>
        </is>
      </c>
      <c r="J171" t="inlineStr">
        <is>
          <t>grace.black13@example.com</t>
        </is>
      </c>
      <c r="K171" t="inlineStr">
        <is>
          <t>English</t>
        </is>
      </c>
      <c r="L171" t="inlineStr">
        <is>
          <t>PY05</t>
        </is>
      </c>
      <c r="M171" t="inlineStr">
        <is>
          <t>PRV1131</t>
        </is>
      </c>
      <c r="N171" t="n">
        <v>60.3</v>
      </c>
      <c r="O171" t="n">
        <v>164</v>
      </c>
      <c r="Q171" s="26" t="n">
        <v>44929</v>
      </c>
    </row>
    <row r="172">
      <c r="A172" t="inlineStr">
        <is>
          <t>PT11368</t>
        </is>
      </c>
      <c r="B172" t="inlineStr">
        <is>
          <t>01782532</t>
        </is>
      </c>
      <c r="C172" t="inlineStr">
        <is>
          <t>Mason</t>
        </is>
      </c>
      <c r="D172" t="inlineStr">
        <is>
          <t>Elijah</t>
        </is>
      </c>
      <c r="E172" t="inlineStr">
        <is>
          <t>M</t>
        </is>
      </c>
      <c r="F172" s="26" t="n">
        <v>26606</v>
      </c>
      <c r="G172" t="inlineStr">
        <is>
          <t>Bluestone</t>
        </is>
      </c>
      <c r="H172" t="inlineStr">
        <is>
          <t>45501</t>
        </is>
      </c>
      <c r="I172" t="inlineStr">
        <is>
          <t>(555) 817-4028</t>
        </is>
      </c>
      <c r="J172" t="inlineStr">
        <is>
          <t>elijah.mason24@example.com</t>
        </is>
      </c>
      <c r="K172" t="inlineStr">
        <is>
          <t>Vietnamese</t>
        </is>
      </c>
      <c r="L172" t="inlineStr">
        <is>
          <t>PY04</t>
        </is>
      </c>
      <c r="M172" t="inlineStr">
        <is>
          <t>PRV1127</t>
        </is>
      </c>
      <c r="N172" t="n">
        <v>63.9</v>
      </c>
      <c r="O172" t="n">
        <v>196.5</v>
      </c>
      <c r="P172" t="inlineStr">
        <is>
          <t>HTN;CKD;OA</t>
        </is>
      </c>
      <c r="Q172" s="26" t="n">
        <v>44127</v>
      </c>
    </row>
    <row r="173">
      <c r="A173" t="inlineStr">
        <is>
          <t>PT11376</t>
        </is>
      </c>
      <c r="B173" t="inlineStr">
        <is>
          <t>08991252</t>
        </is>
      </c>
      <c r="C173" t="inlineStr">
        <is>
          <t>Andrews</t>
        </is>
      </c>
      <c r="D173" t="inlineStr">
        <is>
          <t>Ana</t>
        </is>
      </c>
      <c r="E173" t="inlineStr">
        <is>
          <t>F</t>
        </is>
      </c>
      <c r="F173" s="26" t="n">
        <v>16089</v>
      </c>
      <c r="G173" t="inlineStr">
        <is>
          <t>Pine Hollow</t>
        </is>
      </c>
      <c r="H173" t="inlineStr">
        <is>
          <t>45640</t>
        </is>
      </c>
      <c r="I173" t="inlineStr">
        <is>
          <t>(555) 352-5413</t>
        </is>
      </c>
      <c r="J173" t="inlineStr">
        <is>
          <t>ana.andrews76@example.com</t>
        </is>
      </c>
      <c r="K173" t="inlineStr">
        <is>
          <t>English</t>
        </is>
      </c>
      <c r="L173" t="inlineStr">
        <is>
          <t>PY01</t>
        </is>
      </c>
      <c r="M173" t="inlineStr">
        <is>
          <t>PRV1125</t>
        </is>
      </c>
      <c r="N173" t="n">
        <v>70.09999999999999</v>
      </c>
      <c r="O173" t="n">
        <v>231.1</v>
      </c>
      <c r="P173" t="inlineStr">
        <is>
          <t>HTN;COPD</t>
        </is>
      </c>
      <c r="Q173" s="26" t="n">
        <v>41079</v>
      </c>
    </row>
    <row r="174">
      <c r="A174" t="inlineStr">
        <is>
          <t>PT11384</t>
        </is>
      </c>
      <c r="B174" t="inlineStr">
        <is>
          <t>04479207</t>
        </is>
      </c>
      <c r="C174" t="inlineStr">
        <is>
          <t>Hoffman</t>
        </is>
      </c>
      <c r="D174" t="inlineStr">
        <is>
          <t>Mark</t>
        </is>
      </c>
      <c r="E174" t="inlineStr">
        <is>
          <t>M</t>
        </is>
      </c>
      <c r="F174" s="26" t="n">
        <v>40343</v>
      </c>
      <c r="G174" t="inlineStr">
        <is>
          <t>Bluestone</t>
        </is>
      </c>
      <c r="H174" t="inlineStr">
        <is>
          <t>45502</t>
        </is>
      </c>
      <c r="I174" t="inlineStr">
        <is>
          <t>(555) 358-3052</t>
        </is>
      </c>
      <c r="K174" t="inlineStr">
        <is>
          <t>English</t>
        </is>
      </c>
      <c r="L174" t="inlineStr">
        <is>
          <t>PY03</t>
        </is>
      </c>
      <c r="M174" t="inlineStr">
        <is>
          <t>PRV1105</t>
        </is>
      </c>
      <c r="N174" t="n">
        <v>65.2</v>
      </c>
      <c r="O174" t="n">
        <v>123.2</v>
      </c>
      <c r="Q174" s="26" t="n">
        <v>42800</v>
      </c>
    </row>
    <row r="175">
      <c r="A175" t="inlineStr">
        <is>
          <t>PT11392</t>
        </is>
      </c>
      <c r="B175" t="inlineStr">
        <is>
          <t>09895538</t>
        </is>
      </c>
      <c r="C175" t="inlineStr">
        <is>
          <t>Robertson</t>
        </is>
      </c>
      <c r="D175" t="inlineStr">
        <is>
          <t>Arthur</t>
        </is>
      </c>
      <c r="E175" t="inlineStr">
        <is>
          <t>M</t>
        </is>
      </c>
      <c r="F175" s="26" t="n">
        <v>39026</v>
      </c>
      <c r="G175" t="inlineStr">
        <is>
          <t>Ashby Falls</t>
        </is>
      </c>
      <c r="H175" t="inlineStr">
        <is>
          <t>45610</t>
        </is>
      </c>
      <c r="I175" t="inlineStr">
        <is>
          <t>(555) 278-1982</t>
        </is>
      </c>
      <c r="K175" t="inlineStr">
        <is>
          <t>English</t>
        </is>
      </c>
      <c r="L175" t="inlineStr">
        <is>
          <t>PY05</t>
        </is>
      </c>
      <c r="M175" t="inlineStr">
        <is>
          <t>PRV1128</t>
        </is>
      </c>
      <c r="N175" t="n">
        <v>69.5</v>
      </c>
      <c r="O175" t="n">
        <v>273.7</v>
      </c>
      <c r="P175" t="inlineStr">
        <is>
          <t>SEIZURE</t>
        </is>
      </c>
      <c r="Q175" s="26" t="n">
        <v>40422</v>
      </c>
    </row>
    <row r="176">
      <c r="A176" t="inlineStr">
        <is>
          <t>PT11400</t>
        </is>
      </c>
      <c r="B176" t="inlineStr">
        <is>
          <t>03838702</t>
        </is>
      </c>
      <c r="C176" t="inlineStr">
        <is>
          <t>Ward</t>
        </is>
      </c>
      <c r="D176" t="inlineStr">
        <is>
          <t>Ann</t>
        </is>
      </c>
      <c r="E176" t="inlineStr">
        <is>
          <t>F</t>
        </is>
      </c>
      <c r="F176" s="26" t="n">
        <v>29644</v>
      </c>
      <c r="G176" t="inlineStr">
        <is>
          <t>Bluestone</t>
        </is>
      </c>
      <c r="H176" t="inlineStr">
        <is>
          <t>45501</t>
        </is>
      </c>
      <c r="I176" t="inlineStr">
        <is>
          <t>(555) 550-3521</t>
        </is>
      </c>
      <c r="J176" t="inlineStr">
        <is>
          <t>ann.ward58@example.com</t>
        </is>
      </c>
      <c r="K176" t="inlineStr">
        <is>
          <t>English</t>
        </is>
      </c>
      <c r="L176" t="inlineStr">
        <is>
          <t>PY03</t>
        </is>
      </c>
      <c r="M176" t="inlineStr">
        <is>
          <t>PRV1127</t>
        </is>
      </c>
      <c r="N176" t="n">
        <v>61.7</v>
      </c>
      <c r="O176" t="n">
        <v>140.8</v>
      </c>
      <c r="Q176" s="26" t="n">
        <v>43540</v>
      </c>
    </row>
    <row r="177">
      <c r="A177" t="inlineStr">
        <is>
          <t>PT11408</t>
        </is>
      </c>
      <c r="B177" t="inlineStr">
        <is>
          <t>03167355</t>
        </is>
      </c>
      <c r="C177" t="inlineStr">
        <is>
          <t>Myers</t>
        </is>
      </c>
      <c r="D177" t="inlineStr">
        <is>
          <t>Evelyn</t>
        </is>
      </c>
      <c r="E177" t="inlineStr">
        <is>
          <t>F</t>
        </is>
      </c>
      <c r="F177" s="26" t="n">
        <v>44932</v>
      </c>
      <c r="G177" t="inlineStr">
        <is>
          <t>Cedar Ridge</t>
        </is>
      </c>
      <c r="H177" t="inlineStr">
        <is>
          <t>45720</t>
        </is>
      </c>
      <c r="I177" t="inlineStr">
        <is>
          <t>(555) 937-3469</t>
        </is>
      </c>
      <c r="K177" t="inlineStr">
        <is>
          <t>English</t>
        </is>
      </c>
      <c r="L177" t="inlineStr">
        <is>
          <t>PY03</t>
        </is>
      </c>
      <c r="M177" t="inlineStr">
        <is>
          <t>PRV1105</t>
        </is>
      </c>
      <c r="N177" t="n">
        <v>25.6</v>
      </c>
      <c r="O177" t="n">
        <v>13.7</v>
      </c>
      <c r="Q177" s="26" t="n">
        <v>45260</v>
      </c>
    </row>
    <row r="178">
      <c r="A178" t="inlineStr">
        <is>
          <t>PT11416</t>
        </is>
      </c>
      <c r="B178" t="inlineStr">
        <is>
          <t>03540862</t>
        </is>
      </c>
      <c r="C178" t="inlineStr">
        <is>
          <t>Hill</t>
        </is>
      </c>
      <c r="D178" t="inlineStr">
        <is>
          <t>Olivia</t>
        </is>
      </c>
      <c r="E178" t="inlineStr">
        <is>
          <t>F</t>
        </is>
      </c>
      <c r="F178" s="26" t="n">
        <v>26104</v>
      </c>
      <c r="G178" t="inlineStr">
        <is>
          <t>Ashby Falls</t>
        </is>
      </c>
      <c r="H178" t="inlineStr">
        <is>
          <t>45610</t>
        </is>
      </c>
      <c r="I178" t="inlineStr">
        <is>
          <t>(555) 226-4598</t>
        </is>
      </c>
      <c r="K178" t="inlineStr">
        <is>
          <t>English</t>
        </is>
      </c>
      <c r="L178" t="inlineStr">
        <is>
          <t>PY03</t>
        </is>
      </c>
      <c r="M178" t="inlineStr">
        <is>
          <t>PRV1125</t>
        </is>
      </c>
      <c r="N178" t="n">
        <v>67.7</v>
      </c>
      <c r="O178" t="n">
        <v>167.7</v>
      </c>
      <c r="Q178" s="26" t="n">
        <v>41521</v>
      </c>
    </row>
    <row r="179">
      <c r="A179" t="inlineStr">
        <is>
          <t>PT11424</t>
        </is>
      </c>
      <c r="B179" t="inlineStr">
        <is>
          <t>07641208</t>
        </is>
      </c>
      <c r="C179" t="inlineStr">
        <is>
          <t>Kennedy</t>
        </is>
      </c>
      <c r="D179" t="inlineStr">
        <is>
          <t>Ashley</t>
        </is>
      </c>
      <c r="E179" t="inlineStr">
        <is>
          <t>F</t>
        </is>
      </c>
      <c r="F179" s="26" t="n">
        <v>16678</v>
      </c>
      <c r="G179" t="inlineStr">
        <is>
          <t>Bluestone</t>
        </is>
      </c>
      <c r="H179" t="inlineStr">
        <is>
          <t>45501</t>
        </is>
      </c>
      <c r="I179" t="inlineStr">
        <is>
          <t>(555) 831-0774</t>
        </is>
      </c>
      <c r="J179" t="inlineStr">
        <is>
          <t>ashley.kennedy42@example.com</t>
        </is>
      </c>
      <c r="K179" t="inlineStr">
        <is>
          <t>English</t>
        </is>
      </c>
      <c r="L179" t="inlineStr">
        <is>
          <t>PY02</t>
        </is>
      </c>
      <c r="M179" t="inlineStr">
        <is>
          <t>PRV1124</t>
        </is>
      </c>
      <c r="N179" t="n">
        <v>62.3</v>
      </c>
      <c r="O179" t="n">
        <v>126.4</v>
      </c>
      <c r="P179" t="inlineStr">
        <is>
          <t>HTN;COPD</t>
        </is>
      </c>
      <c r="Q179" s="26" t="n">
        <v>40232</v>
      </c>
    </row>
    <row r="180">
      <c r="A180" t="inlineStr">
        <is>
          <t>PT11432</t>
        </is>
      </c>
      <c r="B180" t="inlineStr">
        <is>
          <t>05241747</t>
        </is>
      </c>
      <c r="C180" t="inlineStr">
        <is>
          <t>Kelley</t>
        </is>
      </c>
      <c r="D180" t="inlineStr">
        <is>
          <t>Rebecca</t>
        </is>
      </c>
      <c r="E180" t="inlineStr">
        <is>
          <t>F</t>
        </is>
      </c>
      <c r="F180" s="26" t="n">
        <v>10436</v>
      </c>
      <c r="G180" t="inlineStr">
        <is>
          <t>Bluestone</t>
        </is>
      </c>
      <c r="H180" t="inlineStr">
        <is>
          <t>45501</t>
        </is>
      </c>
      <c r="I180" t="inlineStr">
        <is>
          <t>(555) 573-2352</t>
        </is>
      </c>
      <c r="J180" t="inlineStr">
        <is>
          <t>rebecca.kelley33@example.com</t>
        </is>
      </c>
      <c r="K180" t="inlineStr">
        <is>
          <t>English</t>
        </is>
      </c>
      <c r="L180" t="inlineStr">
        <is>
          <t>PY01</t>
        </is>
      </c>
      <c r="M180" t="inlineStr">
        <is>
          <t>PRV1132</t>
        </is>
      </c>
      <c r="N180" t="n">
        <v>66</v>
      </c>
      <c r="O180" t="n">
        <v>143.7</v>
      </c>
      <c r="P180" t="inlineStr">
        <is>
          <t>HF</t>
        </is>
      </c>
      <c r="Q180" s="26" t="n">
        <v>43353</v>
      </c>
    </row>
    <row r="181">
      <c r="A181" t="inlineStr">
        <is>
          <t>PT11440</t>
        </is>
      </c>
      <c r="B181" t="inlineStr">
        <is>
          <t>02109984</t>
        </is>
      </c>
      <c r="C181" t="inlineStr">
        <is>
          <t>Gordon</t>
        </is>
      </c>
      <c r="D181" t="inlineStr">
        <is>
          <t>Brittany</t>
        </is>
      </c>
      <c r="E181" t="inlineStr">
        <is>
          <t>F</t>
        </is>
      </c>
      <c r="F181" s="26" t="n">
        <v>42305</v>
      </c>
      <c r="G181" t="inlineStr">
        <is>
          <t>Bluestone</t>
        </is>
      </c>
      <c r="H181" t="inlineStr">
        <is>
          <t>45502</t>
        </is>
      </c>
      <c r="I181" t="inlineStr">
        <is>
          <t>(555) 848-2588</t>
        </is>
      </c>
      <c r="K181" t="inlineStr">
        <is>
          <t>English</t>
        </is>
      </c>
      <c r="L181" t="inlineStr">
        <is>
          <t>PY03</t>
        </is>
      </c>
      <c r="M181" t="inlineStr">
        <is>
          <t>PRV1108</t>
        </is>
      </c>
      <c r="N181" t="n">
        <v>45.2</v>
      </c>
      <c r="O181" t="n">
        <v>65.7</v>
      </c>
      <c r="Q181" s="26" t="n">
        <v>45162</v>
      </c>
    </row>
    <row r="182">
      <c r="A182" t="inlineStr">
        <is>
          <t>PT11448</t>
        </is>
      </c>
      <c r="B182" t="inlineStr">
        <is>
          <t>08675114</t>
        </is>
      </c>
      <c r="C182" t="inlineStr">
        <is>
          <t>Jenkins</t>
        </is>
      </c>
      <c r="D182" t="inlineStr">
        <is>
          <t>Sandra</t>
        </is>
      </c>
      <c r="E182" t="inlineStr">
        <is>
          <t>F</t>
        </is>
      </c>
      <c r="F182" s="26" t="n">
        <v>32777</v>
      </c>
      <c r="G182" t="inlineStr">
        <is>
          <t>Lakeview Heights</t>
        </is>
      </c>
      <c r="H182" t="inlineStr">
        <is>
          <t>45510</t>
        </is>
      </c>
      <c r="I182" t="inlineStr">
        <is>
          <t>(555) 505-6271</t>
        </is>
      </c>
      <c r="K182" t="inlineStr">
        <is>
          <t>Spanish</t>
        </is>
      </c>
      <c r="L182" t="inlineStr">
        <is>
          <t>PY01</t>
        </is>
      </c>
      <c r="M182" t="inlineStr">
        <is>
          <t>PRV1125</t>
        </is>
      </c>
      <c r="N182" t="n">
        <v>63.1</v>
      </c>
      <c r="O182" t="n">
        <v>153.4</v>
      </c>
      <c r="P182" t="inlineStr">
        <is>
          <t>PSYCH</t>
        </is>
      </c>
      <c r="Q182" s="26" t="n">
        <v>44746</v>
      </c>
    </row>
    <row r="183">
      <c r="A183" t="inlineStr">
        <is>
          <t>PT11456</t>
        </is>
      </c>
      <c r="B183" t="inlineStr">
        <is>
          <t>07696381</t>
        </is>
      </c>
      <c r="C183" t="inlineStr">
        <is>
          <t>Osei</t>
        </is>
      </c>
      <c r="D183" t="inlineStr">
        <is>
          <t>Bobby</t>
        </is>
      </c>
      <c r="E183" t="inlineStr">
        <is>
          <t>M</t>
        </is>
      </c>
      <c r="F183" s="26" t="n">
        <v>29005</v>
      </c>
      <c r="G183" t="inlineStr">
        <is>
          <t>Granite Springs</t>
        </is>
      </c>
      <c r="H183" t="inlineStr">
        <is>
          <t>45750</t>
        </is>
      </c>
      <c r="I183" t="inlineStr">
        <is>
          <t>(555) 606-5500</t>
        </is>
      </c>
      <c r="J183" t="inlineStr">
        <is>
          <t>bobby.osei76@example.com</t>
        </is>
      </c>
      <c r="K183" t="inlineStr">
        <is>
          <t>English</t>
        </is>
      </c>
      <c r="L183" t="inlineStr">
        <is>
          <t>PY05</t>
        </is>
      </c>
      <c r="M183" t="inlineStr">
        <is>
          <t>PRV1136</t>
        </is>
      </c>
      <c r="N183" t="n">
        <v>69.8</v>
      </c>
      <c r="O183" t="n">
        <v>258.6</v>
      </c>
      <c r="Q183" s="26" t="n">
        <v>44789</v>
      </c>
    </row>
    <row r="184">
      <c r="A184" t="inlineStr">
        <is>
          <t>PT11464</t>
        </is>
      </c>
      <c r="B184" t="inlineStr">
        <is>
          <t>09917671</t>
        </is>
      </c>
      <c r="C184" t="inlineStr">
        <is>
          <t>Rogers</t>
        </is>
      </c>
      <c r="D184" t="inlineStr">
        <is>
          <t>Ruth</t>
        </is>
      </c>
      <c r="E184" t="inlineStr">
        <is>
          <t>F</t>
        </is>
      </c>
      <c r="F184" s="26" t="n">
        <v>28936</v>
      </c>
      <c r="G184" t="inlineStr">
        <is>
          <t>Bluestone</t>
        </is>
      </c>
      <c r="H184" t="inlineStr">
        <is>
          <t>45501</t>
        </is>
      </c>
      <c r="I184" t="inlineStr">
        <is>
          <t>(555) 727-8494</t>
        </is>
      </c>
      <c r="J184" t="inlineStr">
        <is>
          <t>ruth.rogers16@example.com</t>
        </is>
      </c>
      <c r="K184" t="inlineStr">
        <is>
          <t>English</t>
        </is>
      </c>
      <c r="L184" t="inlineStr">
        <is>
          <t>PY06</t>
        </is>
      </c>
      <c r="M184" t="inlineStr">
        <is>
          <t>PRV1131</t>
        </is>
      </c>
      <c r="N184" t="n">
        <v>58.8</v>
      </c>
      <c r="O184" t="n">
        <v>118.7</v>
      </c>
      <c r="P184" t="inlineStr">
        <is>
          <t>ASTHMA;SEIZURE</t>
        </is>
      </c>
      <c r="Q184" s="26" t="n">
        <v>44751</v>
      </c>
    </row>
    <row r="185">
      <c r="A185" t="inlineStr">
        <is>
          <t>PT11472</t>
        </is>
      </c>
      <c r="B185" t="inlineStr">
        <is>
          <t>02505329</t>
        </is>
      </c>
      <c r="C185" t="inlineStr">
        <is>
          <t>Martin</t>
        </is>
      </c>
      <c r="D185" t="inlineStr">
        <is>
          <t>Pamela</t>
        </is>
      </c>
      <c r="E185" t="inlineStr">
        <is>
          <t>F</t>
        </is>
      </c>
      <c r="F185" s="26" t="n">
        <v>17536</v>
      </c>
      <c r="G185" t="inlineStr">
        <is>
          <t>Millbrook</t>
        </is>
      </c>
      <c r="H185" t="inlineStr">
        <is>
          <t>45530</t>
        </is>
      </c>
      <c r="I185" t="inlineStr">
        <is>
          <t>(555) 751-9967</t>
        </is>
      </c>
      <c r="K185" t="inlineStr">
        <is>
          <t>English</t>
        </is>
      </c>
      <c r="L185" t="inlineStr">
        <is>
          <t>PY01</t>
        </is>
      </c>
      <c r="M185" t="inlineStr">
        <is>
          <t>PRV1130</t>
        </is>
      </c>
      <c r="N185" t="n">
        <v>62.4</v>
      </c>
      <c r="O185" t="n">
        <v>172.5</v>
      </c>
      <c r="Q185" s="26" t="n">
        <v>44434</v>
      </c>
    </row>
    <row r="186">
      <c r="A186" t="inlineStr">
        <is>
          <t>PT11480</t>
        </is>
      </c>
      <c r="B186" t="inlineStr">
        <is>
          <t>05149120</t>
        </is>
      </c>
      <c r="C186" t="inlineStr">
        <is>
          <t>Ortiz</t>
        </is>
      </c>
      <c r="D186" t="inlineStr">
        <is>
          <t>Sophia</t>
        </is>
      </c>
      <c r="E186" t="inlineStr">
        <is>
          <t>F</t>
        </is>
      </c>
      <c r="F186" s="26" t="n">
        <v>31494</v>
      </c>
      <c r="G186" t="inlineStr">
        <is>
          <t>Pine Hollow</t>
        </is>
      </c>
      <c r="H186" t="inlineStr">
        <is>
          <t>45640</t>
        </is>
      </c>
      <c r="I186" t="inlineStr">
        <is>
          <t>(555) 340-7949</t>
        </is>
      </c>
      <c r="J186" t="inlineStr">
        <is>
          <t>sophia.ortiz76@example.com</t>
        </is>
      </c>
      <c r="K186" t="inlineStr">
        <is>
          <t>Spanish</t>
        </is>
      </c>
      <c r="L186" t="inlineStr">
        <is>
          <t>PY04</t>
        </is>
      </c>
      <c r="M186" t="inlineStr">
        <is>
          <t>PRV1129</t>
        </is>
      </c>
      <c r="N186" t="n">
        <v>65.5</v>
      </c>
      <c r="O186" t="n">
        <v>158.3</v>
      </c>
      <c r="P186" t="inlineStr">
        <is>
          <t>DM</t>
        </is>
      </c>
      <c r="Q186" s="26" t="n">
        <v>41194</v>
      </c>
    </row>
    <row r="187">
      <c r="A187" t="inlineStr">
        <is>
          <t>PT11488</t>
        </is>
      </c>
      <c r="B187" t="inlineStr">
        <is>
          <t>09241204</t>
        </is>
      </c>
      <c r="C187" t="inlineStr">
        <is>
          <t>Gutierrez</t>
        </is>
      </c>
      <c r="D187" t="inlineStr">
        <is>
          <t>Samuel</t>
        </is>
      </c>
      <c r="E187" t="inlineStr">
        <is>
          <t>M</t>
        </is>
      </c>
      <c r="F187" s="26" t="n">
        <v>26867</v>
      </c>
      <c r="G187" t="inlineStr">
        <is>
          <t>Ashby Falls</t>
        </is>
      </c>
      <c r="H187" t="inlineStr">
        <is>
          <t>45610</t>
        </is>
      </c>
      <c r="I187" t="inlineStr">
        <is>
          <t>(555) 374-7859</t>
        </is>
      </c>
      <c r="J187" t="inlineStr">
        <is>
          <t>samuel.gutierrez7@example.com</t>
        </is>
      </c>
      <c r="K187" t="inlineStr">
        <is>
          <t>English</t>
        </is>
      </c>
      <c r="L187" t="inlineStr">
        <is>
          <t>PY07</t>
        </is>
      </c>
      <c r="M187" t="inlineStr">
        <is>
          <t>PRV1135</t>
        </is>
      </c>
      <c r="N187" t="n">
        <v>68.09999999999999</v>
      </c>
      <c r="O187" t="n">
        <v>177.3</v>
      </c>
      <c r="P187" t="inlineStr">
        <is>
          <t>HTN;PSYCH</t>
        </is>
      </c>
      <c r="Q187" s="26" t="n">
        <v>44842</v>
      </c>
    </row>
    <row r="188">
      <c r="A188" t="inlineStr">
        <is>
          <t>PT11496</t>
        </is>
      </c>
      <c r="B188" t="inlineStr">
        <is>
          <t>04922671</t>
        </is>
      </c>
      <c r="C188" t="inlineStr">
        <is>
          <t>Olson</t>
        </is>
      </c>
      <c r="D188" t="inlineStr">
        <is>
          <t>Minh</t>
        </is>
      </c>
      <c r="E188" t="inlineStr">
        <is>
          <t>M</t>
        </is>
      </c>
      <c r="F188" s="26" t="n">
        <v>19096</v>
      </c>
      <c r="G188" t="inlineStr">
        <is>
          <t>Cedar Ridge</t>
        </is>
      </c>
      <c r="H188" t="inlineStr">
        <is>
          <t>45720</t>
        </is>
      </c>
      <c r="I188" t="inlineStr">
        <is>
          <t>(555) 427-2805</t>
        </is>
      </c>
      <c r="J188" t="inlineStr">
        <is>
          <t>minh.olson99@example.com</t>
        </is>
      </c>
      <c r="K188" t="inlineStr">
        <is>
          <t>English</t>
        </is>
      </c>
      <c r="L188" t="inlineStr">
        <is>
          <t>PY01</t>
        </is>
      </c>
      <c r="M188" t="inlineStr">
        <is>
          <t>PRV1131</t>
        </is>
      </c>
      <c r="N188" t="n">
        <v>71.7</v>
      </c>
      <c r="O188" t="n">
        <v>284.8</v>
      </c>
      <c r="Q188" s="26" t="n">
        <v>45133</v>
      </c>
    </row>
    <row r="189">
      <c r="A189" t="inlineStr">
        <is>
          <t>PT11504</t>
        </is>
      </c>
      <c r="B189" t="inlineStr">
        <is>
          <t>01530483</t>
        </is>
      </c>
      <c r="C189" t="inlineStr">
        <is>
          <t>Olson</t>
        </is>
      </c>
      <c r="D189" t="inlineStr">
        <is>
          <t>Sharon</t>
        </is>
      </c>
      <c r="E189" t="inlineStr">
        <is>
          <t>F</t>
        </is>
      </c>
      <c r="F189" s="26" t="n">
        <v>17220</v>
      </c>
      <c r="G189" t="inlineStr">
        <is>
          <t>Bluestone</t>
        </is>
      </c>
      <c r="H189" t="inlineStr">
        <is>
          <t>45501</t>
        </is>
      </c>
      <c r="I189" t="inlineStr">
        <is>
          <t>(555) 288-3629</t>
        </is>
      </c>
      <c r="J189" t="inlineStr">
        <is>
          <t>sharon.olson93@example.com</t>
        </is>
      </c>
      <c r="K189" t="inlineStr">
        <is>
          <t>English</t>
        </is>
      </c>
      <c r="L189" t="inlineStr">
        <is>
          <t>PY01</t>
        </is>
      </c>
      <c r="M189" t="inlineStr">
        <is>
          <t>PRV1132</t>
        </is>
      </c>
      <c r="N189" t="n">
        <v>64.2</v>
      </c>
      <c r="O189" t="n">
        <v>158.7</v>
      </c>
      <c r="P189" t="inlineStr">
        <is>
          <t>HTN</t>
        </is>
      </c>
      <c r="Q189" s="26" t="n">
        <v>40642</v>
      </c>
    </row>
    <row r="190">
      <c r="A190" t="inlineStr">
        <is>
          <t>PT11512</t>
        </is>
      </c>
      <c r="B190" t="inlineStr">
        <is>
          <t>02339365</t>
        </is>
      </c>
      <c r="C190" t="inlineStr">
        <is>
          <t>Mason</t>
        </is>
      </c>
      <c r="D190" t="inlineStr">
        <is>
          <t>Heather</t>
        </is>
      </c>
      <c r="E190" t="inlineStr">
        <is>
          <t>F</t>
        </is>
      </c>
      <c r="F190" s="26" t="n">
        <v>38824</v>
      </c>
      <c r="G190" t="inlineStr">
        <is>
          <t>Ashby Falls</t>
        </is>
      </c>
      <c r="H190" t="inlineStr">
        <is>
          <t>45610</t>
        </is>
      </c>
      <c r="I190" t="inlineStr">
        <is>
          <t>(555) 316-7230</t>
        </is>
      </c>
      <c r="J190" t="inlineStr">
        <is>
          <t>heather.mason79@example.com</t>
        </is>
      </c>
      <c r="K190" t="inlineStr">
        <is>
          <t>English</t>
        </is>
      </c>
      <c r="L190" t="inlineStr">
        <is>
          <t>PY05</t>
        </is>
      </c>
      <c r="M190" t="inlineStr">
        <is>
          <t>PRV1125</t>
        </is>
      </c>
      <c r="N190" t="n">
        <v>61</v>
      </c>
      <c r="O190" t="n">
        <v>145.2</v>
      </c>
      <c r="Q190" s="26" t="n">
        <v>43817</v>
      </c>
    </row>
    <row r="191">
      <c r="A191" t="inlineStr">
        <is>
          <t>PT11520</t>
        </is>
      </c>
      <c r="B191" t="inlineStr">
        <is>
          <t>00654281</t>
        </is>
      </c>
      <c r="C191" t="inlineStr">
        <is>
          <t>Butler</t>
        </is>
      </c>
      <c r="D191" t="inlineStr">
        <is>
          <t>Austin</t>
        </is>
      </c>
      <c r="E191" t="inlineStr">
        <is>
          <t>M</t>
        </is>
      </c>
      <c r="F191" s="26" t="n">
        <v>26027</v>
      </c>
      <c r="G191" t="inlineStr">
        <is>
          <t>Bluestone</t>
        </is>
      </c>
      <c r="H191" t="inlineStr">
        <is>
          <t>45502</t>
        </is>
      </c>
      <c r="I191" t="inlineStr">
        <is>
          <t>(555) 896-0666</t>
        </is>
      </c>
      <c r="K191" t="inlineStr">
        <is>
          <t>English</t>
        </is>
      </c>
      <c r="L191" t="inlineStr">
        <is>
          <t>PY03</t>
        </is>
      </c>
      <c r="M191" t="inlineStr">
        <is>
          <t>PRV1138</t>
        </is>
      </c>
      <c r="N191" t="n">
        <v>68.5</v>
      </c>
      <c r="O191" t="n">
        <v>152.1</v>
      </c>
      <c r="P191" t="inlineStr">
        <is>
          <t>HTN</t>
        </is>
      </c>
      <c r="Q191" s="26" t="n">
        <v>42002</v>
      </c>
    </row>
    <row r="192">
      <c r="A192" t="inlineStr">
        <is>
          <t>PT11528</t>
        </is>
      </c>
      <c r="B192" t="inlineStr">
        <is>
          <t>07475245</t>
        </is>
      </c>
      <c r="C192" t="inlineStr">
        <is>
          <t>Matthews</t>
        </is>
      </c>
      <c r="D192" t="inlineStr">
        <is>
          <t>Theresa</t>
        </is>
      </c>
      <c r="E192" t="inlineStr">
        <is>
          <t>F</t>
        </is>
      </c>
      <c r="F192" s="26" t="n">
        <v>23364</v>
      </c>
      <c r="G192" t="inlineStr">
        <is>
          <t>Bluestone</t>
        </is>
      </c>
      <c r="H192" t="inlineStr">
        <is>
          <t>45502</t>
        </is>
      </c>
      <c r="I192" t="inlineStr">
        <is>
          <t>(555) 785-7973</t>
        </is>
      </c>
      <c r="J192" t="inlineStr">
        <is>
          <t>theresa.matthews86@example.com</t>
        </is>
      </c>
      <c r="K192" t="inlineStr">
        <is>
          <t>English</t>
        </is>
      </c>
      <c r="L192" t="inlineStr">
        <is>
          <t>PY06</t>
        </is>
      </c>
      <c r="N192" t="n">
        <v>64.3</v>
      </c>
      <c r="O192" t="n">
        <v>152.5</v>
      </c>
      <c r="P192" t="inlineStr">
        <is>
          <t>HTN</t>
        </is>
      </c>
      <c r="Q192" s="26" t="n">
        <v>43543</v>
      </c>
    </row>
    <row r="193">
      <c r="A193" t="inlineStr">
        <is>
          <t>PT11536</t>
        </is>
      </c>
      <c r="B193" t="inlineStr">
        <is>
          <t>04979796</t>
        </is>
      </c>
      <c r="C193" t="inlineStr">
        <is>
          <t>Haddad</t>
        </is>
      </c>
      <c r="D193" t="inlineStr">
        <is>
          <t>Jonathan</t>
        </is>
      </c>
      <c r="E193" t="inlineStr">
        <is>
          <t>M</t>
        </is>
      </c>
      <c r="F193" s="26" t="n">
        <v>37346</v>
      </c>
      <c r="G193" t="inlineStr">
        <is>
          <t>Bluestone</t>
        </is>
      </c>
      <c r="H193" t="inlineStr">
        <is>
          <t>45501</t>
        </is>
      </c>
      <c r="I193" t="inlineStr">
        <is>
          <t>(555) 468-7891</t>
        </is>
      </c>
      <c r="J193" t="inlineStr">
        <is>
          <t>jonathan.haddad30@example.com</t>
        </is>
      </c>
      <c r="K193" t="inlineStr">
        <is>
          <t>English</t>
        </is>
      </c>
      <c r="L193" t="inlineStr">
        <is>
          <t>PY03</t>
        </is>
      </c>
      <c r="N193" t="n">
        <v>66.59999999999999</v>
      </c>
      <c r="O193" t="n">
        <v>188</v>
      </c>
      <c r="Q193" s="26" t="n">
        <v>42314</v>
      </c>
    </row>
    <row r="194">
      <c r="A194" t="inlineStr">
        <is>
          <t>PT11544</t>
        </is>
      </c>
      <c r="B194" t="inlineStr">
        <is>
          <t>02455918</t>
        </is>
      </c>
      <c r="C194" t="inlineStr">
        <is>
          <t>Hart</t>
        </is>
      </c>
      <c r="D194" t="inlineStr">
        <is>
          <t>Lauren</t>
        </is>
      </c>
      <c r="E194" t="inlineStr">
        <is>
          <t>F</t>
        </is>
      </c>
      <c r="F194" s="26" t="n">
        <v>44982</v>
      </c>
      <c r="G194" t="inlineStr">
        <is>
          <t>Oak Glen</t>
        </is>
      </c>
      <c r="H194" t="inlineStr">
        <is>
          <t>45730</t>
        </is>
      </c>
      <c r="I194" t="inlineStr">
        <is>
          <t>(555) 395-0840</t>
        </is>
      </c>
      <c r="K194" t="inlineStr">
        <is>
          <t>English</t>
        </is>
      </c>
      <c r="L194" t="inlineStr">
        <is>
          <t>PY05</t>
        </is>
      </c>
      <c r="M194" t="inlineStr">
        <is>
          <t>PRV1105</t>
        </is>
      </c>
      <c r="N194" t="n">
        <v>22.3</v>
      </c>
      <c r="O194" t="n">
        <v>10.6</v>
      </c>
      <c r="Q194" s="26" t="n">
        <v>44986</v>
      </c>
    </row>
    <row r="195">
      <c r="A195" t="inlineStr">
        <is>
          <t>PT11552</t>
        </is>
      </c>
      <c r="B195" t="inlineStr">
        <is>
          <t>07913710</t>
        </is>
      </c>
      <c r="C195" t="inlineStr">
        <is>
          <t>Bryant</t>
        </is>
      </c>
      <c r="D195" t="inlineStr">
        <is>
          <t>Lawrence</t>
        </is>
      </c>
      <c r="E195" t="inlineStr">
        <is>
          <t>M</t>
        </is>
      </c>
      <c r="F195" s="26" t="n">
        <v>38195</v>
      </c>
      <c r="G195" t="inlineStr">
        <is>
          <t>Pine Hollow</t>
        </is>
      </c>
      <c r="H195" t="inlineStr">
        <is>
          <t>45640</t>
        </is>
      </c>
      <c r="I195" t="inlineStr">
        <is>
          <t>(555) 924-1272</t>
        </is>
      </c>
      <c r="J195" t="inlineStr">
        <is>
          <t>lawrence.bryant4@example.com</t>
        </is>
      </c>
      <c r="K195" t="inlineStr">
        <is>
          <t>English</t>
        </is>
      </c>
      <c r="L195" t="inlineStr">
        <is>
          <t>PY05</t>
        </is>
      </c>
      <c r="M195" t="inlineStr">
        <is>
          <t>PRV1124</t>
        </is>
      </c>
      <c r="N195" t="n">
        <v>71.59999999999999</v>
      </c>
      <c r="O195" t="n">
        <v>244.7</v>
      </c>
      <c r="P195" t="inlineStr">
        <is>
          <t>ASTHMA</t>
        </is>
      </c>
      <c r="Q195" s="26" t="n">
        <v>40511</v>
      </c>
    </row>
    <row r="196">
      <c r="A196" t="inlineStr">
        <is>
          <t>PT11560</t>
        </is>
      </c>
      <c r="B196" t="inlineStr">
        <is>
          <t>05628143</t>
        </is>
      </c>
      <c r="C196" t="inlineStr">
        <is>
          <t>Anderson</t>
        </is>
      </c>
      <c r="D196" t="inlineStr">
        <is>
          <t>Theresa</t>
        </is>
      </c>
      <c r="E196" t="inlineStr">
        <is>
          <t>F</t>
        </is>
      </c>
      <c r="F196" s="26" t="n">
        <v>26406</v>
      </c>
      <c r="G196" t="inlineStr">
        <is>
          <t>Bluestone</t>
        </is>
      </c>
      <c r="H196" t="inlineStr">
        <is>
          <t>45501</t>
        </is>
      </c>
      <c r="I196" t="inlineStr">
        <is>
          <t>(555) 865-3243</t>
        </is>
      </c>
      <c r="J196" t="inlineStr">
        <is>
          <t>theresa.anderson74@example.com</t>
        </is>
      </c>
      <c r="K196" t="inlineStr">
        <is>
          <t>English</t>
        </is>
      </c>
      <c r="L196" t="inlineStr">
        <is>
          <t>PY04</t>
        </is>
      </c>
      <c r="N196" t="n">
        <v>65.3</v>
      </c>
      <c r="O196" t="n">
        <v>161.1</v>
      </c>
      <c r="P196" t="inlineStr">
        <is>
          <t>DM</t>
        </is>
      </c>
      <c r="Q196" s="26" t="n">
        <v>45185</v>
      </c>
    </row>
    <row r="197">
      <c r="A197" t="inlineStr">
        <is>
          <t>PT11568</t>
        </is>
      </c>
      <c r="B197" t="inlineStr">
        <is>
          <t>02736646</t>
        </is>
      </c>
      <c r="C197" t="inlineStr">
        <is>
          <t>Peterson</t>
        </is>
      </c>
      <c r="D197" t="inlineStr">
        <is>
          <t>Ivan</t>
        </is>
      </c>
      <c r="E197" t="inlineStr">
        <is>
          <t>M</t>
        </is>
      </c>
      <c r="F197" s="26" t="n">
        <v>26952</v>
      </c>
      <c r="G197" t="inlineStr">
        <is>
          <t>Bluestone</t>
        </is>
      </c>
      <c r="H197" t="inlineStr">
        <is>
          <t>45501</t>
        </is>
      </c>
      <c r="I197" t="inlineStr">
        <is>
          <t>(555) 675-4687</t>
        </is>
      </c>
      <c r="K197" t="inlineStr">
        <is>
          <t>English</t>
        </is>
      </c>
      <c r="L197" t="inlineStr">
        <is>
          <t>PY07</t>
        </is>
      </c>
      <c r="M197" t="inlineStr">
        <is>
          <t>PRV1133</t>
        </is>
      </c>
      <c r="N197" t="n">
        <v>64.59999999999999</v>
      </c>
      <c r="O197" t="n">
        <v>191.6</v>
      </c>
      <c r="P197" t="inlineStr">
        <is>
          <t>HTN;OA</t>
        </is>
      </c>
      <c r="Q197" s="26" t="n">
        <v>42919</v>
      </c>
    </row>
    <row r="198">
      <c r="A198" t="inlineStr">
        <is>
          <t>PT11576</t>
        </is>
      </c>
      <c r="B198" t="inlineStr">
        <is>
          <t>04905870</t>
        </is>
      </c>
      <c r="C198" t="inlineStr">
        <is>
          <t>Hernandez</t>
        </is>
      </c>
      <c r="D198" t="inlineStr">
        <is>
          <t>Jeremy</t>
        </is>
      </c>
      <c r="E198" t="inlineStr">
        <is>
          <t>M</t>
        </is>
      </c>
      <c r="F198" s="26" t="n">
        <v>25235</v>
      </c>
      <c r="G198" t="inlineStr">
        <is>
          <t>Riverbend</t>
        </is>
      </c>
      <c r="H198" t="inlineStr">
        <is>
          <t>45545</t>
        </is>
      </c>
      <c r="I198" t="inlineStr">
        <is>
          <t>(555) 368-9988</t>
        </is>
      </c>
      <c r="K198" t="inlineStr">
        <is>
          <t>Spanish</t>
        </is>
      </c>
      <c r="L198" t="inlineStr">
        <is>
          <t>PY03</t>
        </is>
      </c>
      <c r="M198" t="inlineStr">
        <is>
          <t>PRV1136</t>
        </is>
      </c>
      <c r="N198" t="n">
        <v>68.8</v>
      </c>
      <c r="O198" t="n">
        <v>233.2</v>
      </c>
      <c r="P198" t="inlineStr">
        <is>
          <t>HTN;ASTHMA</t>
        </is>
      </c>
      <c r="Q198" s="26" t="n">
        <v>44475</v>
      </c>
    </row>
    <row r="199">
      <c r="A199" t="inlineStr">
        <is>
          <t>PT11584</t>
        </is>
      </c>
      <c r="B199" t="inlineStr">
        <is>
          <t>09046505</t>
        </is>
      </c>
      <c r="C199" t="inlineStr">
        <is>
          <t>Gomez</t>
        </is>
      </c>
      <c r="D199" t="inlineStr">
        <is>
          <t>Carlos</t>
        </is>
      </c>
      <c r="E199" t="inlineStr">
        <is>
          <t>M</t>
        </is>
      </c>
      <c r="F199" s="26" t="n">
        <v>39309</v>
      </c>
      <c r="G199" t="inlineStr">
        <is>
          <t>Bluestone</t>
        </is>
      </c>
      <c r="H199" t="inlineStr">
        <is>
          <t>45502</t>
        </is>
      </c>
      <c r="I199" t="inlineStr">
        <is>
          <t>(555) 239-0921</t>
        </is>
      </c>
      <c r="K199" t="inlineStr">
        <is>
          <t>English</t>
        </is>
      </c>
      <c r="L199" t="inlineStr">
        <is>
          <t>PY04</t>
        </is>
      </c>
      <c r="M199" t="inlineStr">
        <is>
          <t>PRV1125</t>
        </is>
      </c>
      <c r="N199" t="n">
        <v>62.8</v>
      </c>
      <c r="O199" t="n">
        <v>200.5</v>
      </c>
      <c r="Q199" s="26" t="n">
        <v>44760</v>
      </c>
    </row>
    <row r="200">
      <c r="A200" t="inlineStr">
        <is>
          <t>PT11592</t>
        </is>
      </c>
      <c r="B200" t="inlineStr">
        <is>
          <t>07517519</t>
        </is>
      </c>
      <c r="C200" t="inlineStr">
        <is>
          <t>McDonald</t>
        </is>
      </c>
      <c r="D200" t="inlineStr">
        <is>
          <t>Nicholas</t>
        </is>
      </c>
      <c r="E200" t="inlineStr">
        <is>
          <t>M</t>
        </is>
      </c>
      <c r="F200" s="26" t="n">
        <v>17947</v>
      </c>
      <c r="G200" t="inlineStr">
        <is>
          <t>Fairhaven</t>
        </is>
      </c>
      <c r="H200" t="inlineStr">
        <is>
          <t>45620</t>
        </is>
      </c>
      <c r="I200" t="inlineStr">
        <is>
          <t>(555) 888-9309</t>
        </is>
      </c>
      <c r="K200" t="inlineStr">
        <is>
          <t>Arabic</t>
        </is>
      </c>
      <c r="L200" t="inlineStr">
        <is>
          <t>PY01</t>
        </is>
      </c>
      <c r="N200" t="n">
        <v>69.09999999999999</v>
      </c>
      <c r="O200" t="n">
        <v>253.1</v>
      </c>
      <c r="P200" t="inlineStr">
        <is>
          <t>HTN;SEIZURE</t>
        </is>
      </c>
      <c r="Q200" s="26" t="n">
        <v>42989</v>
      </c>
    </row>
    <row r="201">
      <c r="A201" t="inlineStr">
        <is>
          <t>PT11600</t>
        </is>
      </c>
      <c r="B201" t="inlineStr">
        <is>
          <t>01293074</t>
        </is>
      </c>
      <c r="C201" t="inlineStr">
        <is>
          <t>Cox</t>
        </is>
      </c>
      <c r="D201" t="inlineStr">
        <is>
          <t>Fatima</t>
        </is>
      </c>
      <c r="E201" t="inlineStr">
        <is>
          <t>F</t>
        </is>
      </c>
      <c r="F201" s="26" t="n">
        <v>15235</v>
      </c>
      <c r="G201" t="inlineStr">
        <is>
          <t>Bluestone</t>
        </is>
      </c>
      <c r="H201" t="inlineStr">
        <is>
          <t>45502</t>
        </is>
      </c>
      <c r="I201" t="inlineStr">
        <is>
          <t>(555) 505-7621</t>
        </is>
      </c>
      <c r="J201" t="inlineStr">
        <is>
          <t>fatima.cox90@example.com</t>
        </is>
      </c>
      <c r="K201" t="inlineStr">
        <is>
          <t>English</t>
        </is>
      </c>
      <c r="L201" t="inlineStr">
        <is>
          <t>PY03</t>
        </is>
      </c>
      <c r="M201" t="inlineStr">
        <is>
          <t>PRV1124</t>
        </is>
      </c>
      <c r="N201" t="n">
        <v>67.3</v>
      </c>
      <c r="O201" t="n">
        <v>213.1</v>
      </c>
      <c r="P201" t="inlineStr">
        <is>
          <t>COPD;AFIB;CANCER</t>
        </is>
      </c>
      <c r="Q201" s="26" t="n">
        <v>40688</v>
      </c>
    </row>
    <row r="202">
      <c r="A202" t="inlineStr">
        <is>
          <t>PT11608</t>
        </is>
      </c>
      <c r="B202" t="inlineStr">
        <is>
          <t>05848438</t>
        </is>
      </c>
      <c r="C202" t="inlineStr">
        <is>
          <t>Schmidt</t>
        </is>
      </c>
      <c r="D202" t="inlineStr">
        <is>
          <t>Scott</t>
        </is>
      </c>
      <c r="E202" t="inlineStr">
        <is>
          <t>M</t>
        </is>
      </c>
      <c r="F202" s="26" t="n">
        <v>28735</v>
      </c>
      <c r="G202" t="inlineStr">
        <is>
          <t>Bluestone</t>
        </is>
      </c>
      <c r="H202" t="inlineStr">
        <is>
          <t>45503</t>
        </is>
      </c>
      <c r="I202" t="inlineStr">
        <is>
          <t>(555) 871-2305</t>
        </is>
      </c>
      <c r="J202" t="inlineStr">
        <is>
          <t>scott.schmidt93@example.com</t>
        </is>
      </c>
      <c r="K202" t="inlineStr">
        <is>
          <t>English</t>
        </is>
      </c>
      <c r="L202" t="inlineStr">
        <is>
          <t>PY04</t>
        </is>
      </c>
      <c r="M202" t="inlineStr">
        <is>
          <t>PRV1130</t>
        </is>
      </c>
      <c r="N202" t="n">
        <v>67.5</v>
      </c>
      <c r="O202" t="n">
        <v>210.1</v>
      </c>
      <c r="Q202" s="26" t="n">
        <v>40990</v>
      </c>
    </row>
    <row r="203">
      <c r="A203" t="inlineStr">
        <is>
          <t>PT11616</t>
        </is>
      </c>
      <c r="B203" t="inlineStr">
        <is>
          <t>04774700</t>
        </is>
      </c>
      <c r="C203" t="inlineStr">
        <is>
          <t>Adams</t>
        </is>
      </c>
      <c r="D203" t="inlineStr">
        <is>
          <t>Ryan</t>
        </is>
      </c>
      <c r="E203" t="inlineStr">
        <is>
          <t>M</t>
        </is>
      </c>
      <c r="F203" s="26" t="n">
        <v>13924</v>
      </c>
      <c r="G203" t="inlineStr">
        <is>
          <t>Bluestone</t>
        </is>
      </c>
      <c r="H203" t="inlineStr">
        <is>
          <t>45501</t>
        </is>
      </c>
      <c r="I203" t="inlineStr">
        <is>
          <t>(555) 809-2480</t>
        </is>
      </c>
      <c r="J203" t="inlineStr">
        <is>
          <t>ryan.adams50@example.com</t>
        </is>
      </c>
      <c r="K203" t="inlineStr">
        <is>
          <t>English</t>
        </is>
      </c>
      <c r="L203" t="inlineStr">
        <is>
          <t>PY03</t>
        </is>
      </c>
      <c r="M203" t="inlineStr">
        <is>
          <t>PRV1128</t>
        </is>
      </c>
      <c r="N203" t="n">
        <v>66</v>
      </c>
      <c r="O203" t="n">
        <v>149.9</v>
      </c>
      <c r="P203" t="inlineStr">
        <is>
          <t>HTN;COPD;CKD</t>
        </is>
      </c>
      <c r="Q203" s="26" t="n">
        <v>45207</v>
      </c>
    </row>
    <row r="204">
      <c r="A204" t="inlineStr">
        <is>
          <t>PT11624</t>
        </is>
      </c>
      <c r="B204" t="inlineStr">
        <is>
          <t>02525993</t>
        </is>
      </c>
      <c r="C204" t="inlineStr">
        <is>
          <t>Woods</t>
        </is>
      </c>
      <c r="D204" t="inlineStr">
        <is>
          <t>Martha</t>
        </is>
      </c>
      <c r="E204" t="inlineStr">
        <is>
          <t>F</t>
        </is>
      </c>
      <c r="F204" s="26" t="n">
        <v>25398</v>
      </c>
      <c r="G204" t="inlineStr">
        <is>
          <t>Bluestone</t>
        </is>
      </c>
      <c r="H204" t="inlineStr">
        <is>
          <t>45502</t>
        </is>
      </c>
      <c r="I204" t="inlineStr">
        <is>
          <t>(555) 879-9279</t>
        </is>
      </c>
      <c r="K204" t="inlineStr">
        <is>
          <t>English</t>
        </is>
      </c>
      <c r="L204" t="inlineStr">
        <is>
          <t>PY03</t>
        </is>
      </c>
      <c r="M204" t="inlineStr">
        <is>
          <t>PRV1140</t>
        </is>
      </c>
      <c r="N204" t="n">
        <v>64.7</v>
      </c>
      <c r="O204" t="n">
        <v>127.7</v>
      </c>
      <c r="P204" t="inlineStr">
        <is>
          <t>HTN;DM;HF</t>
        </is>
      </c>
      <c r="Q204" s="26" t="n">
        <v>45247</v>
      </c>
    </row>
    <row r="205">
      <c r="A205" t="inlineStr">
        <is>
          <t>PT11632</t>
        </is>
      </c>
      <c r="B205" t="inlineStr">
        <is>
          <t>01949266</t>
        </is>
      </c>
      <c r="C205" t="inlineStr">
        <is>
          <t>Woods</t>
        </is>
      </c>
      <c r="D205" t="inlineStr">
        <is>
          <t>Ralph</t>
        </is>
      </c>
      <c r="E205" t="inlineStr">
        <is>
          <t>M</t>
        </is>
      </c>
      <c r="F205" s="26" t="n">
        <v>32663</v>
      </c>
      <c r="G205" t="inlineStr">
        <is>
          <t>Bluestone</t>
        </is>
      </c>
      <c r="H205" t="inlineStr">
        <is>
          <t>45502</t>
        </is>
      </c>
      <c r="I205" t="inlineStr">
        <is>
          <t>(555) 382-5952</t>
        </is>
      </c>
      <c r="J205" t="inlineStr">
        <is>
          <t>ralph.woods39@example.com</t>
        </is>
      </c>
      <c r="K205" t="inlineStr">
        <is>
          <t>English</t>
        </is>
      </c>
      <c r="L205" t="inlineStr">
        <is>
          <t>PY03</t>
        </is>
      </c>
      <c r="M205" t="inlineStr">
        <is>
          <t>PRV1135</t>
        </is>
      </c>
      <c r="N205" t="n">
        <v>69.2</v>
      </c>
      <c r="O205" t="n">
        <v>206.9</v>
      </c>
      <c r="P205" t="inlineStr">
        <is>
          <t>DM;PSYCH</t>
        </is>
      </c>
      <c r="Q205" s="26" t="n">
        <v>39506</v>
      </c>
    </row>
    <row r="206">
      <c r="A206" t="inlineStr">
        <is>
          <t>PT11640</t>
        </is>
      </c>
      <c r="B206" t="inlineStr">
        <is>
          <t>07402217</t>
        </is>
      </c>
      <c r="C206" t="inlineStr">
        <is>
          <t>Powell</t>
        </is>
      </c>
      <c r="D206" t="inlineStr">
        <is>
          <t>Ralph</t>
        </is>
      </c>
      <c r="E206" t="inlineStr">
        <is>
          <t>M</t>
        </is>
      </c>
      <c r="F206" s="26" t="n">
        <v>43371</v>
      </c>
      <c r="G206" t="inlineStr">
        <is>
          <t>Oak Glen</t>
        </is>
      </c>
      <c r="H206" t="inlineStr">
        <is>
          <t>45730</t>
        </is>
      </c>
      <c r="I206" t="inlineStr">
        <is>
          <t>(555) 831-2630</t>
        </is>
      </c>
      <c r="K206" t="inlineStr">
        <is>
          <t>English</t>
        </is>
      </c>
      <c r="L206" t="inlineStr">
        <is>
          <t>PY03</t>
        </is>
      </c>
      <c r="M206" t="inlineStr">
        <is>
          <t>PRV1106</t>
        </is>
      </c>
      <c r="N206" t="n">
        <v>37.6</v>
      </c>
      <c r="O206" t="n">
        <v>35.3</v>
      </c>
      <c r="Q206" s="26" t="n">
        <v>45216</v>
      </c>
    </row>
    <row r="207">
      <c r="A207" t="inlineStr">
        <is>
          <t>PT11648</t>
        </is>
      </c>
      <c r="B207" t="inlineStr">
        <is>
          <t>03792735</t>
        </is>
      </c>
      <c r="C207" t="inlineStr">
        <is>
          <t>Palmer</t>
        </is>
      </c>
      <c r="D207" t="inlineStr">
        <is>
          <t>Roger</t>
        </is>
      </c>
      <c r="E207" t="inlineStr">
        <is>
          <t>M</t>
        </is>
      </c>
      <c r="F207" s="26" t="n">
        <v>34445</v>
      </c>
      <c r="G207" t="inlineStr">
        <is>
          <t>Bluestone</t>
        </is>
      </c>
      <c r="H207" t="inlineStr">
        <is>
          <t>45502</t>
        </is>
      </c>
      <c r="I207" t="inlineStr">
        <is>
          <t>(555) 935-3611</t>
        </is>
      </c>
      <c r="J207" t="inlineStr">
        <is>
          <t>roger.palmer96@example.com</t>
        </is>
      </c>
      <c r="K207" t="inlineStr">
        <is>
          <t>English</t>
        </is>
      </c>
      <c r="L207" t="inlineStr">
        <is>
          <t>PY05</t>
        </is>
      </c>
      <c r="M207" t="inlineStr">
        <is>
          <t>PRV1132</t>
        </is>
      </c>
      <c r="N207" t="n">
        <v>66.8</v>
      </c>
      <c r="O207" t="n">
        <v>181.4</v>
      </c>
      <c r="P207" t="inlineStr">
        <is>
          <t>PSYCH</t>
        </is>
      </c>
      <c r="Q207" s="26" t="n">
        <v>43473</v>
      </c>
    </row>
    <row r="208">
      <c r="A208" t="inlineStr">
        <is>
          <t>PT11656</t>
        </is>
      </c>
      <c r="B208" t="inlineStr">
        <is>
          <t>03943763</t>
        </is>
      </c>
      <c r="C208" t="inlineStr">
        <is>
          <t>Alvarado</t>
        </is>
      </c>
      <c r="D208" t="inlineStr">
        <is>
          <t>Bryan</t>
        </is>
      </c>
      <c r="E208" t="inlineStr">
        <is>
          <t>M</t>
        </is>
      </c>
      <c r="F208" s="26" t="n">
        <v>23500</v>
      </c>
      <c r="G208" t="inlineStr">
        <is>
          <t>Bluestone</t>
        </is>
      </c>
      <c r="H208" t="inlineStr">
        <is>
          <t>45501</t>
        </is>
      </c>
      <c r="I208" t="inlineStr">
        <is>
          <t>(555) 535-0694</t>
        </is>
      </c>
      <c r="J208" t="inlineStr">
        <is>
          <t>bryan.alvarado93@example.com</t>
        </is>
      </c>
      <c r="K208" t="inlineStr">
        <is>
          <t>Spanish</t>
        </is>
      </c>
      <c r="L208" t="inlineStr">
        <is>
          <t>PY07</t>
        </is>
      </c>
      <c r="N208" t="n">
        <v>68.5</v>
      </c>
      <c r="O208" t="n">
        <v>208.1</v>
      </c>
      <c r="Q208" s="26" t="n">
        <v>44498</v>
      </c>
    </row>
    <row r="209">
      <c r="A209" t="inlineStr">
        <is>
          <t>PT11664</t>
        </is>
      </c>
      <c r="B209" t="inlineStr">
        <is>
          <t>09012782</t>
        </is>
      </c>
      <c r="C209" t="inlineStr">
        <is>
          <t>Evans</t>
        </is>
      </c>
      <c r="D209" t="inlineStr">
        <is>
          <t>Megan</t>
        </is>
      </c>
      <c r="E209" t="inlineStr">
        <is>
          <t>F</t>
        </is>
      </c>
      <c r="F209" s="26" t="n">
        <v>30331</v>
      </c>
      <c r="G209" t="inlineStr">
        <is>
          <t>Bluestone</t>
        </is>
      </c>
      <c r="H209" t="inlineStr">
        <is>
          <t>45502</t>
        </is>
      </c>
      <c r="I209" t="inlineStr">
        <is>
          <t>(555) 765-2910</t>
        </is>
      </c>
      <c r="J209" t="inlineStr">
        <is>
          <t>megan.evans38@example.com</t>
        </is>
      </c>
      <c r="K209" t="inlineStr">
        <is>
          <t>English</t>
        </is>
      </c>
      <c r="L209" t="inlineStr">
        <is>
          <t>PY03</t>
        </is>
      </c>
      <c r="M209" t="inlineStr">
        <is>
          <t>PRV1135</t>
        </is>
      </c>
      <c r="N209" t="n">
        <v>64.90000000000001</v>
      </c>
      <c r="O209" t="n">
        <v>169.6</v>
      </c>
      <c r="P209" t="inlineStr">
        <is>
          <t>ETOH</t>
        </is>
      </c>
      <c r="Q209" s="26" t="n">
        <v>45200</v>
      </c>
    </row>
    <row r="210">
      <c r="A210" t="inlineStr">
        <is>
          <t>PT11672</t>
        </is>
      </c>
      <c r="B210" t="inlineStr">
        <is>
          <t>03150925</t>
        </is>
      </c>
      <c r="C210" t="inlineStr">
        <is>
          <t>Reynolds</t>
        </is>
      </c>
      <c r="D210" t="inlineStr">
        <is>
          <t>Mason</t>
        </is>
      </c>
      <c r="E210" t="inlineStr">
        <is>
          <t>M</t>
        </is>
      </c>
      <c r="F210" s="26" t="n">
        <v>25088</v>
      </c>
      <c r="G210" t="inlineStr">
        <is>
          <t>Ashby Falls</t>
        </is>
      </c>
      <c r="H210" t="inlineStr">
        <is>
          <t>45610</t>
        </is>
      </c>
      <c r="I210" t="inlineStr">
        <is>
          <t>(555) 258-8504</t>
        </is>
      </c>
      <c r="K210" t="inlineStr">
        <is>
          <t>English</t>
        </is>
      </c>
      <c r="L210" t="inlineStr">
        <is>
          <t>PY05</t>
        </is>
      </c>
      <c r="M210" t="inlineStr">
        <is>
          <t>PRV1129</t>
        </is>
      </c>
      <c r="N210" t="n">
        <v>72.40000000000001</v>
      </c>
      <c r="O210" t="n">
        <v>196.6</v>
      </c>
      <c r="P210" t="inlineStr">
        <is>
          <t>DM;ASTHMA</t>
        </is>
      </c>
      <c r="Q210" s="26" t="n">
        <v>40391</v>
      </c>
    </row>
    <row r="211">
      <c r="A211" t="inlineStr">
        <is>
          <t>PT11680</t>
        </is>
      </c>
      <c r="B211" t="inlineStr">
        <is>
          <t>06223105</t>
        </is>
      </c>
      <c r="C211" t="inlineStr">
        <is>
          <t>Wright</t>
        </is>
      </c>
      <c r="D211" t="inlineStr">
        <is>
          <t>Samantha</t>
        </is>
      </c>
      <c r="E211" t="inlineStr">
        <is>
          <t>F</t>
        </is>
      </c>
      <c r="F211" s="26" t="n">
        <v>18674</v>
      </c>
      <c r="G211" t="inlineStr">
        <is>
          <t>Bluestone</t>
        </is>
      </c>
      <c r="H211" t="inlineStr">
        <is>
          <t>45503</t>
        </is>
      </c>
      <c r="I211" t="inlineStr">
        <is>
          <t>(555) 443-9599</t>
        </is>
      </c>
      <c r="J211" t="inlineStr">
        <is>
          <t>samantha.wright37@example.com</t>
        </is>
      </c>
      <c r="K211" t="inlineStr">
        <is>
          <t>English</t>
        </is>
      </c>
      <c r="L211" t="inlineStr">
        <is>
          <t>PY01</t>
        </is>
      </c>
      <c r="M211" t="inlineStr">
        <is>
          <t>PRV1131</t>
        </is>
      </c>
      <c r="N211" t="n">
        <v>67.2</v>
      </c>
      <c r="O211" t="n">
        <v>193.9</v>
      </c>
      <c r="P211" t="inlineStr">
        <is>
          <t>PSYCH</t>
        </is>
      </c>
      <c r="Q211" s="26" t="n">
        <v>39561</v>
      </c>
    </row>
    <row r="212">
      <c r="A212" t="inlineStr">
        <is>
          <t>PT11688</t>
        </is>
      </c>
      <c r="B212" t="inlineStr">
        <is>
          <t>07448731</t>
        </is>
      </c>
      <c r="C212" t="inlineStr">
        <is>
          <t>Hansen</t>
        </is>
      </c>
      <c r="D212" t="inlineStr">
        <is>
          <t>Christopher</t>
        </is>
      </c>
      <c r="E212" t="inlineStr">
        <is>
          <t>M</t>
        </is>
      </c>
      <c r="F212" s="26" t="n">
        <v>18589</v>
      </c>
      <c r="G212" t="inlineStr">
        <is>
          <t>Cedar Ridge</t>
        </is>
      </c>
      <c r="H212" t="inlineStr">
        <is>
          <t>45720</t>
        </is>
      </c>
      <c r="I212" t="inlineStr">
        <is>
          <t>(555) 844-8482</t>
        </is>
      </c>
      <c r="J212" t="inlineStr">
        <is>
          <t>christopher.hansen99@example.com</t>
        </is>
      </c>
      <c r="K212" t="inlineStr">
        <is>
          <t>English</t>
        </is>
      </c>
      <c r="L212" t="inlineStr">
        <is>
          <t>PY02</t>
        </is>
      </c>
      <c r="M212" t="inlineStr">
        <is>
          <t>PRV1132</t>
        </is>
      </c>
      <c r="N212" t="n">
        <v>68.8</v>
      </c>
      <c r="O212" t="n">
        <v>254.3</v>
      </c>
      <c r="P212" t="inlineStr">
        <is>
          <t>HTN;AFIB;CKD</t>
        </is>
      </c>
      <c r="Q212" s="26" t="n">
        <v>44380</v>
      </c>
    </row>
    <row r="213">
      <c r="A213" t="inlineStr">
        <is>
          <t>PT11696</t>
        </is>
      </c>
      <c r="B213" t="inlineStr">
        <is>
          <t>02984084</t>
        </is>
      </c>
      <c r="C213" t="inlineStr">
        <is>
          <t>Abbott</t>
        </is>
      </c>
      <c r="D213" t="inlineStr">
        <is>
          <t>Jeremy</t>
        </is>
      </c>
      <c r="E213" t="inlineStr">
        <is>
          <t>M</t>
        </is>
      </c>
      <c r="F213" s="26" t="n">
        <v>22141</v>
      </c>
      <c r="G213" t="inlineStr">
        <is>
          <t>Bluestone</t>
        </is>
      </c>
      <c r="H213" t="inlineStr">
        <is>
          <t>45501</t>
        </is>
      </c>
      <c r="I213" t="inlineStr">
        <is>
          <t>(555) 620-0453</t>
        </is>
      </c>
      <c r="J213" t="inlineStr">
        <is>
          <t>jeremy.abbott47@example.com</t>
        </is>
      </c>
      <c r="K213" t="inlineStr">
        <is>
          <t>English</t>
        </is>
      </c>
      <c r="L213" t="inlineStr">
        <is>
          <t>PY01</t>
        </is>
      </c>
      <c r="M213" t="inlineStr">
        <is>
          <t>PRV1139</t>
        </is>
      </c>
      <c r="N213" t="n">
        <v>70.40000000000001</v>
      </c>
      <c r="O213" t="n">
        <v>255.7</v>
      </c>
      <c r="P213" t="inlineStr">
        <is>
          <t>HTN;DM;COPD</t>
        </is>
      </c>
      <c r="Q213" s="26" t="n">
        <v>43081</v>
      </c>
    </row>
    <row r="214">
      <c r="A214" t="inlineStr">
        <is>
          <t>PT11704</t>
        </is>
      </c>
      <c r="B214" t="inlineStr">
        <is>
          <t>07002358</t>
        </is>
      </c>
      <c r="C214" t="inlineStr">
        <is>
          <t>Hunter</t>
        </is>
      </c>
      <c r="D214" t="inlineStr">
        <is>
          <t>Jesse</t>
        </is>
      </c>
      <c r="E214" t="inlineStr">
        <is>
          <t>M</t>
        </is>
      </c>
      <c r="F214" s="26" t="n">
        <v>24150</v>
      </c>
      <c r="G214" t="inlineStr">
        <is>
          <t>Bluestone</t>
        </is>
      </c>
      <c r="H214" t="inlineStr">
        <is>
          <t>45501</t>
        </is>
      </c>
      <c r="I214" t="inlineStr">
        <is>
          <t>(555) 965-8049</t>
        </is>
      </c>
      <c r="J214" t="inlineStr">
        <is>
          <t>jesse.hunter32@example.com</t>
        </is>
      </c>
      <c r="K214" t="inlineStr">
        <is>
          <t>English</t>
        </is>
      </c>
      <c r="L214" t="inlineStr">
        <is>
          <t>PY03</t>
        </is>
      </c>
      <c r="M214" t="inlineStr">
        <is>
          <t>PRV1125</t>
        </is>
      </c>
      <c r="N214" t="n">
        <v>71.7</v>
      </c>
      <c r="O214" t="n">
        <v>263.1</v>
      </c>
      <c r="P214" t="inlineStr">
        <is>
          <t>COPD</t>
        </is>
      </c>
      <c r="Q214" s="26" t="n">
        <v>42692</v>
      </c>
    </row>
    <row r="215">
      <c r="A215" t="inlineStr">
        <is>
          <t>PT11712</t>
        </is>
      </c>
      <c r="B215" t="inlineStr">
        <is>
          <t>02121668</t>
        </is>
      </c>
      <c r="C215" t="inlineStr">
        <is>
          <t>Smith</t>
        </is>
      </c>
      <c r="D215" t="inlineStr">
        <is>
          <t>Jean</t>
        </is>
      </c>
      <c r="E215" t="inlineStr">
        <is>
          <t>F</t>
        </is>
      </c>
      <c r="F215" s="26" t="n">
        <v>18535</v>
      </c>
      <c r="G215" t="inlineStr">
        <is>
          <t>Oak Glen</t>
        </is>
      </c>
      <c r="H215" t="inlineStr">
        <is>
          <t>45730</t>
        </is>
      </c>
      <c r="I215" t="inlineStr">
        <is>
          <t>(555) 596-7702</t>
        </is>
      </c>
      <c r="J215" t="inlineStr">
        <is>
          <t>jean.smith12@example.com</t>
        </is>
      </c>
      <c r="K215" t="inlineStr">
        <is>
          <t>English</t>
        </is>
      </c>
      <c r="L215" t="inlineStr">
        <is>
          <t>PY01</t>
        </is>
      </c>
      <c r="M215" t="inlineStr">
        <is>
          <t>PRV1124</t>
        </is>
      </c>
      <c r="N215" t="n">
        <v>65.2</v>
      </c>
      <c r="O215" t="n">
        <v>145.9</v>
      </c>
      <c r="P215" t="inlineStr">
        <is>
          <t>HF;PSYCH;OA</t>
        </is>
      </c>
      <c r="Q215" s="26" t="n">
        <v>40576</v>
      </c>
    </row>
    <row r="216">
      <c r="A216" t="inlineStr">
        <is>
          <t>PT11720</t>
        </is>
      </c>
      <c r="B216" t="inlineStr">
        <is>
          <t>00346848</t>
        </is>
      </c>
      <c r="C216" t="inlineStr">
        <is>
          <t>Evans</t>
        </is>
      </c>
      <c r="D216" t="inlineStr">
        <is>
          <t>Philip</t>
        </is>
      </c>
      <c r="E216" t="inlineStr">
        <is>
          <t>M</t>
        </is>
      </c>
      <c r="F216" s="26" t="n">
        <v>22399</v>
      </c>
      <c r="G216" t="inlineStr">
        <is>
          <t>Cedar Ridge</t>
        </is>
      </c>
      <c r="H216" t="inlineStr">
        <is>
          <t>45720</t>
        </is>
      </c>
      <c r="I216" t="inlineStr">
        <is>
          <t>(555) 786-6083</t>
        </is>
      </c>
      <c r="J216" t="inlineStr">
        <is>
          <t>philip.evans37@example.com</t>
        </is>
      </c>
      <c r="K216" t="inlineStr">
        <is>
          <t>English</t>
        </is>
      </c>
      <c r="L216" t="inlineStr">
        <is>
          <t>PY05</t>
        </is>
      </c>
      <c r="M216" t="inlineStr">
        <is>
          <t>PRV1129</t>
        </is>
      </c>
      <c r="N216" t="n">
        <v>62.8</v>
      </c>
      <c r="O216" t="n">
        <v>162.2</v>
      </c>
      <c r="Q216" s="26" t="n">
        <v>40795</v>
      </c>
    </row>
    <row r="217">
      <c r="A217" t="inlineStr">
        <is>
          <t>PT11728</t>
        </is>
      </c>
      <c r="B217" t="inlineStr">
        <is>
          <t>08627571</t>
        </is>
      </c>
      <c r="C217" t="inlineStr">
        <is>
          <t>Nichols</t>
        </is>
      </c>
      <c r="D217" t="inlineStr">
        <is>
          <t>Cheryl</t>
        </is>
      </c>
      <c r="E217" t="inlineStr">
        <is>
          <t>F</t>
        </is>
      </c>
      <c r="F217" s="26" t="n">
        <v>36262</v>
      </c>
      <c r="G217" t="inlineStr">
        <is>
          <t>Millbrook</t>
        </is>
      </c>
      <c r="H217" t="inlineStr">
        <is>
          <t>45530</t>
        </is>
      </c>
      <c r="I217" t="inlineStr">
        <is>
          <t>(555) 596-3654</t>
        </is>
      </c>
      <c r="J217" t="inlineStr">
        <is>
          <t>cheryl.nichols97@example.com</t>
        </is>
      </c>
      <c r="K217" t="inlineStr">
        <is>
          <t>English</t>
        </is>
      </c>
      <c r="L217" t="inlineStr">
        <is>
          <t>PY03</t>
        </is>
      </c>
      <c r="M217" t="inlineStr">
        <is>
          <t>PRV1131</t>
        </is>
      </c>
      <c r="N217" t="n">
        <v>63.8</v>
      </c>
      <c r="O217" t="n">
        <v>191.5</v>
      </c>
      <c r="Q217" s="26" t="n">
        <v>43223</v>
      </c>
    </row>
    <row r="218">
      <c r="A218" t="inlineStr">
        <is>
          <t>PT11736</t>
        </is>
      </c>
      <c r="B218" t="inlineStr">
        <is>
          <t>08084596</t>
        </is>
      </c>
      <c r="C218" t="inlineStr">
        <is>
          <t>Carpenter</t>
        </is>
      </c>
      <c r="D218" t="inlineStr">
        <is>
          <t>Abigail</t>
        </is>
      </c>
      <c r="E218" t="inlineStr">
        <is>
          <t>F</t>
        </is>
      </c>
      <c r="F218" s="26" t="n">
        <v>30240</v>
      </c>
      <c r="G218" t="inlineStr">
        <is>
          <t>Bluestone</t>
        </is>
      </c>
      <c r="H218" t="inlineStr">
        <is>
          <t>45501</t>
        </is>
      </c>
      <c r="I218" t="inlineStr">
        <is>
          <t>(555) 399-6499</t>
        </is>
      </c>
      <c r="J218" t="inlineStr">
        <is>
          <t>abigail.carpenter91@example.com</t>
        </is>
      </c>
      <c r="K218" t="inlineStr">
        <is>
          <t>English</t>
        </is>
      </c>
      <c r="L218" t="inlineStr">
        <is>
          <t>PY04</t>
        </is>
      </c>
      <c r="M218" t="inlineStr">
        <is>
          <t>PRV1131</t>
        </is>
      </c>
      <c r="N218" t="n">
        <v>65.40000000000001</v>
      </c>
      <c r="O218" t="n">
        <v>239.8</v>
      </c>
      <c r="Q218" s="26" t="n">
        <v>42746</v>
      </c>
    </row>
    <row r="219">
      <c r="A219" t="inlineStr">
        <is>
          <t>PT11744</t>
        </is>
      </c>
      <c r="B219" t="inlineStr">
        <is>
          <t>02545637</t>
        </is>
      </c>
      <c r="C219" t="inlineStr">
        <is>
          <t>Carter</t>
        </is>
      </c>
      <c r="D219" t="inlineStr">
        <is>
          <t>Julia</t>
        </is>
      </c>
      <c r="E219" t="inlineStr">
        <is>
          <t>F</t>
        </is>
      </c>
      <c r="F219" s="26" t="n">
        <v>36136</v>
      </c>
      <c r="G219" t="inlineStr">
        <is>
          <t>Bluestone</t>
        </is>
      </c>
      <c r="H219" t="inlineStr">
        <is>
          <t>45502</t>
        </is>
      </c>
      <c r="I219" t="inlineStr">
        <is>
          <t>(555) 237-8707</t>
        </is>
      </c>
      <c r="J219" t="inlineStr">
        <is>
          <t>julia.carter72@example.com</t>
        </is>
      </c>
      <c r="K219" t="inlineStr">
        <is>
          <t>English</t>
        </is>
      </c>
      <c r="L219" t="inlineStr">
        <is>
          <t>PY03</t>
        </is>
      </c>
      <c r="M219" t="inlineStr">
        <is>
          <t>PRV1140</t>
        </is>
      </c>
      <c r="N219" t="n">
        <v>65.3</v>
      </c>
      <c r="O219" t="n">
        <v>188.2</v>
      </c>
      <c r="P219" t="inlineStr">
        <is>
          <t>ASTHMA</t>
        </is>
      </c>
      <c r="Q219" s="26" t="n">
        <v>39482</v>
      </c>
    </row>
    <row r="220">
      <c r="A220" t="inlineStr">
        <is>
          <t>PT11752</t>
        </is>
      </c>
      <c r="B220" t="inlineStr">
        <is>
          <t>07385599</t>
        </is>
      </c>
      <c r="C220" t="inlineStr">
        <is>
          <t>Soto</t>
        </is>
      </c>
      <c r="D220" t="inlineStr">
        <is>
          <t>Douglas</t>
        </is>
      </c>
      <c r="E220" t="inlineStr">
        <is>
          <t>M</t>
        </is>
      </c>
      <c r="F220" s="26" t="n">
        <v>30479</v>
      </c>
      <c r="G220" t="inlineStr">
        <is>
          <t>Cedar Ridge</t>
        </is>
      </c>
      <c r="H220" t="inlineStr">
        <is>
          <t>45720</t>
        </is>
      </c>
      <c r="I220" t="inlineStr">
        <is>
          <t>(555) 548-7280</t>
        </is>
      </c>
      <c r="K220" t="inlineStr">
        <is>
          <t>English</t>
        </is>
      </c>
      <c r="L220" t="inlineStr">
        <is>
          <t>PY03</t>
        </is>
      </c>
      <c r="M220" t="inlineStr">
        <is>
          <t>PRV1133</t>
        </is>
      </c>
      <c r="N220" t="n">
        <v>67.2</v>
      </c>
      <c r="O220" t="n">
        <v>241.9</v>
      </c>
      <c r="P220" t="inlineStr">
        <is>
          <t>DM</t>
        </is>
      </c>
      <c r="Q220" s="26" t="n">
        <v>41291</v>
      </c>
    </row>
    <row r="221">
      <c r="A221" t="inlineStr">
        <is>
          <t>PT11760</t>
        </is>
      </c>
      <c r="B221" t="inlineStr">
        <is>
          <t>07070577</t>
        </is>
      </c>
      <c r="C221" t="inlineStr">
        <is>
          <t>Wilson</t>
        </is>
      </c>
      <c r="D221" t="inlineStr">
        <is>
          <t>Cynthia</t>
        </is>
      </c>
      <c r="E221" t="inlineStr">
        <is>
          <t>F</t>
        </is>
      </c>
      <c r="F221" s="26" t="n">
        <v>25692</v>
      </c>
      <c r="G221" t="inlineStr">
        <is>
          <t>Lakeview Heights</t>
        </is>
      </c>
      <c r="H221" t="inlineStr">
        <is>
          <t>45510</t>
        </is>
      </c>
      <c r="I221" t="inlineStr">
        <is>
          <t>(555) 711-7191</t>
        </is>
      </c>
      <c r="J221" t="inlineStr">
        <is>
          <t>cynthia.wilson77@example.com</t>
        </is>
      </c>
      <c r="K221" t="inlineStr">
        <is>
          <t>Spanish</t>
        </is>
      </c>
      <c r="L221" t="inlineStr">
        <is>
          <t>PY03</t>
        </is>
      </c>
      <c r="M221" t="inlineStr">
        <is>
          <t>PRV1127</t>
        </is>
      </c>
      <c r="N221" t="n">
        <v>65.90000000000001</v>
      </c>
      <c r="O221" t="n">
        <v>257.6</v>
      </c>
      <c r="P221" t="inlineStr">
        <is>
          <t>HTN;HF</t>
        </is>
      </c>
      <c r="Q221" s="26" t="n">
        <v>43782</v>
      </c>
    </row>
    <row r="222">
      <c r="A222" t="inlineStr">
        <is>
          <t>PT11768</t>
        </is>
      </c>
      <c r="B222" t="inlineStr">
        <is>
          <t>07615067</t>
        </is>
      </c>
      <c r="C222" t="inlineStr">
        <is>
          <t>Moreno</t>
        </is>
      </c>
      <c r="D222" t="inlineStr">
        <is>
          <t>Alexis</t>
        </is>
      </c>
      <c r="E222" t="inlineStr">
        <is>
          <t>F</t>
        </is>
      </c>
      <c r="F222" s="26" t="n">
        <v>39401</v>
      </c>
      <c r="G222" t="inlineStr">
        <is>
          <t>Cedar Ridge</t>
        </is>
      </c>
      <c r="H222" t="inlineStr">
        <is>
          <t>45720</t>
        </is>
      </c>
      <c r="I222" t="inlineStr">
        <is>
          <t>(555) 920-7199</t>
        </is>
      </c>
      <c r="J222" t="inlineStr">
        <is>
          <t>alexis.moreno18@example.com</t>
        </is>
      </c>
      <c r="K222" t="inlineStr">
        <is>
          <t>English</t>
        </is>
      </c>
      <c r="L222" t="inlineStr">
        <is>
          <t>PY03</t>
        </is>
      </c>
      <c r="M222" t="inlineStr">
        <is>
          <t>PRV1133</t>
        </is>
      </c>
      <c r="N222" t="n">
        <v>63.9</v>
      </c>
      <c r="O222" t="n">
        <v>183.1</v>
      </c>
      <c r="Q222" s="26" t="n">
        <v>45389</v>
      </c>
    </row>
    <row r="223">
      <c r="A223" t="inlineStr">
        <is>
          <t>PT11776</t>
        </is>
      </c>
      <c r="B223" t="inlineStr">
        <is>
          <t>01145572</t>
        </is>
      </c>
      <c r="C223" t="inlineStr">
        <is>
          <t>Jordan</t>
        </is>
      </c>
      <c r="D223" t="inlineStr">
        <is>
          <t>Teresa</t>
        </is>
      </c>
      <c r="E223" t="inlineStr">
        <is>
          <t>F</t>
        </is>
      </c>
      <c r="F223" s="26" t="n">
        <v>19705</v>
      </c>
      <c r="G223" t="inlineStr">
        <is>
          <t>Lakeview Heights</t>
        </is>
      </c>
      <c r="H223" t="inlineStr">
        <is>
          <t>45510</t>
        </is>
      </c>
      <c r="I223" t="inlineStr">
        <is>
          <t>(555) 572-7768</t>
        </is>
      </c>
      <c r="J223" t="inlineStr">
        <is>
          <t>teresa.jordan51@example.com</t>
        </is>
      </c>
      <c r="K223" t="inlineStr">
        <is>
          <t>English</t>
        </is>
      </c>
      <c r="L223" t="inlineStr">
        <is>
          <t>PY01</t>
        </is>
      </c>
      <c r="M223" t="inlineStr">
        <is>
          <t>PRV1124</t>
        </is>
      </c>
      <c r="N223" t="n">
        <v>64</v>
      </c>
      <c r="O223" t="n">
        <v>133.2</v>
      </c>
      <c r="P223" t="inlineStr">
        <is>
          <t>HTN;DM;COPD</t>
        </is>
      </c>
      <c r="Q223" s="26" t="n">
        <v>43905</v>
      </c>
    </row>
    <row r="224">
      <c r="A224" t="inlineStr">
        <is>
          <t>PT11784</t>
        </is>
      </c>
      <c r="B224" t="inlineStr">
        <is>
          <t>02218992</t>
        </is>
      </c>
      <c r="C224" t="inlineStr">
        <is>
          <t>Sanchez</t>
        </is>
      </c>
      <c r="D224" t="inlineStr">
        <is>
          <t>Camila</t>
        </is>
      </c>
      <c r="E224" t="inlineStr">
        <is>
          <t>F</t>
        </is>
      </c>
      <c r="F224" s="26" t="n">
        <v>42562</v>
      </c>
      <c r="G224" t="inlineStr">
        <is>
          <t>Riverbend</t>
        </is>
      </c>
      <c r="H224" t="inlineStr">
        <is>
          <t>45545</t>
        </is>
      </c>
      <c r="I224" t="inlineStr">
        <is>
          <t>(555) 862-5896</t>
        </is>
      </c>
      <c r="K224" t="inlineStr">
        <is>
          <t>English</t>
        </is>
      </c>
      <c r="L224" t="inlineStr">
        <is>
          <t>PY05</t>
        </is>
      </c>
      <c r="M224" t="inlineStr">
        <is>
          <t>PRV1108</t>
        </is>
      </c>
      <c r="N224" t="n">
        <v>42.3</v>
      </c>
      <c r="O224" t="n">
        <v>48.4</v>
      </c>
      <c r="Q224" s="26" t="n">
        <v>45346</v>
      </c>
    </row>
    <row r="225">
      <c r="A225" t="inlineStr">
        <is>
          <t>PT11792</t>
        </is>
      </c>
      <c r="B225" t="inlineStr">
        <is>
          <t>09374611</t>
        </is>
      </c>
      <c r="C225" t="inlineStr">
        <is>
          <t>Rogers</t>
        </is>
      </c>
      <c r="D225" t="inlineStr">
        <is>
          <t>Jean</t>
        </is>
      </c>
      <c r="E225" t="inlineStr">
        <is>
          <t>F</t>
        </is>
      </c>
      <c r="F225" s="26" t="n">
        <v>22220</v>
      </c>
      <c r="G225" t="inlineStr">
        <is>
          <t>Bluestone</t>
        </is>
      </c>
      <c r="H225" t="inlineStr">
        <is>
          <t>45503</t>
        </is>
      </c>
      <c r="I225" t="inlineStr">
        <is>
          <t>(555) 900-0623</t>
        </is>
      </c>
      <c r="K225" t="inlineStr">
        <is>
          <t>English</t>
        </is>
      </c>
      <c r="L225" t="inlineStr">
        <is>
          <t>PY02</t>
        </is>
      </c>
      <c r="M225" t="inlineStr">
        <is>
          <t>PRV1128</t>
        </is>
      </c>
      <c r="N225" t="n">
        <v>59.7</v>
      </c>
      <c r="O225" t="n">
        <v>123.8</v>
      </c>
      <c r="P225" t="inlineStr">
        <is>
          <t>DM</t>
        </is>
      </c>
      <c r="Q225" s="26" t="n">
        <v>43683</v>
      </c>
    </row>
    <row r="226">
      <c r="A226" t="inlineStr">
        <is>
          <t>PT11800</t>
        </is>
      </c>
      <c r="B226" t="inlineStr">
        <is>
          <t>06651639</t>
        </is>
      </c>
      <c r="C226" t="inlineStr">
        <is>
          <t>Ford</t>
        </is>
      </c>
      <c r="D226" t="inlineStr">
        <is>
          <t>Steven</t>
        </is>
      </c>
      <c r="E226" t="inlineStr">
        <is>
          <t>M</t>
        </is>
      </c>
      <c r="F226" s="26" t="n">
        <v>18632</v>
      </c>
      <c r="G226" t="inlineStr">
        <is>
          <t>Bluestone</t>
        </is>
      </c>
      <c r="H226" t="inlineStr">
        <is>
          <t>45501</t>
        </is>
      </c>
      <c r="I226" t="inlineStr">
        <is>
          <t>(555) 786-8809</t>
        </is>
      </c>
      <c r="J226" t="inlineStr">
        <is>
          <t>steven.ford77@example.com</t>
        </is>
      </c>
      <c r="K226" t="inlineStr">
        <is>
          <t>English</t>
        </is>
      </c>
      <c r="L226" t="inlineStr">
        <is>
          <t>PY01</t>
        </is>
      </c>
      <c r="M226" t="inlineStr">
        <is>
          <t>PRV1138</t>
        </is>
      </c>
      <c r="N226" t="n">
        <v>72.09999999999999</v>
      </c>
      <c r="O226" t="n">
        <v>161.5</v>
      </c>
      <c r="P226" t="inlineStr">
        <is>
          <t>HTN;DM</t>
        </is>
      </c>
      <c r="Q226" s="26" t="n">
        <v>41348</v>
      </c>
    </row>
    <row r="227">
      <c r="A227" t="inlineStr">
        <is>
          <t>PT11808</t>
        </is>
      </c>
      <c r="B227" t="inlineStr">
        <is>
          <t>07201834</t>
        </is>
      </c>
      <c r="C227" t="inlineStr">
        <is>
          <t>Freeman</t>
        </is>
      </c>
      <c r="D227" t="inlineStr">
        <is>
          <t>Dennis</t>
        </is>
      </c>
      <c r="E227" t="inlineStr">
        <is>
          <t>M</t>
        </is>
      </c>
      <c r="F227" s="26" t="n">
        <v>31699</v>
      </c>
      <c r="G227" t="inlineStr">
        <is>
          <t>Fairhaven</t>
        </is>
      </c>
      <c r="H227" t="inlineStr">
        <is>
          <t>45620</t>
        </is>
      </c>
      <c r="I227" t="inlineStr">
        <is>
          <t>(555) 403-0255</t>
        </is>
      </c>
      <c r="J227" t="inlineStr">
        <is>
          <t>dennis.freeman56@example.com</t>
        </is>
      </c>
      <c r="K227" t="inlineStr">
        <is>
          <t>English</t>
        </is>
      </c>
      <c r="L227" t="inlineStr">
        <is>
          <t>PY04</t>
        </is>
      </c>
      <c r="M227" t="inlineStr">
        <is>
          <t>PRV1133</t>
        </is>
      </c>
      <c r="N227" t="n">
        <v>66.8</v>
      </c>
      <c r="O227" t="n">
        <v>178.1</v>
      </c>
      <c r="Q227" s="26" t="n">
        <v>42046</v>
      </c>
    </row>
    <row r="228">
      <c r="A228" t="inlineStr">
        <is>
          <t>PT11816</t>
        </is>
      </c>
      <c r="B228" t="inlineStr">
        <is>
          <t>04285019</t>
        </is>
      </c>
      <c r="C228" t="inlineStr">
        <is>
          <t>Mendoza</t>
        </is>
      </c>
      <c r="D228" t="inlineStr">
        <is>
          <t>Diana</t>
        </is>
      </c>
      <c r="E228" t="inlineStr">
        <is>
          <t>F</t>
        </is>
      </c>
      <c r="F228" s="26" t="n">
        <v>10954</v>
      </c>
      <c r="G228" t="inlineStr">
        <is>
          <t>Cedar Ridge</t>
        </is>
      </c>
      <c r="H228" t="inlineStr">
        <is>
          <t>45720</t>
        </is>
      </c>
      <c r="I228" t="inlineStr">
        <is>
          <t>(555) 209-3434</t>
        </is>
      </c>
      <c r="J228" t="inlineStr">
        <is>
          <t>diana.mendoza23@example.com</t>
        </is>
      </c>
      <c r="K228" t="inlineStr">
        <is>
          <t>English</t>
        </is>
      </c>
      <c r="L228" t="inlineStr">
        <is>
          <t>PY01</t>
        </is>
      </c>
      <c r="M228" t="inlineStr">
        <is>
          <t>PRV1125</t>
        </is>
      </c>
      <c r="N228" t="n">
        <v>61.8</v>
      </c>
      <c r="O228" t="n">
        <v>158.1</v>
      </c>
      <c r="P228" t="inlineStr">
        <is>
          <t>HTN;DM</t>
        </is>
      </c>
      <c r="Q228" s="26" t="n">
        <v>40236</v>
      </c>
    </row>
    <row r="229">
      <c r="A229" t="inlineStr">
        <is>
          <t>PT11824</t>
        </is>
      </c>
      <c r="B229" t="inlineStr">
        <is>
          <t>08389487</t>
        </is>
      </c>
      <c r="C229" t="inlineStr">
        <is>
          <t>Lindqvist</t>
        </is>
      </c>
      <c r="D229" t="inlineStr">
        <is>
          <t>Victoria</t>
        </is>
      </c>
      <c r="E229" t="inlineStr">
        <is>
          <t>F</t>
        </is>
      </c>
      <c r="F229" s="26" t="n">
        <v>38861</v>
      </c>
      <c r="G229" t="inlineStr">
        <is>
          <t>Bluestone</t>
        </is>
      </c>
      <c r="H229" t="inlineStr">
        <is>
          <t>45502</t>
        </is>
      </c>
      <c r="I229" t="inlineStr">
        <is>
          <t>(555) 502-2392</t>
        </is>
      </c>
      <c r="K229" t="inlineStr">
        <is>
          <t>English</t>
        </is>
      </c>
      <c r="L229" t="inlineStr">
        <is>
          <t>PY04</t>
        </is>
      </c>
      <c r="M229" t="inlineStr">
        <is>
          <t>PRV1128</t>
        </is>
      </c>
      <c r="N229" t="n">
        <v>61.6</v>
      </c>
      <c r="O229" t="n">
        <v>136.5</v>
      </c>
      <c r="Q229" s="26" t="n">
        <v>45052</v>
      </c>
    </row>
    <row r="230">
      <c r="A230" t="inlineStr">
        <is>
          <t>PT11832</t>
        </is>
      </c>
      <c r="B230" t="inlineStr">
        <is>
          <t>00371215</t>
        </is>
      </c>
      <c r="C230" t="inlineStr">
        <is>
          <t>Peters</t>
        </is>
      </c>
      <c r="D230" t="inlineStr">
        <is>
          <t>Billy</t>
        </is>
      </c>
      <c r="E230" t="inlineStr">
        <is>
          <t>M</t>
        </is>
      </c>
      <c r="F230" s="26" t="n">
        <v>24186</v>
      </c>
      <c r="G230" t="inlineStr">
        <is>
          <t>Oak Glen</t>
        </is>
      </c>
      <c r="H230" t="inlineStr">
        <is>
          <t>45730</t>
        </is>
      </c>
      <c r="I230" t="inlineStr">
        <is>
          <t>(555) 491-9087</t>
        </is>
      </c>
      <c r="K230" t="inlineStr">
        <is>
          <t>English</t>
        </is>
      </c>
      <c r="L230" t="inlineStr">
        <is>
          <t>PY03</t>
        </is>
      </c>
      <c r="M230" t="inlineStr">
        <is>
          <t>PRV1133</t>
        </is>
      </c>
      <c r="N230" t="n">
        <v>68</v>
      </c>
      <c r="O230" t="n">
        <v>204.5</v>
      </c>
      <c r="P230" t="inlineStr">
        <is>
          <t>HTN;DM</t>
        </is>
      </c>
      <c r="Q230" s="26" t="n">
        <v>40462</v>
      </c>
    </row>
    <row r="231">
      <c r="A231" t="inlineStr">
        <is>
          <t>PT11840</t>
        </is>
      </c>
      <c r="B231" t="inlineStr">
        <is>
          <t>03694376</t>
        </is>
      </c>
      <c r="C231" t="inlineStr">
        <is>
          <t>Cook</t>
        </is>
      </c>
      <c r="D231" t="inlineStr">
        <is>
          <t>Isabella</t>
        </is>
      </c>
      <c r="E231" t="inlineStr">
        <is>
          <t>F</t>
        </is>
      </c>
      <c r="F231" s="26" t="n">
        <v>17451</v>
      </c>
      <c r="G231" t="inlineStr">
        <is>
          <t>Bluestone</t>
        </is>
      </c>
      <c r="H231" t="inlineStr">
        <is>
          <t>45502</t>
        </is>
      </c>
      <c r="I231" t="inlineStr">
        <is>
          <t>(555) 393-0518</t>
        </is>
      </c>
      <c r="K231" t="inlineStr">
        <is>
          <t>English</t>
        </is>
      </c>
      <c r="L231" t="inlineStr">
        <is>
          <t>PY02</t>
        </is>
      </c>
      <c r="M231" t="inlineStr">
        <is>
          <t>PRV1125</t>
        </is>
      </c>
      <c r="N231" t="n">
        <v>61.4</v>
      </c>
      <c r="O231" t="n">
        <v>187.1</v>
      </c>
      <c r="P231" t="inlineStr">
        <is>
          <t>HTN;PSYCH</t>
        </is>
      </c>
      <c r="Q231" s="26" t="n">
        <v>44323</v>
      </c>
    </row>
    <row r="232">
      <c r="A232" t="inlineStr">
        <is>
          <t>PT11848</t>
        </is>
      </c>
      <c r="B232" t="inlineStr">
        <is>
          <t>03712970</t>
        </is>
      </c>
      <c r="C232" t="inlineStr">
        <is>
          <t>Rice</t>
        </is>
      </c>
      <c r="D232" t="inlineStr">
        <is>
          <t>Charlotte</t>
        </is>
      </c>
      <c r="E232" t="inlineStr">
        <is>
          <t>F</t>
        </is>
      </c>
      <c r="F232" s="26" t="n">
        <v>17791</v>
      </c>
      <c r="G232" t="inlineStr">
        <is>
          <t>Lakeview Heights</t>
        </is>
      </c>
      <c r="H232" t="inlineStr">
        <is>
          <t>45510</t>
        </is>
      </c>
      <c r="I232" t="inlineStr">
        <is>
          <t>(555) 547-7280</t>
        </is>
      </c>
      <c r="J232" t="inlineStr">
        <is>
          <t>charlotte.rice30@example.com</t>
        </is>
      </c>
      <c r="K232" t="inlineStr">
        <is>
          <t>Spanish</t>
        </is>
      </c>
      <c r="L232" t="inlineStr">
        <is>
          <t>PY02</t>
        </is>
      </c>
      <c r="M232" t="inlineStr">
        <is>
          <t>PRV1132</t>
        </is>
      </c>
      <c r="N232" t="n">
        <v>66.59999999999999</v>
      </c>
      <c r="O232" t="n">
        <v>208.5</v>
      </c>
      <c r="Q232" s="26" t="n">
        <v>42280</v>
      </c>
    </row>
    <row r="233">
      <c r="A233" t="inlineStr">
        <is>
          <t>PT11856</t>
        </is>
      </c>
      <c r="B233" t="inlineStr">
        <is>
          <t>02226283</t>
        </is>
      </c>
      <c r="C233" t="inlineStr">
        <is>
          <t>Lewis</t>
        </is>
      </c>
      <c r="D233" t="inlineStr">
        <is>
          <t>Justin</t>
        </is>
      </c>
      <c r="E233" t="inlineStr">
        <is>
          <t>M</t>
        </is>
      </c>
      <c r="F233" s="26" t="n">
        <v>30070</v>
      </c>
      <c r="G233" t="inlineStr">
        <is>
          <t>Riverbend</t>
        </is>
      </c>
      <c r="H233" t="inlineStr">
        <is>
          <t>45545</t>
        </is>
      </c>
      <c r="I233" t="inlineStr">
        <is>
          <t>(555) 730-7629</t>
        </is>
      </c>
      <c r="K233" t="inlineStr">
        <is>
          <t>English</t>
        </is>
      </c>
      <c r="L233" t="inlineStr">
        <is>
          <t>PY05</t>
        </is>
      </c>
      <c r="M233" t="inlineStr">
        <is>
          <t>PRV1126</t>
        </is>
      </c>
      <c r="N233" t="n">
        <v>68.8</v>
      </c>
      <c r="O233" t="n">
        <v>234</v>
      </c>
      <c r="P233" t="inlineStr">
        <is>
          <t>HTN;CANCER</t>
        </is>
      </c>
      <c r="Q233" s="26" t="n">
        <v>45239</v>
      </c>
    </row>
    <row r="234">
      <c r="A234" t="inlineStr">
        <is>
          <t>PT11864</t>
        </is>
      </c>
      <c r="B234" t="inlineStr">
        <is>
          <t>03049314</t>
        </is>
      </c>
      <c r="C234" t="inlineStr">
        <is>
          <t>Bryant</t>
        </is>
      </c>
      <c r="D234" t="inlineStr">
        <is>
          <t>Elijah</t>
        </is>
      </c>
      <c r="E234" t="inlineStr">
        <is>
          <t>M</t>
        </is>
      </c>
      <c r="F234" s="26" t="n">
        <v>31937</v>
      </c>
      <c r="G234" t="inlineStr">
        <is>
          <t>Fairhaven</t>
        </is>
      </c>
      <c r="H234" t="inlineStr">
        <is>
          <t>45620</t>
        </is>
      </c>
      <c r="I234" t="inlineStr">
        <is>
          <t>(555) 464-7939</t>
        </is>
      </c>
      <c r="J234" t="inlineStr">
        <is>
          <t>elijah.bryant27@example.com</t>
        </is>
      </c>
      <c r="K234" t="inlineStr">
        <is>
          <t>English</t>
        </is>
      </c>
      <c r="L234" t="inlineStr">
        <is>
          <t>PY03</t>
        </is>
      </c>
      <c r="M234" t="inlineStr">
        <is>
          <t>PRV1135</t>
        </is>
      </c>
      <c r="N234" t="n">
        <v>71.59999999999999</v>
      </c>
      <c r="O234" t="n">
        <v>176.5</v>
      </c>
      <c r="Q234" s="26" t="n">
        <v>44507</v>
      </c>
    </row>
    <row r="235">
      <c r="A235" t="inlineStr">
        <is>
          <t>PT11872</t>
        </is>
      </c>
      <c r="B235" t="inlineStr">
        <is>
          <t>04417369</t>
        </is>
      </c>
      <c r="C235" t="inlineStr">
        <is>
          <t>Mendoza</t>
        </is>
      </c>
      <c r="D235" t="inlineStr">
        <is>
          <t>Diane</t>
        </is>
      </c>
      <c r="E235" t="inlineStr">
        <is>
          <t>F</t>
        </is>
      </c>
      <c r="F235" s="26" t="n">
        <v>44770</v>
      </c>
      <c r="G235" t="inlineStr">
        <is>
          <t>Millbrook</t>
        </is>
      </c>
      <c r="H235" t="inlineStr">
        <is>
          <t>45530</t>
        </is>
      </c>
      <c r="I235" t="inlineStr">
        <is>
          <t>(555) 219-8625</t>
        </is>
      </c>
      <c r="K235" t="inlineStr">
        <is>
          <t>English</t>
        </is>
      </c>
      <c r="L235" t="inlineStr">
        <is>
          <t>PY03</t>
        </is>
      </c>
      <c r="M235" t="inlineStr">
        <is>
          <t>PRV1106</t>
        </is>
      </c>
      <c r="N235" t="n">
        <v>31</v>
      </c>
      <c r="O235" t="n">
        <v>24.5</v>
      </c>
      <c r="Q235" s="26" t="n">
        <v>45350</v>
      </c>
    </row>
    <row r="236">
      <c r="A236" t="inlineStr">
        <is>
          <t>PT11880</t>
        </is>
      </c>
      <c r="B236" t="inlineStr">
        <is>
          <t>02305607</t>
        </is>
      </c>
      <c r="C236" t="inlineStr">
        <is>
          <t>Okafor</t>
        </is>
      </c>
      <c r="D236" t="inlineStr">
        <is>
          <t>Willie</t>
        </is>
      </c>
      <c r="E236" t="inlineStr">
        <is>
          <t>M</t>
        </is>
      </c>
      <c r="F236" s="26" t="n">
        <v>18901</v>
      </c>
      <c r="G236" t="inlineStr">
        <is>
          <t>Bluestone</t>
        </is>
      </c>
      <c r="H236" t="inlineStr">
        <is>
          <t>45501</t>
        </is>
      </c>
      <c r="I236" t="inlineStr">
        <is>
          <t>(555) 331-7616</t>
        </is>
      </c>
      <c r="J236" t="inlineStr">
        <is>
          <t>willie.okafor1@example.com</t>
        </is>
      </c>
      <c r="K236" t="inlineStr">
        <is>
          <t>Somali</t>
        </is>
      </c>
      <c r="L236" t="inlineStr">
        <is>
          <t>PY01</t>
        </is>
      </c>
      <c r="M236" t="inlineStr">
        <is>
          <t>PRV1131</t>
        </is>
      </c>
      <c r="N236" t="n">
        <v>68.2</v>
      </c>
      <c r="O236" t="n">
        <v>151.5</v>
      </c>
      <c r="P236" t="inlineStr">
        <is>
          <t>DM;AFIB;CKD</t>
        </is>
      </c>
      <c r="Q236" s="26" t="n">
        <v>43502</v>
      </c>
    </row>
    <row r="237">
      <c r="A237" t="inlineStr">
        <is>
          <t>PT11888</t>
        </is>
      </c>
      <c r="B237" t="inlineStr">
        <is>
          <t>02611885</t>
        </is>
      </c>
      <c r="C237" t="inlineStr">
        <is>
          <t>Turner</t>
        </is>
      </c>
      <c r="D237" t="inlineStr">
        <is>
          <t>Daniel</t>
        </is>
      </c>
      <c r="E237" t="inlineStr">
        <is>
          <t>M</t>
        </is>
      </c>
      <c r="F237" s="26" t="n">
        <v>26131</v>
      </c>
      <c r="G237" t="inlineStr">
        <is>
          <t>Bluestone</t>
        </is>
      </c>
      <c r="H237" t="inlineStr">
        <is>
          <t>45503</t>
        </is>
      </c>
      <c r="I237" t="inlineStr">
        <is>
          <t>(555) 257-0727</t>
        </is>
      </c>
      <c r="J237" t="inlineStr">
        <is>
          <t>daniel.turner40@example.com</t>
        </is>
      </c>
      <c r="K237" t="inlineStr">
        <is>
          <t>English</t>
        </is>
      </c>
      <c r="L237" t="inlineStr">
        <is>
          <t>PY04</t>
        </is>
      </c>
      <c r="M237" t="inlineStr">
        <is>
          <t>PRV1126</t>
        </is>
      </c>
      <c r="N237" t="n">
        <v>70.09999999999999</v>
      </c>
      <c r="O237" t="n">
        <v>115.2</v>
      </c>
      <c r="P237" t="inlineStr">
        <is>
          <t>HTN</t>
        </is>
      </c>
      <c r="Q237" s="26" t="n">
        <v>44285</v>
      </c>
    </row>
    <row r="238">
      <c r="A238" t="inlineStr">
        <is>
          <t>PT11896</t>
        </is>
      </c>
      <c r="B238" t="inlineStr">
        <is>
          <t>02598420</t>
        </is>
      </c>
      <c r="C238" t="inlineStr">
        <is>
          <t>Gomez</t>
        </is>
      </c>
      <c r="D238" t="inlineStr">
        <is>
          <t>Susan</t>
        </is>
      </c>
      <c r="E238" t="inlineStr">
        <is>
          <t>F</t>
        </is>
      </c>
      <c r="F238" s="26" t="n">
        <v>27363</v>
      </c>
      <c r="G238" t="inlineStr">
        <is>
          <t>Bluestone</t>
        </is>
      </c>
      <c r="H238" t="inlineStr">
        <is>
          <t>45503</t>
        </is>
      </c>
      <c r="I238" t="inlineStr">
        <is>
          <t>(555) 882-0311</t>
        </is>
      </c>
      <c r="J238" t="inlineStr">
        <is>
          <t>susan.gomez22@example.com</t>
        </is>
      </c>
      <c r="K238" t="inlineStr">
        <is>
          <t>Spanish</t>
        </is>
      </c>
      <c r="L238" t="inlineStr">
        <is>
          <t>PY03</t>
        </is>
      </c>
      <c r="M238" t="inlineStr">
        <is>
          <t>PRV1128</t>
        </is>
      </c>
      <c r="N238" t="n">
        <v>63.4</v>
      </c>
      <c r="O238" t="n">
        <v>199.7</v>
      </c>
      <c r="P238" t="inlineStr">
        <is>
          <t>DM;OA</t>
        </is>
      </c>
      <c r="Q238" s="26" t="n">
        <v>41358</v>
      </c>
    </row>
    <row r="239">
      <c r="A239" t="inlineStr">
        <is>
          <t>PT11904</t>
        </is>
      </c>
      <c r="B239" t="inlineStr">
        <is>
          <t>00074284</t>
        </is>
      </c>
      <c r="C239" t="inlineStr">
        <is>
          <t>Carter</t>
        </is>
      </c>
      <c r="D239" t="inlineStr">
        <is>
          <t>Robert</t>
        </is>
      </c>
      <c r="E239" t="inlineStr">
        <is>
          <t>M</t>
        </is>
      </c>
      <c r="F239" s="26" t="n">
        <v>37217</v>
      </c>
      <c r="G239" t="inlineStr">
        <is>
          <t>Cedar Ridge</t>
        </is>
      </c>
      <c r="H239" t="inlineStr">
        <is>
          <t>45720</t>
        </is>
      </c>
      <c r="I239" t="inlineStr">
        <is>
          <t>(555) 848-8503</t>
        </is>
      </c>
      <c r="J239" t="inlineStr">
        <is>
          <t>robert.carter39@example.com</t>
        </is>
      </c>
      <c r="K239" t="inlineStr">
        <is>
          <t>Spanish</t>
        </is>
      </c>
      <c r="L239" t="inlineStr">
        <is>
          <t>PY05</t>
        </is>
      </c>
      <c r="M239" t="inlineStr">
        <is>
          <t>PRV1136</t>
        </is>
      </c>
      <c r="N239" t="n">
        <v>68.59999999999999</v>
      </c>
      <c r="O239" t="n">
        <v>210.9</v>
      </c>
      <c r="P239" t="inlineStr">
        <is>
          <t>ETOH</t>
        </is>
      </c>
      <c r="Q239" s="26" t="n">
        <v>44865</v>
      </c>
    </row>
    <row r="240">
      <c r="A240" t="inlineStr">
        <is>
          <t>PT11912</t>
        </is>
      </c>
      <c r="B240" t="inlineStr">
        <is>
          <t>05802530</t>
        </is>
      </c>
      <c r="C240" t="inlineStr">
        <is>
          <t>Lopez</t>
        </is>
      </c>
      <c r="D240" t="inlineStr">
        <is>
          <t>Timothy</t>
        </is>
      </c>
      <c r="E240" t="inlineStr">
        <is>
          <t>M</t>
        </is>
      </c>
      <c r="F240" s="26" t="n">
        <v>19105</v>
      </c>
      <c r="G240" t="inlineStr">
        <is>
          <t>Bluestone</t>
        </is>
      </c>
      <c r="H240" t="inlineStr">
        <is>
          <t>45502</t>
        </is>
      </c>
      <c r="I240" t="inlineStr">
        <is>
          <t>(555) 531-9887</t>
        </is>
      </c>
      <c r="J240" t="inlineStr">
        <is>
          <t>timothy.lopez78@example.com</t>
        </is>
      </c>
      <c r="K240" t="inlineStr">
        <is>
          <t>English</t>
        </is>
      </c>
      <c r="L240" t="inlineStr">
        <is>
          <t>PY01</t>
        </is>
      </c>
      <c r="M240" t="inlineStr">
        <is>
          <t>PRV1136</t>
        </is>
      </c>
      <c r="N240" t="n">
        <v>63.1</v>
      </c>
      <c r="O240" t="n">
        <v>171.8</v>
      </c>
      <c r="P240" t="inlineStr">
        <is>
          <t>HTN;DM</t>
        </is>
      </c>
      <c r="Q240" s="26" t="n">
        <v>40301</v>
      </c>
    </row>
    <row r="241">
      <c r="A241" t="inlineStr">
        <is>
          <t>PT11920</t>
        </is>
      </c>
      <c r="B241" t="inlineStr">
        <is>
          <t>05441057</t>
        </is>
      </c>
      <c r="C241" t="inlineStr">
        <is>
          <t>Petrov</t>
        </is>
      </c>
      <c r="D241" t="inlineStr">
        <is>
          <t>Dennis</t>
        </is>
      </c>
      <c r="E241" t="inlineStr">
        <is>
          <t>M</t>
        </is>
      </c>
      <c r="F241" s="26" t="n">
        <v>25889</v>
      </c>
      <c r="G241" t="inlineStr">
        <is>
          <t>Granite Springs</t>
        </is>
      </c>
      <c r="H241" t="inlineStr">
        <is>
          <t>45750</t>
        </is>
      </c>
      <c r="I241" t="inlineStr">
        <is>
          <t>(555) 523-7424</t>
        </is>
      </c>
      <c r="J241" t="inlineStr">
        <is>
          <t>dennis.petrov99@example.com</t>
        </is>
      </c>
      <c r="K241" t="inlineStr">
        <is>
          <t>English</t>
        </is>
      </c>
      <c r="L241" t="inlineStr">
        <is>
          <t>PY03</t>
        </is>
      </c>
      <c r="M241" t="inlineStr">
        <is>
          <t>PRV1136</t>
        </is>
      </c>
      <c r="N241" t="n">
        <v>65.8</v>
      </c>
      <c r="O241" t="n">
        <v>109</v>
      </c>
      <c r="Q241" s="26" t="n">
        <v>45251</v>
      </c>
    </row>
    <row r="242">
      <c r="A242" t="inlineStr">
        <is>
          <t>PT11928</t>
        </is>
      </c>
      <c r="B242" t="inlineStr">
        <is>
          <t>01412540</t>
        </is>
      </c>
      <c r="C242" t="inlineStr">
        <is>
          <t>Lee</t>
        </is>
      </c>
      <c r="D242" t="inlineStr">
        <is>
          <t>Evelyn</t>
        </is>
      </c>
      <c r="E242" t="inlineStr">
        <is>
          <t>F</t>
        </is>
      </c>
      <c r="F242" s="26" t="n">
        <v>30645</v>
      </c>
      <c r="G242" t="inlineStr">
        <is>
          <t>Ashby Falls</t>
        </is>
      </c>
      <c r="H242" t="inlineStr">
        <is>
          <t>45610</t>
        </is>
      </c>
      <c r="I242" t="inlineStr">
        <is>
          <t>(555) 679-2469</t>
        </is>
      </c>
      <c r="J242" t="inlineStr">
        <is>
          <t>evelyn.lee86@example.com</t>
        </is>
      </c>
      <c r="K242" t="inlineStr">
        <is>
          <t>English</t>
        </is>
      </c>
      <c r="L242" t="inlineStr">
        <is>
          <t>PY01</t>
        </is>
      </c>
      <c r="N242" t="n">
        <v>67.90000000000001</v>
      </c>
      <c r="O242" t="n">
        <v>223.7</v>
      </c>
      <c r="P242" t="inlineStr">
        <is>
          <t>PSYCH</t>
        </is>
      </c>
      <c r="Q242" s="26" t="n">
        <v>39928</v>
      </c>
    </row>
    <row r="243">
      <c r="A243" t="inlineStr">
        <is>
          <t>PT11936</t>
        </is>
      </c>
      <c r="B243" t="inlineStr">
        <is>
          <t>07556274</t>
        </is>
      </c>
      <c r="C243" t="inlineStr">
        <is>
          <t>Long</t>
        </is>
      </c>
      <c r="D243" t="inlineStr">
        <is>
          <t>Martha</t>
        </is>
      </c>
      <c r="E243" t="inlineStr">
        <is>
          <t>F</t>
        </is>
      </c>
      <c r="F243" s="26" t="n">
        <v>37302</v>
      </c>
      <c r="G243" t="inlineStr">
        <is>
          <t>Ashby Falls</t>
        </is>
      </c>
      <c r="H243" t="inlineStr">
        <is>
          <t>45610</t>
        </is>
      </c>
      <c r="I243" t="inlineStr">
        <is>
          <t>(555) 398-0538</t>
        </is>
      </c>
      <c r="J243" t="inlineStr">
        <is>
          <t>martha.long8@example.com</t>
        </is>
      </c>
      <c r="K243" t="inlineStr">
        <is>
          <t>English</t>
        </is>
      </c>
      <c r="L243" t="inlineStr">
        <is>
          <t>PY06</t>
        </is>
      </c>
      <c r="M243" t="inlineStr">
        <is>
          <t>PRV1128</t>
        </is>
      </c>
      <c r="N243" t="n">
        <v>58.2</v>
      </c>
      <c r="O243" t="n">
        <v>173.9</v>
      </c>
      <c r="Q243" s="26" t="n">
        <v>40056</v>
      </c>
    </row>
    <row r="244">
      <c r="A244" t="inlineStr">
        <is>
          <t>PT11944</t>
        </is>
      </c>
      <c r="B244" t="inlineStr">
        <is>
          <t>04464336</t>
        </is>
      </c>
      <c r="C244" t="inlineStr">
        <is>
          <t>Medina</t>
        </is>
      </c>
      <c r="D244" t="inlineStr">
        <is>
          <t>Abigail</t>
        </is>
      </c>
      <c r="E244" t="inlineStr">
        <is>
          <t>F</t>
        </is>
      </c>
      <c r="F244" s="26" t="n">
        <v>11349</v>
      </c>
      <c r="G244" t="inlineStr">
        <is>
          <t>Millbrook</t>
        </is>
      </c>
      <c r="H244" t="inlineStr">
        <is>
          <t>45530</t>
        </is>
      </c>
      <c r="I244" t="inlineStr">
        <is>
          <t>(555) 780-9268</t>
        </is>
      </c>
      <c r="J244" t="inlineStr">
        <is>
          <t>abigail.medina21@example.com</t>
        </is>
      </c>
      <c r="K244" t="inlineStr">
        <is>
          <t>English</t>
        </is>
      </c>
      <c r="L244" t="inlineStr">
        <is>
          <t>PY02</t>
        </is>
      </c>
      <c r="M244" t="inlineStr">
        <is>
          <t>PRV1136</t>
        </is>
      </c>
      <c r="N244" t="n">
        <v>62.7</v>
      </c>
      <c r="O244" t="n">
        <v>205.7</v>
      </c>
      <c r="P244" t="inlineStr">
        <is>
          <t>HTN;HF;AFIB;CKD</t>
        </is>
      </c>
      <c r="Q244" s="26" t="n">
        <v>44826</v>
      </c>
    </row>
    <row r="245">
      <c r="A245" t="inlineStr">
        <is>
          <t>PT11952</t>
        </is>
      </c>
      <c r="B245" t="inlineStr">
        <is>
          <t>03195820</t>
        </is>
      </c>
      <c r="C245" t="inlineStr">
        <is>
          <t>Wilson</t>
        </is>
      </c>
      <c r="D245" t="inlineStr">
        <is>
          <t>Judith</t>
        </is>
      </c>
      <c r="E245" t="inlineStr">
        <is>
          <t>F</t>
        </is>
      </c>
      <c r="F245" s="26" t="n">
        <v>18313</v>
      </c>
      <c r="G245" t="inlineStr">
        <is>
          <t>Ashby Falls</t>
        </is>
      </c>
      <c r="H245" t="inlineStr">
        <is>
          <t>45610</t>
        </is>
      </c>
      <c r="I245" t="inlineStr">
        <is>
          <t>(555) 360-7809</t>
        </is>
      </c>
      <c r="J245" t="inlineStr">
        <is>
          <t>judith.wilson6@example.com</t>
        </is>
      </c>
      <c r="K245" t="inlineStr">
        <is>
          <t>English</t>
        </is>
      </c>
      <c r="L245" t="inlineStr">
        <is>
          <t>PY02</t>
        </is>
      </c>
      <c r="M245" t="inlineStr">
        <is>
          <t>PRV1140</t>
        </is>
      </c>
      <c r="N245" t="n">
        <v>65.5</v>
      </c>
      <c r="O245" t="n">
        <v>241.9</v>
      </c>
      <c r="Q245" s="26" t="n">
        <v>44931</v>
      </c>
    </row>
    <row r="246">
      <c r="A246" t="inlineStr">
        <is>
          <t>PT11960</t>
        </is>
      </c>
      <c r="B246" t="inlineStr">
        <is>
          <t>03409285</t>
        </is>
      </c>
      <c r="C246" t="inlineStr">
        <is>
          <t>Black</t>
        </is>
      </c>
      <c r="D246" t="inlineStr">
        <is>
          <t>Albert</t>
        </is>
      </c>
      <c r="E246" t="inlineStr">
        <is>
          <t>M</t>
        </is>
      </c>
      <c r="F246" s="26" t="n">
        <v>10963</v>
      </c>
      <c r="G246" t="inlineStr">
        <is>
          <t>Riverbend</t>
        </is>
      </c>
      <c r="H246" t="inlineStr">
        <is>
          <t>45545</t>
        </is>
      </c>
      <c r="I246" t="inlineStr">
        <is>
          <t>(555) 872-5690</t>
        </is>
      </c>
      <c r="K246" t="inlineStr">
        <is>
          <t>English</t>
        </is>
      </c>
      <c r="L246" t="inlineStr">
        <is>
          <t>PY01</t>
        </is>
      </c>
      <c r="M246" t="inlineStr">
        <is>
          <t>PRV1124</t>
        </is>
      </c>
      <c r="N246" t="n">
        <v>74.5</v>
      </c>
      <c r="O246" t="n">
        <v>227.5</v>
      </c>
      <c r="P246" t="inlineStr">
        <is>
          <t>HTN</t>
        </is>
      </c>
      <c r="Q246" s="26" t="n">
        <v>45105</v>
      </c>
    </row>
    <row r="247">
      <c r="A247" t="inlineStr">
        <is>
          <t>PT11968</t>
        </is>
      </c>
      <c r="B247" t="inlineStr">
        <is>
          <t>00798669</t>
        </is>
      </c>
      <c r="C247" t="inlineStr">
        <is>
          <t>Black</t>
        </is>
      </c>
      <c r="D247" t="inlineStr">
        <is>
          <t>Lisa</t>
        </is>
      </c>
      <c r="E247" t="inlineStr">
        <is>
          <t>F</t>
        </is>
      </c>
      <c r="F247" s="26" t="n">
        <v>37115</v>
      </c>
      <c r="G247" t="inlineStr">
        <is>
          <t>Granite Springs</t>
        </is>
      </c>
      <c r="H247" t="inlineStr">
        <is>
          <t>45750</t>
        </is>
      </c>
      <c r="I247" t="inlineStr">
        <is>
          <t>(555) 658-3270</t>
        </is>
      </c>
      <c r="K247" t="inlineStr">
        <is>
          <t>English</t>
        </is>
      </c>
      <c r="L247" t="inlineStr">
        <is>
          <t>PY03</t>
        </is>
      </c>
      <c r="M247" t="inlineStr">
        <is>
          <t>PRV1127</t>
        </is>
      </c>
      <c r="N247" t="n">
        <v>64.7</v>
      </c>
      <c r="O247" t="n">
        <v>142.4</v>
      </c>
      <c r="Q247" s="26" t="n">
        <v>40323</v>
      </c>
    </row>
    <row r="248">
      <c r="A248" t="inlineStr">
        <is>
          <t>PT11976</t>
        </is>
      </c>
      <c r="B248" t="inlineStr">
        <is>
          <t>05682941</t>
        </is>
      </c>
      <c r="C248" t="inlineStr">
        <is>
          <t>Robertson</t>
        </is>
      </c>
      <c r="D248" t="inlineStr">
        <is>
          <t>Michelle</t>
        </is>
      </c>
      <c r="E248" t="inlineStr">
        <is>
          <t>F</t>
        </is>
      </c>
      <c r="F248" s="26" t="n">
        <v>29456</v>
      </c>
      <c r="G248" t="inlineStr">
        <is>
          <t>Ashby Falls</t>
        </is>
      </c>
      <c r="H248" t="inlineStr">
        <is>
          <t>45610</t>
        </is>
      </c>
      <c r="I248" t="inlineStr">
        <is>
          <t>(555) 868-9994</t>
        </is>
      </c>
      <c r="J248" t="inlineStr">
        <is>
          <t>michelle.robertson17@example.com</t>
        </is>
      </c>
      <c r="K248" t="inlineStr">
        <is>
          <t>English</t>
        </is>
      </c>
      <c r="L248" t="inlineStr">
        <is>
          <t>PY04</t>
        </is>
      </c>
      <c r="N248" t="n">
        <v>65.90000000000001</v>
      </c>
      <c r="O248" t="n">
        <v>123.5</v>
      </c>
      <c r="P248" t="inlineStr">
        <is>
          <t>HTN;CANCER;ETOH</t>
        </is>
      </c>
      <c r="Q248" s="26" t="n">
        <v>39856</v>
      </c>
    </row>
    <row r="249">
      <c r="A249" t="inlineStr">
        <is>
          <t>PT11984</t>
        </is>
      </c>
      <c r="B249" t="inlineStr">
        <is>
          <t>05129129</t>
        </is>
      </c>
      <c r="C249" t="inlineStr">
        <is>
          <t>Pierce</t>
        </is>
      </c>
      <c r="D249" t="inlineStr">
        <is>
          <t>Wei</t>
        </is>
      </c>
      <c r="E249" t="inlineStr">
        <is>
          <t>M</t>
        </is>
      </c>
      <c r="F249" s="26" t="n">
        <v>25934</v>
      </c>
      <c r="G249" t="inlineStr">
        <is>
          <t>Bluestone</t>
        </is>
      </c>
      <c r="H249" t="inlineStr">
        <is>
          <t>45501</t>
        </is>
      </c>
      <c r="I249" t="inlineStr">
        <is>
          <t>(555) 275-3844</t>
        </is>
      </c>
      <c r="J249" t="inlineStr">
        <is>
          <t>wei.pierce55@example.com</t>
        </is>
      </c>
      <c r="K249" t="inlineStr">
        <is>
          <t>English</t>
        </is>
      </c>
      <c r="L249" t="inlineStr">
        <is>
          <t>PY04</t>
        </is>
      </c>
      <c r="M249" t="inlineStr">
        <is>
          <t>PRV1129</t>
        </is>
      </c>
      <c r="N249" t="n">
        <v>69.2</v>
      </c>
      <c r="O249" t="n">
        <v>252.6</v>
      </c>
      <c r="P249" t="inlineStr">
        <is>
          <t>DM;ASTHMA</t>
        </is>
      </c>
      <c r="Q249" s="26" t="n">
        <v>45341</v>
      </c>
    </row>
    <row r="250">
      <c r="A250" t="inlineStr">
        <is>
          <t>PT11992</t>
        </is>
      </c>
      <c r="B250" t="inlineStr">
        <is>
          <t>01143993</t>
        </is>
      </c>
      <c r="C250" t="inlineStr">
        <is>
          <t>Freeman</t>
        </is>
      </c>
      <c r="D250" t="inlineStr">
        <is>
          <t>Matthew</t>
        </is>
      </c>
      <c r="E250" t="inlineStr">
        <is>
          <t>M</t>
        </is>
      </c>
      <c r="F250" s="26" t="n">
        <v>27704</v>
      </c>
      <c r="G250" t="inlineStr">
        <is>
          <t>Ashby Falls</t>
        </is>
      </c>
      <c r="H250" t="inlineStr">
        <is>
          <t>45610</t>
        </is>
      </c>
      <c r="I250" t="inlineStr">
        <is>
          <t>(555) 733-5390</t>
        </is>
      </c>
      <c r="K250" t="inlineStr">
        <is>
          <t>English</t>
        </is>
      </c>
      <c r="L250" t="inlineStr">
        <is>
          <t>PY07</t>
        </is>
      </c>
      <c r="M250" t="inlineStr">
        <is>
          <t>PRV1126</t>
        </is>
      </c>
      <c r="N250" t="n">
        <v>71.3</v>
      </c>
      <c r="O250" t="n">
        <v>266.2</v>
      </c>
      <c r="P250" t="inlineStr">
        <is>
          <t>PSYCH;OA</t>
        </is>
      </c>
      <c r="Q250" s="26" t="n">
        <v>41320</v>
      </c>
    </row>
    <row r="251">
      <c r="A251" t="inlineStr">
        <is>
          <t>PT12000</t>
        </is>
      </c>
      <c r="B251" t="inlineStr">
        <is>
          <t>00758237</t>
        </is>
      </c>
      <c r="C251" t="inlineStr">
        <is>
          <t>Ross</t>
        </is>
      </c>
      <c r="D251" t="inlineStr">
        <is>
          <t>Teresa</t>
        </is>
      </c>
      <c r="E251" t="inlineStr">
        <is>
          <t>F</t>
        </is>
      </c>
      <c r="F251" s="26" t="n">
        <v>39243</v>
      </c>
      <c r="G251" t="inlineStr">
        <is>
          <t>Bluestone</t>
        </is>
      </c>
      <c r="H251" t="inlineStr">
        <is>
          <t>45501</t>
        </is>
      </c>
      <c r="I251" t="inlineStr">
        <is>
          <t>(555) 727-3387</t>
        </is>
      </c>
      <c r="J251" t="inlineStr">
        <is>
          <t>teresa.ross87@example.com</t>
        </is>
      </c>
      <c r="K251" t="inlineStr">
        <is>
          <t>English</t>
        </is>
      </c>
      <c r="L251" t="inlineStr">
        <is>
          <t>PY05</t>
        </is>
      </c>
      <c r="M251" t="inlineStr">
        <is>
          <t>PRV1138</t>
        </is>
      </c>
      <c r="N251" t="n">
        <v>63.1</v>
      </c>
      <c r="O251" t="n">
        <v>175.3</v>
      </c>
      <c r="Q251" s="26" t="n">
        <v>42064</v>
      </c>
    </row>
    <row r="252">
      <c r="A252" t="inlineStr">
        <is>
          <t>PT12008</t>
        </is>
      </c>
      <c r="B252" t="inlineStr">
        <is>
          <t>06751673</t>
        </is>
      </c>
      <c r="C252" t="inlineStr">
        <is>
          <t>Fox</t>
        </is>
      </c>
      <c r="D252" t="inlineStr">
        <is>
          <t>Bruce</t>
        </is>
      </c>
      <c r="E252" t="inlineStr">
        <is>
          <t>M</t>
        </is>
      </c>
      <c r="F252" s="26" t="n">
        <v>16963</v>
      </c>
      <c r="G252" t="inlineStr">
        <is>
          <t>Bluestone</t>
        </is>
      </c>
      <c r="H252" t="inlineStr">
        <is>
          <t>45503</t>
        </is>
      </c>
      <c r="I252" t="inlineStr">
        <is>
          <t>(555) 619-3683</t>
        </is>
      </c>
      <c r="K252" t="inlineStr">
        <is>
          <t>English</t>
        </is>
      </c>
      <c r="L252" t="inlineStr">
        <is>
          <t>PY01</t>
        </is>
      </c>
      <c r="M252" t="inlineStr">
        <is>
          <t>PRV1126</t>
        </is>
      </c>
      <c r="N252" t="n">
        <v>64</v>
      </c>
      <c r="O252" t="n">
        <v>154.1</v>
      </c>
      <c r="P252" t="inlineStr">
        <is>
          <t>HTN;CKD</t>
        </is>
      </c>
      <c r="Q252" s="26" t="n">
        <v>45201</v>
      </c>
    </row>
    <row r="253">
      <c r="A253" t="inlineStr">
        <is>
          <t>PT12016</t>
        </is>
      </c>
      <c r="B253" t="inlineStr">
        <is>
          <t>02466751</t>
        </is>
      </c>
      <c r="C253" t="inlineStr">
        <is>
          <t>Hansen</t>
        </is>
      </c>
      <c r="D253" t="inlineStr">
        <is>
          <t>Gloria</t>
        </is>
      </c>
      <c r="E253" t="inlineStr">
        <is>
          <t>F</t>
        </is>
      </c>
      <c r="F253" s="26" t="n">
        <v>23527</v>
      </c>
      <c r="G253" t="inlineStr">
        <is>
          <t>Riverbend</t>
        </is>
      </c>
      <c r="H253" t="inlineStr">
        <is>
          <t>45545</t>
        </is>
      </c>
      <c r="I253" t="inlineStr">
        <is>
          <t>(555) 562-5949</t>
        </is>
      </c>
      <c r="J253" t="inlineStr">
        <is>
          <t>gloria.hansen43@example.com</t>
        </is>
      </c>
      <c r="K253" t="inlineStr">
        <is>
          <t>English</t>
        </is>
      </c>
      <c r="L253" t="inlineStr">
        <is>
          <t>PY03</t>
        </is>
      </c>
      <c r="M253" t="inlineStr">
        <is>
          <t>PRV1138</t>
        </is>
      </c>
      <c r="N253" t="n">
        <v>60.6</v>
      </c>
      <c r="O253" t="n">
        <v>192.6</v>
      </c>
      <c r="P253" t="inlineStr">
        <is>
          <t>HTN</t>
        </is>
      </c>
      <c r="Q253" s="26" t="n">
        <v>42916</v>
      </c>
    </row>
    <row r="254">
      <c r="A254" t="inlineStr">
        <is>
          <t>PT12024</t>
        </is>
      </c>
      <c r="B254" t="inlineStr">
        <is>
          <t>02272761</t>
        </is>
      </c>
      <c r="C254" t="inlineStr">
        <is>
          <t>Gray</t>
        </is>
      </c>
      <c r="D254" t="inlineStr">
        <is>
          <t>Timothy</t>
        </is>
      </c>
      <c r="E254" t="inlineStr">
        <is>
          <t>M</t>
        </is>
      </c>
      <c r="F254" s="26" t="n">
        <v>16914</v>
      </c>
      <c r="G254" t="inlineStr">
        <is>
          <t>Bluestone</t>
        </is>
      </c>
      <c r="H254" t="inlineStr">
        <is>
          <t>45501</t>
        </is>
      </c>
      <c r="I254" t="inlineStr">
        <is>
          <t>(555) 340-9783</t>
        </is>
      </c>
      <c r="J254" t="inlineStr">
        <is>
          <t>timothy.gray90@example.com</t>
        </is>
      </c>
      <c r="K254" t="inlineStr">
        <is>
          <t>English</t>
        </is>
      </c>
      <c r="L254" t="inlineStr">
        <is>
          <t>PY01</t>
        </is>
      </c>
      <c r="N254" t="n">
        <v>64.09999999999999</v>
      </c>
      <c r="O254" t="n">
        <v>209.6</v>
      </c>
      <c r="Q254" s="26" t="n">
        <v>40457</v>
      </c>
    </row>
    <row r="255">
      <c r="A255" t="inlineStr">
        <is>
          <t>PT12032</t>
        </is>
      </c>
      <c r="B255" t="inlineStr">
        <is>
          <t>02028930</t>
        </is>
      </c>
      <c r="C255" t="inlineStr">
        <is>
          <t>Sanchez</t>
        </is>
      </c>
      <c r="D255" t="inlineStr">
        <is>
          <t>Diana</t>
        </is>
      </c>
      <c r="E255" t="inlineStr">
        <is>
          <t>F</t>
        </is>
      </c>
      <c r="F255" s="26" t="n">
        <v>26096</v>
      </c>
      <c r="G255" t="inlineStr">
        <is>
          <t>Bluestone</t>
        </is>
      </c>
      <c r="H255" t="inlineStr">
        <is>
          <t>45501</t>
        </is>
      </c>
      <c r="I255" t="inlineStr">
        <is>
          <t>(555) 699-3759</t>
        </is>
      </c>
      <c r="J255" t="inlineStr">
        <is>
          <t>diana.sanchez55@example.com</t>
        </is>
      </c>
      <c r="K255" t="inlineStr">
        <is>
          <t>English</t>
        </is>
      </c>
      <c r="L255" t="inlineStr">
        <is>
          <t>PY03</t>
        </is>
      </c>
      <c r="M255" t="inlineStr">
        <is>
          <t>PRV1136</t>
        </is>
      </c>
      <c r="N255" t="n">
        <v>60.8</v>
      </c>
      <c r="O255" t="n">
        <v>140.1</v>
      </c>
      <c r="P255" t="inlineStr">
        <is>
          <t>ETOH</t>
        </is>
      </c>
      <c r="Q255" s="26" t="n">
        <v>43136</v>
      </c>
    </row>
    <row r="256">
      <c r="A256" t="inlineStr">
        <is>
          <t>PT12040</t>
        </is>
      </c>
      <c r="B256" t="inlineStr">
        <is>
          <t>03601631</t>
        </is>
      </c>
      <c r="C256" t="inlineStr">
        <is>
          <t>Aguilar</t>
        </is>
      </c>
      <c r="D256" t="inlineStr">
        <is>
          <t>Willie</t>
        </is>
      </c>
      <c r="E256" t="inlineStr">
        <is>
          <t>M</t>
        </is>
      </c>
      <c r="F256" s="26" t="n">
        <v>19989</v>
      </c>
      <c r="G256" t="inlineStr">
        <is>
          <t>Bluestone</t>
        </is>
      </c>
      <c r="H256" t="inlineStr">
        <is>
          <t>45502</t>
        </is>
      </c>
      <c r="I256" t="inlineStr">
        <is>
          <t>(555) 424-5989</t>
        </is>
      </c>
      <c r="K256" t="inlineStr">
        <is>
          <t>English</t>
        </is>
      </c>
      <c r="L256" t="inlineStr">
        <is>
          <t>PY01</t>
        </is>
      </c>
      <c r="M256" t="inlineStr">
        <is>
          <t>PRV1139</t>
        </is>
      </c>
      <c r="N256" t="n">
        <v>68.7</v>
      </c>
      <c r="O256" t="n">
        <v>292.3</v>
      </c>
      <c r="P256" t="inlineStr">
        <is>
          <t>HTN</t>
        </is>
      </c>
      <c r="Q256" s="26" t="n">
        <v>43178</v>
      </c>
    </row>
    <row r="257">
      <c r="A257" t="inlineStr">
        <is>
          <t>PT12048</t>
        </is>
      </c>
      <c r="B257" t="inlineStr">
        <is>
          <t>04893012</t>
        </is>
      </c>
      <c r="C257" t="inlineStr">
        <is>
          <t>Edwards</t>
        </is>
      </c>
      <c r="D257" t="inlineStr">
        <is>
          <t>Christopher</t>
        </is>
      </c>
      <c r="E257" t="inlineStr">
        <is>
          <t>M</t>
        </is>
      </c>
      <c r="F257" s="26" t="n">
        <v>32088</v>
      </c>
      <c r="G257" t="inlineStr">
        <is>
          <t>Bluestone</t>
        </is>
      </c>
      <c r="H257" t="inlineStr">
        <is>
          <t>45502</t>
        </is>
      </c>
      <c r="I257" t="inlineStr">
        <is>
          <t>(555) 727-4872</t>
        </is>
      </c>
      <c r="J257" t="inlineStr">
        <is>
          <t>christopher.edwards86@example.com</t>
        </is>
      </c>
      <c r="K257" t="inlineStr">
        <is>
          <t>English</t>
        </is>
      </c>
      <c r="L257" t="inlineStr">
        <is>
          <t>PY03</t>
        </is>
      </c>
      <c r="M257" t="inlineStr">
        <is>
          <t>PRV1132</t>
        </is>
      </c>
      <c r="N257" t="n">
        <v>71.40000000000001</v>
      </c>
      <c r="O257" t="n">
        <v>119.6</v>
      </c>
      <c r="Q257" s="26" t="n">
        <v>45376</v>
      </c>
    </row>
    <row r="258">
      <c r="A258" t="inlineStr">
        <is>
          <t>PT12056</t>
        </is>
      </c>
      <c r="B258" t="inlineStr">
        <is>
          <t>04776676</t>
        </is>
      </c>
      <c r="C258" t="inlineStr">
        <is>
          <t>Edwards</t>
        </is>
      </c>
      <c r="D258" t="inlineStr">
        <is>
          <t>Susan</t>
        </is>
      </c>
      <c r="E258" t="inlineStr">
        <is>
          <t>F</t>
        </is>
      </c>
      <c r="F258" s="26" t="n">
        <v>23976</v>
      </c>
      <c r="G258" t="inlineStr">
        <is>
          <t>Bluestone</t>
        </is>
      </c>
      <c r="H258" t="inlineStr">
        <is>
          <t>45501</t>
        </is>
      </c>
      <c r="I258" t="inlineStr">
        <is>
          <t>(555) 703-5150</t>
        </is>
      </c>
      <c r="K258" t="inlineStr">
        <is>
          <t>English</t>
        </is>
      </c>
      <c r="L258" t="inlineStr">
        <is>
          <t>PY05</t>
        </is>
      </c>
      <c r="M258" t="inlineStr">
        <is>
          <t>PRV1136</t>
        </is>
      </c>
      <c r="N258" t="n">
        <v>65.40000000000001</v>
      </c>
      <c r="O258" t="n">
        <v>240.3</v>
      </c>
      <c r="Q258" s="26" t="n">
        <v>45121</v>
      </c>
    </row>
    <row r="259">
      <c r="A259" t="inlineStr">
        <is>
          <t>PT12064</t>
        </is>
      </c>
      <c r="B259" t="inlineStr">
        <is>
          <t>09410263</t>
        </is>
      </c>
      <c r="C259" t="inlineStr">
        <is>
          <t>Kelley</t>
        </is>
      </c>
      <c r="D259" t="inlineStr">
        <is>
          <t>Denise</t>
        </is>
      </c>
      <c r="E259" t="inlineStr">
        <is>
          <t>F</t>
        </is>
      </c>
      <c r="F259" s="26" t="n">
        <v>28063</v>
      </c>
      <c r="G259" t="inlineStr">
        <is>
          <t>Cedar Ridge</t>
        </is>
      </c>
      <c r="H259" t="inlineStr">
        <is>
          <t>45720</t>
        </is>
      </c>
      <c r="I259" t="inlineStr">
        <is>
          <t>(555) 243-7566</t>
        </is>
      </c>
      <c r="J259" t="inlineStr">
        <is>
          <t>denise.kelley49@example.com</t>
        </is>
      </c>
      <c r="K259" t="inlineStr">
        <is>
          <t>English</t>
        </is>
      </c>
      <c r="L259" t="inlineStr">
        <is>
          <t>PY03</t>
        </is>
      </c>
      <c r="M259" t="inlineStr">
        <is>
          <t>PRV1139</t>
        </is>
      </c>
      <c r="N259" t="n">
        <v>66.3</v>
      </c>
      <c r="O259" t="n">
        <v>156.4</v>
      </c>
      <c r="Q259" s="26" t="n">
        <v>41149</v>
      </c>
    </row>
    <row r="260">
      <c r="A260" t="inlineStr">
        <is>
          <t>PT12072</t>
        </is>
      </c>
      <c r="B260" t="inlineStr">
        <is>
          <t>07518823</t>
        </is>
      </c>
      <c r="C260" t="inlineStr">
        <is>
          <t>Fernandez</t>
        </is>
      </c>
      <c r="D260" t="inlineStr">
        <is>
          <t>Lucia</t>
        </is>
      </c>
      <c r="E260" t="inlineStr">
        <is>
          <t>F</t>
        </is>
      </c>
      <c r="F260" s="26" t="n">
        <v>19256</v>
      </c>
      <c r="G260" t="inlineStr">
        <is>
          <t>Riverbend</t>
        </is>
      </c>
      <c r="H260" t="inlineStr">
        <is>
          <t>45545</t>
        </is>
      </c>
      <c r="I260" t="inlineStr">
        <is>
          <t>(555) 671-8610</t>
        </is>
      </c>
      <c r="J260" t="inlineStr">
        <is>
          <t>lucia.fernandez44@example.com</t>
        </is>
      </c>
      <c r="K260" t="inlineStr">
        <is>
          <t>Spanish</t>
        </is>
      </c>
      <c r="L260" t="inlineStr">
        <is>
          <t>PY01</t>
        </is>
      </c>
      <c r="M260" t="inlineStr">
        <is>
          <t>PRV1124</t>
        </is>
      </c>
      <c r="N260" t="n">
        <v>64</v>
      </c>
      <c r="O260" t="n">
        <v>193</v>
      </c>
      <c r="Q260" s="26" t="n">
        <v>44938</v>
      </c>
    </row>
    <row r="261">
      <c r="A261" t="inlineStr">
        <is>
          <t>PT12080</t>
        </is>
      </c>
      <c r="B261" t="inlineStr">
        <is>
          <t>02693762</t>
        </is>
      </c>
      <c r="C261" t="inlineStr">
        <is>
          <t>Nakamura</t>
        </is>
      </c>
      <c r="D261" t="inlineStr">
        <is>
          <t>Jesse</t>
        </is>
      </c>
      <c r="E261" t="inlineStr">
        <is>
          <t>M</t>
        </is>
      </c>
      <c r="F261" s="26" t="n">
        <v>31653</v>
      </c>
      <c r="G261" t="inlineStr">
        <is>
          <t>Bluestone</t>
        </is>
      </c>
      <c r="H261" t="inlineStr">
        <is>
          <t>45501</t>
        </is>
      </c>
      <c r="I261" t="inlineStr">
        <is>
          <t>(555) 772-4710</t>
        </is>
      </c>
      <c r="K261" t="inlineStr">
        <is>
          <t>English</t>
        </is>
      </c>
      <c r="L261" t="inlineStr">
        <is>
          <t>PY07</t>
        </is>
      </c>
      <c r="N261" t="n">
        <v>73</v>
      </c>
      <c r="O261" t="n">
        <v>281.3</v>
      </c>
      <c r="P261" t="inlineStr">
        <is>
          <t>DM</t>
        </is>
      </c>
      <c r="Q261" s="26" t="n">
        <v>41029</v>
      </c>
    </row>
    <row r="262">
      <c r="A262" t="inlineStr">
        <is>
          <t>PT12088</t>
        </is>
      </c>
      <c r="B262" t="inlineStr">
        <is>
          <t>04580637</t>
        </is>
      </c>
      <c r="C262" t="inlineStr">
        <is>
          <t>Cox</t>
        </is>
      </c>
      <c r="D262" t="inlineStr">
        <is>
          <t>Larry</t>
        </is>
      </c>
      <c r="E262" t="inlineStr">
        <is>
          <t>M</t>
        </is>
      </c>
      <c r="F262" s="26" t="n">
        <v>25763</v>
      </c>
      <c r="G262" t="inlineStr">
        <is>
          <t>Bluestone</t>
        </is>
      </c>
      <c r="H262" t="inlineStr">
        <is>
          <t>45503</t>
        </is>
      </c>
      <c r="I262" t="inlineStr">
        <is>
          <t>(555) 612-0311</t>
        </is>
      </c>
      <c r="J262" t="inlineStr">
        <is>
          <t>larry.cox83@example.com</t>
        </is>
      </c>
      <c r="K262" t="inlineStr">
        <is>
          <t>Spanish</t>
        </is>
      </c>
      <c r="L262" t="inlineStr">
        <is>
          <t>PY05</t>
        </is>
      </c>
      <c r="M262" t="inlineStr">
        <is>
          <t>PRV1137</t>
        </is>
      </c>
      <c r="N262" t="n">
        <v>71.2</v>
      </c>
      <c r="O262" t="n">
        <v>136.5</v>
      </c>
      <c r="P262" t="inlineStr">
        <is>
          <t>HTN;ASTHMA</t>
        </is>
      </c>
      <c r="Q262" s="26" t="n">
        <v>43643</v>
      </c>
    </row>
    <row r="263">
      <c r="A263" t="inlineStr">
        <is>
          <t>PT12096</t>
        </is>
      </c>
      <c r="B263" t="inlineStr">
        <is>
          <t>07857091</t>
        </is>
      </c>
      <c r="C263" t="inlineStr">
        <is>
          <t>Ray</t>
        </is>
      </c>
      <c r="D263" t="inlineStr">
        <is>
          <t>Heather</t>
        </is>
      </c>
      <c r="E263" t="inlineStr">
        <is>
          <t>F</t>
        </is>
      </c>
      <c r="F263" s="26" t="n">
        <v>39519</v>
      </c>
      <c r="G263" t="inlineStr">
        <is>
          <t>Bluestone</t>
        </is>
      </c>
      <c r="H263" t="inlineStr">
        <is>
          <t>45501</t>
        </is>
      </c>
      <c r="I263" t="inlineStr">
        <is>
          <t>(555) 774-0563</t>
        </is>
      </c>
      <c r="K263" t="inlineStr">
        <is>
          <t>English</t>
        </is>
      </c>
      <c r="L263" t="inlineStr">
        <is>
          <t>PY04</t>
        </is>
      </c>
      <c r="M263" t="inlineStr">
        <is>
          <t>PRV1106</t>
        </is>
      </c>
      <c r="N263" t="n">
        <v>61.8</v>
      </c>
      <c r="O263" t="n">
        <v>130</v>
      </c>
      <c r="Q263" s="26" t="n">
        <v>40938</v>
      </c>
    </row>
    <row r="264">
      <c r="A264" t="inlineStr">
        <is>
          <t>PT12104</t>
        </is>
      </c>
      <c r="B264" t="inlineStr">
        <is>
          <t>09665938</t>
        </is>
      </c>
      <c r="C264" t="inlineStr">
        <is>
          <t>Ramos</t>
        </is>
      </c>
      <c r="D264" t="inlineStr">
        <is>
          <t>Priya</t>
        </is>
      </c>
      <c r="E264" t="inlineStr">
        <is>
          <t>F</t>
        </is>
      </c>
      <c r="F264" s="26" t="n">
        <v>16144</v>
      </c>
      <c r="G264" t="inlineStr">
        <is>
          <t>Oak Glen</t>
        </is>
      </c>
      <c r="H264" t="inlineStr">
        <is>
          <t>45730</t>
        </is>
      </c>
      <c r="I264" t="inlineStr">
        <is>
          <t>(555) 714-5027</t>
        </is>
      </c>
      <c r="K264" t="inlineStr">
        <is>
          <t>English</t>
        </is>
      </c>
      <c r="L264" t="inlineStr">
        <is>
          <t>PY01</t>
        </is>
      </c>
      <c r="M264" t="inlineStr">
        <is>
          <t>PRV1127</t>
        </is>
      </c>
      <c r="N264" t="n">
        <v>62.6</v>
      </c>
      <c r="O264" t="n">
        <v>180.6</v>
      </c>
      <c r="P264" t="inlineStr">
        <is>
          <t>HTN;DM</t>
        </is>
      </c>
      <c r="Q264" s="26" t="n">
        <v>40585</v>
      </c>
    </row>
    <row r="265">
      <c r="A265" t="inlineStr">
        <is>
          <t>PT12112</t>
        </is>
      </c>
      <c r="B265" t="inlineStr">
        <is>
          <t>04824614</t>
        </is>
      </c>
      <c r="C265" t="inlineStr">
        <is>
          <t>Bell</t>
        </is>
      </c>
      <c r="D265" t="inlineStr">
        <is>
          <t>Jerry</t>
        </is>
      </c>
      <c r="E265" t="inlineStr">
        <is>
          <t>M</t>
        </is>
      </c>
      <c r="F265" s="26" t="n">
        <v>19268</v>
      </c>
      <c r="G265" t="inlineStr">
        <is>
          <t>Bluestone</t>
        </is>
      </c>
      <c r="H265" t="inlineStr">
        <is>
          <t>45501</t>
        </is>
      </c>
      <c r="I265" t="inlineStr">
        <is>
          <t>(555) 520-3835</t>
        </is>
      </c>
      <c r="J265" t="inlineStr">
        <is>
          <t>jerry.bell16@example.com</t>
        </is>
      </c>
      <c r="K265" t="inlineStr">
        <is>
          <t>English</t>
        </is>
      </c>
      <c r="L265" t="inlineStr">
        <is>
          <t>PY02</t>
        </is>
      </c>
      <c r="M265" t="inlineStr">
        <is>
          <t>PRV1134</t>
        </is>
      </c>
      <c r="N265" t="n">
        <v>66.59999999999999</v>
      </c>
      <c r="O265" t="n">
        <v>229.7</v>
      </c>
      <c r="Q265" s="26" t="n">
        <v>44896</v>
      </c>
    </row>
    <row r="266">
      <c r="A266" t="inlineStr">
        <is>
          <t>PT12120</t>
        </is>
      </c>
      <c r="B266" t="inlineStr">
        <is>
          <t>02690545</t>
        </is>
      </c>
      <c r="C266" t="inlineStr">
        <is>
          <t>Ruiz</t>
        </is>
      </c>
      <c r="D266" t="inlineStr">
        <is>
          <t>Nicole</t>
        </is>
      </c>
      <c r="E266" t="inlineStr">
        <is>
          <t>F</t>
        </is>
      </c>
      <c r="F266" s="26" t="n">
        <v>22440</v>
      </c>
      <c r="G266" t="inlineStr">
        <is>
          <t>Bluestone</t>
        </is>
      </c>
      <c r="H266" t="inlineStr">
        <is>
          <t>45502</t>
        </is>
      </c>
      <c r="I266" t="inlineStr">
        <is>
          <t>(555) 268-6093</t>
        </is>
      </c>
      <c r="J266" t="inlineStr">
        <is>
          <t>nicole.ruiz94@example.com</t>
        </is>
      </c>
      <c r="K266" t="inlineStr">
        <is>
          <t>English</t>
        </is>
      </c>
      <c r="L266" t="inlineStr">
        <is>
          <t>PY03</t>
        </is>
      </c>
      <c r="M266" t="inlineStr">
        <is>
          <t>PRV1139</t>
        </is>
      </c>
      <c r="N266" t="n">
        <v>60.5</v>
      </c>
      <c r="O266" t="n">
        <v>143.2</v>
      </c>
      <c r="P266" t="inlineStr">
        <is>
          <t>OA</t>
        </is>
      </c>
      <c r="Q266" s="26" t="n">
        <v>42409</v>
      </c>
    </row>
    <row r="267">
      <c r="A267" t="inlineStr">
        <is>
          <t>PT12128</t>
        </is>
      </c>
      <c r="B267" t="inlineStr">
        <is>
          <t>03288448</t>
        </is>
      </c>
      <c r="C267" t="inlineStr">
        <is>
          <t>Grant</t>
        </is>
      </c>
      <c r="D267" t="inlineStr">
        <is>
          <t>Julia</t>
        </is>
      </c>
      <c r="E267" t="inlineStr">
        <is>
          <t>F</t>
        </is>
      </c>
      <c r="F267" s="26" t="n">
        <v>42214</v>
      </c>
      <c r="G267" t="inlineStr">
        <is>
          <t>Ashby Falls</t>
        </is>
      </c>
      <c r="H267" t="inlineStr">
        <is>
          <t>45610</t>
        </is>
      </c>
      <c r="I267" t="inlineStr">
        <is>
          <t>(555) 859-5106</t>
        </is>
      </c>
      <c r="K267" t="inlineStr">
        <is>
          <t>Spanish</t>
        </is>
      </c>
      <c r="L267" t="inlineStr">
        <is>
          <t>PY03</t>
        </is>
      </c>
      <c r="M267" t="inlineStr">
        <is>
          <t>PRV1105</t>
        </is>
      </c>
      <c r="N267" t="n">
        <v>46</v>
      </c>
      <c r="O267" t="n">
        <v>61.9</v>
      </c>
      <c r="Q267" s="26" t="n">
        <v>45369</v>
      </c>
    </row>
    <row r="268">
      <c r="A268" t="inlineStr">
        <is>
          <t>PT12136</t>
        </is>
      </c>
      <c r="B268" t="inlineStr">
        <is>
          <t>05055526</t>
        </is>
      </c>
      <c r="C268" t="inlineStr">
        <is>
          <t>Ramos</t>
        </is>
      </c>
      <c r="D268" t="inlineStr">
        <is>
          <t>Elizabeth</t>
        </is>
      </c>
      <c r="E268" t="inlineStr">
        <is>
          <t>F</t>
        </is>
      </c>
      <c r="F268" s="26" t="n">
        <v>33073</v>
      </c>
      <c r="G268" t="inlineStr">
        <is>
          <t>Ashby Falls</t>
        </is>
      </c>
      <c r="H268" t="inlineStr">
        <is>
          <t>45610</t>
        </is>
      </c>
      <c r="I268" t="inlineStr">
        <is>
          <t>(555) 644-2166</t>
        </is>
      </c>
      <c r="J268" t="inlineStr">
        <is>
          <t>elizabeth.ramos95@example.com</t>
        </is>
      </c>
      <c r="K268" t="inlineStr">
        <is>
          <t>English</t>
        </is>
      </c>
      <c r="L268" t="inlineStr">
        <is>
          <t>PY06</t>
        </is>
      </c>
      <c r="M268" t="inlineStr">
        <is>
          <t>PRV1139</t>
        </is>
      </c>
      <c r="N268" t="n">
        <v>67.09999999999999</v>
      </c>
      <c r="O268" t="n">
        <v>227.1</v>
      </c>
      <c r="Q268" s="26" t="n">
        <v>44301</v>
      </c>
    </row>
    <row r="269">
      <c r="A269" t="inlineStr">
        <is>
          <t>PT12144</t>
        </is>
      </c>
      <c r="B269" t="inlineStr">
        <is>
          <t>05680247</t>
        </is>
      </c>
      <c r="C269" t="inlineStr">
        <is>
          <t>Rogers</t>
        </is>
      </c>
      <c r="D269" t="inlineStr">
        <is>
          <t>Emma</t>
        </is>
      </c>
      <c r="E269" t="inlineStr">
        <is>
          <t>F</t>
        </is>
      </c>
      <c r="F269" s="26" t="n">
        <v>18838</v>
      </c>
      <c r="G269" t="inlineStr">
        <is>
          <t>Bluestone</t>
        </is>
      </c>
      <c r="H269" t="inlineStr">
        <is>
          <t>45503</t>
        </is>
      </c>
      <c r="I269" t="inlineStr">
        <is>
          <t>(555) 932-8127</t>
        </is>
      </c>
      <c r="J269" t="inlineStr">
        <is>
          <t>emma.rogers75@example.com</t>
        </is>
      </c>
      <c r="K269" t="inlineStr">
        <is>
          <t>English</t>
        </is>
      </c>
      <c r="L269" t="inlineStr">
        <is>
          <t>PY01</t>
        </is>
      </c>
      <c r="N269" t="n">
        <v>65.09999999999999</v>
      </c>
      <c r="O269" t="n">
        <v>166.1</v>
      </c>
      <c r="P269" t="inlineStr">
        <is>
          <t>CKD</t>
        </is>
      </c>
      <c r="Q269" s="26" t="n">
        <v>45048</v>
      </c>
    </row>
    <row r="270">
      <c r="A270" t="inlineStr">
        <is>
          <t>PT12152</t>
        </is>
      </c>
      <c r="B270" t="inlineStr">
        <is>
          <t>02222929</t>
        </is>
      </c>
      <c r="C270" t="inlineStr">
        <is>
          <t>Cox</t>
        </is>
      </c>
      <c r="D270" t="inlineStr">
        <is>
          <t>Samuel</t>
        </is>
      </c>
      <c r="E270" t="inlineStr">
        <is>
          <t>M</t>
        </is>
      </c>
      <c r="F270" s="26" t="n">
        <v>25366</v>
      </c>
      <c r="G270" t="inlineStr">
        <is>
          <t>Bluestone</t>
        </is>
      </c>
      <c r="H270" t="inlineStr">
        <is>
          <t>45501</t>
        </is>
      </c>
      <c r="I270" t="inlineStr">
        <is>
          <t>(555) 676-0442</t>
        </is>
      </c>
      <c r="K270" t="inlineStr">
        <is>
          <t>English</t>
        </is>
      </c>
      <c r="L270" t="inlineStr">
        <is>
          <t>PY04</t>
        </is>
      </c>
      <c r="M270" t="inlineStr">
        <is>
          <t>PRV1126</t>
        </is>
      </c>
      <c r="N270" t="n">
        <v>67.40000000000001</v>
      </c>
      <c r="O270" t="n">
        <v>220.3</v>
      </c>
      <c r="P270" t="inlineStr">
        <is>
          <t>HTN</t>
        </is>
      </c>
      <c r="Q270" s="26" t="n">
        <v>43126</v>
      </c>
    </row>
    <row r="271">
      <c r="A271" t="inlineStr">
        <is>
          <t>PT12160</t>
        </is>
      </c>
      <c r="B271" t="inlineStr">
        <is>
          <t>06413282</t>
        </is>
      </c>
      <c r="C271" t="inlineStr">
        <is>
          <t>Fox</t>
        </is>
      </c>
      <c r="D271" t="inlineStr">
        <is>
          <t>Lisa</t>
        </is>
      </c>
      <c r="E271" t="inlineStr">
        <is>
          <t>F</t>
        </is>
      </c>
      <c r="F271" s="26" t="n">
        <v>28884</v>
      </c>
      <c r="G271" t="inlineStr">
        <is>
          <t>Bluestone</t>
        </is>
      </c>
      <c r="H271" t="inlineStr">
        <is>
          <t>45503</t>
        </is>
      </c>
      <c r="I271" t="inlineStr">
        <is>
          <t>(555) 239-1655</t>
        </is>
      </c>
      <c r="J271" t="inlineStr">
        <is>
          <t>lisa.fox38@example.com</t>
        </is>
      </c>
      <c r="K271" t="inlineStr">
        <is>
          <t>English</t>
        </is>
      </c>
      <c r="L271" t="inlineStr">
        <is>
          <t>PY03</t>
        </is>
      </c>
      <c r="M271" t="inlineStr">
        <is>
          <t>PRV1133</t>
        </is>
      </c>
      <c r="N271" t="n">
        <v>57.9</v>
      </c>
      <c r="O271" t="n">
        <v>145.5</v>
      </c>
      <c r="P271" t="inlineStr">
        <is>
          <t>HTN;DM</t>
        </is>
      </c>
      <c r="Q271" s="26" t="n">
        <v>43297</v>
      </c>
    </row>
    <row r="272">
      <c r="A272" t="inlineStr">
        <is>
          <t>PT12168</t>
        </is>
      </c>
      <c r="B272" t="inlineStr">
        <is>
          <t>03472165</t>
        </is>
      </c>
      <c r="C272" t="inlineStr">
        <is>
          <t>Medina</t>
        </is>
      </c>
      <c r="D272" t="inlineStr">
        <is>
          <t>Sarah</t>
        </is>
      </c>
      <c r="E272" t="inlineStr">
        <is>
          <t>F</t>
        </is>
      </c>
      <c r="F272" s="26" t="n">
        <v>22346</v>
      </c>
      <c r="G272" t="inlineStr">
        <is>
          <t>Oak Glen</t>
        </is>
      </c>
      <c r="H272" t="inlineStr">
        <is>
          <t>45730</t>
        </is>
      </c>
      <c r="I272" t="inlineStr">
        <is>
          <t>(555) 557-6440</t>
        </is>
      </c>
      <c r="K272" t="inlineStr">
        <is>
          <t>English</t>
        </is>
      </c>
      <c r="L272" t="inlineStr">
        <is>
          <t>PY07</t>
        </is>
      </c>
      <c r="M272" t="inlineStr">
        <is>
          <t>PRV1133</t>
        </is>
      </c>
      <c r="N272" t="n">
        <v>72</v>
      </c>
      <c r="O272" t="n">
        <v>213.3</v>
      </c>
      <c r="P272" t="inlineStr">
        <is>
          <t>HTN;AFIB</t>
        </is>
      </c>
      <c r="Q272" s="26" t="n">
        <v>41535</v>
      </c>
    </row>
    <row r="273">
      <c r="A273" t="inlineStr">
        <is>
          <t>PT12176</t>
        </is>
      </c>
      <c r="B273" t="inlineStr">
        <is>
          <t>01231312</t>
        </is>
      </c>
      <c r="C273" t="inlineStr">
        <is>
          <t>Weaver</t>
        </is>
      </c>
      <c r="D273" t="inlineStr">
        <is>
          <t>Thomas</t>
        </is>
      </c>
      <c r="E273" t="inlineStr">
        <is>
          <t>M</t>
        </is>
      </c>
      <c r="F273" s="26" t="n">
        <v>20818</v>
      </c>
      <c r="G273" t="inlineStr">
        <is>
          <t>Bluestone</t>
        </is>
      </c>
      <c r="H273" t="inlineStr">
        <is>
          <t>45502</t>
        </is>
      </c>
      <c r="I273" t="inlineStr">
        <is>
          <t>(555) 410-2402</t>
        </is>
      </c>
      <c r="J273" t="inlineStr">
        <is>
          <t>thomas.weaver7@example.com</t>
        </is>
      </c>
      <c r="K273" t="inlineStr">
        <is>
          <t>English</t>
        </is>
      </c>
      <c r="L273" t="inlineStr">
        <is>
          <t>PY02</t>
        </is>
      </c>
      <c r="M273" t="inlineStr">
        <is>
          <t>PRV1127</t>
        </is>
      </c>
      <c r="N273" t="n">
        <v>66.7</v>
      </c>
      <c r="O273" t="n">
        <v>174.3</v>
      </c>
      <c r="P273" t="inlineStr">
        <is>
          <t>DM;CANCER;OA</t>
        </is>
      </c>
      <c r="Q273" s="26" t="n">
        <v>43437</v>
      </c>
    </row>
    <row r="274">
      <c r="A274" t="inlineStr">
        <is>
          <t>PT12184</t>
        </is>
      </c>
      <c r="B274" t="inlineStr">
        <is>
          <t>02806096</t>
        </is>
      </c>
      <c r="C274" t="inlineStr">
        <is>
          <t>Hill</t>
        </is>
      </c>
      <c r="D274" t="inlineStr">
        <is>
          <t>Nicholas</t>
        </is>
      </c>
      <c r="E274" t="inlineStr">
        <is>
          <t>M</t>
        </is>
      </c>
      <c r="F274" s="26" t="n">
        <v>32390</v>
      </c>
      <c r="G274" t="inlineStr">
        <is>
          <t>Bluestone</t>
        </is>
      </c>
      <c r="H274" t="inlineStr">
        <is>
          <t>45501</t>
        </is>
      </c>
      <c r="I274" t="inlineStr">
        <is>
          <t>(555) 559-9937</t>
        </is>
      </c>
      <c r="J274" t="inlineStr">
        <is>
          <t>nicholas.hill85@example.com</t>
        </is>
      </c>
      <c r="K274" t="inlineStr">
        <is>
          <t>Somali</t>
        </is>
      </c>
      <c r="L274" t="inlineStr">
        <is>
          <t>PY04</t>
        </is>
      </c>
      <c r="M274" t="inlineStr">
        <is>
          <t>PRV1138</t>
        </is>
      </c>
      <c r="N274" t="n">
        <v>65.2</v>
      </c>
      <c r="O274" t="n">
        <v>184.1</v>
      </c>
      <c r="P274" t="inlineStr">
        <is>
          <t>PSYCH;ETOH</t>
        </is>
      </c>
      <c r="Q274" s="26" t="n">
        <v>43291</v>
      </c>
    </row>
    <row r="275">
      <c r="A275" t="inlineStr">
        <is>
          <t>PT12192</t>
        </is>
      </c>
      <c r="B275" t="inlineStr">
        <is>
          <t>05354062</t>
        </is>
      </c>
      <c r="C275" t="inlineStr">
        <is>
          <t>Simpson</t>
        </is>
      </c>
      <c r="D275" t="inlineStr">
        <is>
          <t>Janet</t>
        </is>
      </c>
      <c r="E275" t="inlineStr">
        <is>
          <t>F</t>
        </is>
      </c>
      <c r="F275" s="26" t="n">
        <v>25130</v>
      </c>
      <c r="G275" t="inlineStr">
        <is>
          <t>Bluestone</t>
        </is>
      </c>
      <c r="H275" t="inlineStr">
        <is>
          <t>45503</t>
        </is>
      </c>
      <c r="I275" t="inlineStr">
        <is>
          <t>(555) 598-3294</t>
        </is>
      </c>
      <c r="J275" t="inlineStr">
        <is>
          <t>janet.simpson38@example.com</t>
        </is>
      </c>
      <c r="K275" t="inlineStr">
        <is>
          <t>English</t>
        </is>
      </c>
      <c r="L275" t="inlineStr">
        <is>
          <t>PY05</t>
        </is>
      </c>
      <c r="M275" t="inlineStr">
        <is>
          <t>PRV1136</t>
        </is>
      </c>
      <c r="N275" t="n">
        <v>68.09999999999999</v>
      </c>
      <c r="O275" t="n">
        <v>223.3</v>
      </c>
      <c r="Q275" s="26" t="n">
        <v>44341</v>
      </c>
    </row>
    <row r="276">
      <c r="A276" t="inlineStr">
        <is>
          <t>PT12200</t>
        </is>
      </c>
      <c r="B276" t="inlineStr">
        <is>
          <t>09708123</t>
        </is>
      </c>
      <c r="C276" t="inlineStr">
        <is>
          <t>Gonzales</t>
        </is>
      </c>
      <c r="D276" t="inlineStr">
        <is>
          <t>Marilyn</t>
        </is>
      </c>
      <c r="E276" t="inlineStr">
        <is>
          <t>F</t>
        </is>
      </c>
      <c r="F276" s="26" t="n">
        <v>26016</v>
      </c>
      <c r="G276" t="inlineStr">
        <is>
          <t>Bluestone</t>
        </is>
      </c>
      <c r="H276" t="inlineStr">
        <is>
          <t>45501</t>
        </is>
      </c>
      <c r="I276" t="inlineStr">
        <is>
          <t>(555) 547-6506</t>
        </is>
      </c>
      <c r="K276" t="inlineStr">
        <is>
          <t>English</t>
        </is>
      </c>
      <c r="L276" t="inlineStr">
        <is>
          <t>PY03</t>
        </is>
      </c>
      <c r="M276" t="inlineStr">
        <is>
          <t>PRV1124</t>
        </is>
      </c>
      <c r="N276" t="n">
        <v>64.40000000000001</v>
      </c>
      <c r="O276" t="n">
        <v>210.3</v>
      </c>
      <c r="P276" t="inlineStr">
        <is>
          <t>HTN;ASTHMA</t>
        </is>
      </c>
      <c r="Q276" s="26" t="n">
        <v>41693</v>
      </c>
    </row>
    <row r="277">
      <c r="A277" t="inlineStr">
        <is>
          <t>PT12208</t>
        </is>
      </c>
      <c r="B277" t="inlineStr">
        <is>
          <t>00876293</t>
        </is>
      </c>
      <c r="C277" t="inlineStr">
        <is>
          <t>Morales</t>
        </is>
      </c>
      <c r="D277" t="inlineStr">
        <is>
          <t>Laura</t>
        </is>
      </c>
      <c r="E277" t="inlineStr">
        <is>
          <t>F</t>
        </is>
      </c>
      <c r="F277" s="26" t="n">
        <v>39032</v>
      </c>
      <c r="G277" t="inlineStr">
        <is>
          <t>Bluestone</t>
        </is>
      </c>
      <c r="H277" t="inlineStr">
        <is>
          <t>45503</t>
        </is>
      </c>
      <c r="I277" t="inlineStr">
        <is>
          <t>(555) 393-8424</t>
        </is>
      </c>
      <c r="K277" t="inlineStr">
        <is>
          <t>English</t>
        </is>
      </c>
      <c r="L277" t="inlineStr">
        <is>
          <t>PY05</t>
        </is>
      </c>
      <c r="M277" t="inlineStr">
        <is>
          <t>PRV1135</t>
        </is>
      </c>
      <c r="N277" t="n">
        <v>60.3</v>
      </c>
      <c r="O277" t="n">
        <v>132.7</v>
      </c>
      <c r="Q277" s="26" t="n">
        <v>42515</v>
      </c>
    </row>
    <row r="278">
      <c r="A278" t="inlineStr">
        <is>
          <t>PT12216</t>
        </is>
      </c>
      <c r="B278" t="inlineStr">
        <is>
          <t>02645763</t>
        </is>
      </c>
      <c r="C278" t="inlineStr">
        <is>
          <t>King</t>
        </is>
      </c>
      <c r="D278" t="inlineStr">
        <is>
          <t>Ruth</t>
        </is>
      </c>
      <c r="E278" t="inlineStr">
        <is>
          <t>F</t>
        </is>
      </c>
      <c r="F278" s="26" t="n">
        <v>25105</v>
      </c>
      <c r="G278" t="inlineStr">
        <is>
          <t>Bluestone</t>
        </is>
      </c>
      <c r="H278" t="inlineStr">
        <is>
          <t>45501</t>
        </is>
      </c>
      <c r="I278" t="inlineStr">
        <is>
          <t>(555) 256-3292</t>
        </is>
      </c>
      <c r="J278" t="inlineStr">
        <is>
          <t>ruth.king75@example.com</t>
        </is>
      </c>
      <c r="K278" t="inlineStr">
        <is>
          <t>Spanish</t>
        </is>
      </c>
      <c r="L278" t="inlineStr">
        <is>
          <t>PY03</t>
        </is>
      </c>
      <c r="M278" t="inlineStr">
        <is>
          <t>PRV1136</t>
        </is>
      </c>
      <c r="N278" t="n">
        <v>62.4</v>
      </c>
      <c r="O278" t="n">
        <v>162.1</v>
      </c>
      <c r="P278" t="inlineStr">
        <is>
          <t>CANCER</t>
        </is>
      </c>
      <c r="Q278" s="26" t="n">
        <v>43012</v>
      </c>
    </row>
    <row r="279">
      <c r="A279" t="inlineStr">
        <is>
          <t>PT12224</t>
        </is>
      </c>
      <c r="B279" t="inlineStr">
        <is>
          <t>06817727</t>
        </is>
      </c>
      <c r="C279" t="inlineStr">
        <is>
          <t>Smith</t>
        </is>
      </c>
      <c r="D279" t="inlineStr">
        <is>
          <t>Dorothy</t>
        </is>
      </c>
      <c r="E279" t="inlineStr">
        <is>
          <t>F</t>
        </is>
      </c>
      <c r="F279" s="26" t="n">
        <v>30435</v>
      </c>
      <c r="G279" t="inlineStr">
        <is>
          <t>Ashby Falls</t>
        </is>
      </c>
      <c r="H279" t="inlineStr">
        <is>
          <t>45610</t>
        </is>
      </c>
      <c r="I279" t="inlineStr">
        <is>
          <t>(555) 252-5420</t>
        </is>
      </c>
      <c r="J279" t="inlineStr">
        <is>
          <t>dorothy.smith35@example.com</t>
        </is>
      </c>
      <c r="K279" t="inlineStr">
        <is>
          <t>English</t>
        </is>
      </c>
      <c r="L279" t="inlineStr">
        <is>
          <t>PY05</t>
        </is>
      </c>
      <c r="M279" t="inlineStr">
        <is>
          <t>PRV1131</t>
        </is>
      </c>
      <c r="N279" t="n">
        <v>61.2</v>
      </c>
      <c r="O279" t="n">
        <v>129.1</v>
      </c>
      <c r="Q279" s="26" t="n">
        <v>41038</v>
      </c>
    </row>
    <row r="280">
      <c r="A280" t="inlineStr">
        <is>
          <t>PT12232</t>
        </is>
      </c>
      <c r="B280" t="inlineStr">
        <is>
          <t>04752312</t>
        </is>
      </c>
      <c r="C280" t="inlineStr">
        <is>
          <t>Knight</t>
        </is>
      </c>
      <c r="D280" t="inlineStr">
        <is>
          <t>Linda</t>
        </is>
      </c>
      <c r="E280" t="inlineStr">
        <is>
          <t>F</t>
        </is>
      </c>
      <c r="F280" s="26" t="n">
        <v>37341</v>
      </c>
      <c r="G280" t="inlineStr">
        <is>
          <t>Bluestone</t>
        </is>
      </c>
      <c r="H280" t="inlineStr">
        <is>
          <t>45502</t>
        </is>
      </c>
      <c r="I280" t="inlineStr">
        <is>
          <t>(555) 404-6781</t>
        </is>
      </c>
      <c r="J280" t="inlineStr">
        <is>
          <t>linda.knight24@example.com</t>
        </is>
      </c>
      <c r="K280" t="inlineStr">
        <is>
          <t>English</t>
        </is>
      </c>
      <c r="L280" t="inlineStr">
        <is>
          <t>PY06</t>
        </is>
      </c>
      <c r="M280" t="inlineStr">
        <is>
          <t>PRV1131</t>
        </is>
      </c>
      <c r="N280" t="n">
        <v>65.40000000000001</v>
      </c>
      <c r="O280" t="n">
        <v>182.1</v>
      </c>
      <c r="Q280" s="26" t="n">
        <v>44382</v>
      </c>
    </row>
    <row r="281">
      <c r="A281" t="inlineStr">
        <is>
          <t>PT12240</t>
        </is>
      </c>
      <c r="B281" t="inlineStr">
        <is>
          <t>09745335</t>
        </is>
      </c>
      <c r="C281" t="inlineStr">
        <is>
          <t>Shaw</t>
        </is>
      </c>
      <c r="D281" t="inlineStr">
        <is>
          <t>Fatima</t>
        </is>
      </c>
      <c r="E281" t="inlineStr">
        <is>
          <t>F</t>
        </is>
      </c>
      <c r="F281" s="26" t="n">
        <v>33672</v>
      </c>
      <c r="G281" t="inlineStr">
        <is>
          <t>Ashby Falls</t>
        </is>
      </c>
      <c r="H281" t="inlineStr">
        <is>
          <t>45610</t>
        </is>
      </c>
      <c r="I281" t="inlineStr">
        <is>
          <t>(555) 441-6942</t>
        </is>
      </c>
      <c r="K281" t="inlineStr">
        <is>
          <t>English</t>
        </is>
      </c>
      <c r="L281" t="inlineStr">
        <is>
          <t>PY05</t>
        </is>
      </c>
      <c r="M281" t="inlineStr">
        <is>
          <t>PRV1130</t>
        </is>
      </c>
      <c r="N281" t="n">
        <v>65</v>
      </c>
      <c r="O281" t="n">
        <v>164.3</v>
      </c>
      <c r="P281" t="inlineStr">
        <is>
          <t>PSYCH</t>
        </is>
      </c>
      <c r="Q281" s="26" t="n">
        <v>40555</v>
      </c>
    </row>
    <row r="282">
      <c r="A282" t="inlineStr">
        <is>
          <t>PT12248</t>
        </is>
      </c>
      <c r="B282" t="inlineStr">
        <is>
          <t>00492611</t>
        </is>
      </c>
      <c r="C282" t="inlineStr">
        <is>
          <t>Bell</t>
        </is>
      </c>
      <c r="D282" t="inlineStr">
        <is>
          <t>Zachary</t>
        </is>
      </c>
      <c r="E282" t="inlineStr">
        <is>
          <t>M</t>
        </is>
      </c>
      <c r="F282" s="26" t="n">
        <v>25502</v>
      </c>
      <c r="G282" t="inlineStr">
        <is>
          <t>Bluestone</t>
        </is>
      </c>
      <c r="H282" t="inlineStr">
        <is>
          <t>45503</t>
        </is>
      </c>
      <c r="I282" t="inlineStr">
        <is>
          <t>(555) 953-0709</t>
        </is>
      </c>
      <c r="J282" t="inlineStr">
        <is>
          <t>zachary.bell42@example.com</t>
        </is>
      </c>
      <c r="K282" t="inlineStr">
        <is>
          <t>English</t>
        </is>
      </c>
      <c r="L282" t="inlineStr">
        <is>
          <t>PY04</t>
        </is>
      </c>
      <c r="M282" t="inlineStr">
        <is>
          <t>PRV1137</t>
        </is>
      </c>
      <c r="N282" t="n">
        <v>74.2</v>
      </c>
      <c r="O282" t="n">
        <v>267.6</v>
      </c>
      <c r="Q282" s="26" t="n">
        <v>45017</v>
      </c>
    </row>
    <row r="283">
      <c r="A283" t="inlineStr">
        <is>
          <t>PT12256</t>
        </is>
      </c>
      <c r="B283" t="inlineStr">
        <is>
          <t>03717632</t>
        </is>
      </c>
      <c r="C283" t="inlineStr">
        <is>
          <t>Howard</t>
        </is>
      </c>
      <c r="D283" t="inlineStr">
        <is>
          <t>Kyle</t>
        </is>
      </c>
      <c r="E283" t="inlineStr">
        <is>
          <t>M</t>
        </is>
      </c>
      <c r="F283" s="26" t="n">
        <v>28541</v>
      </c>
      <c r="G283" t="inlineStr">
        <is>
          <t>Bluestone</t>
        </is>
      </c>
      <c r="H283" t="inlineStr">
        <is>
          <t>45501</t>
        </is>
      </c>
      <c r="I283" t="inlineStr">
        <is>
          <t>(555) 769-8317</t>
        </is>
      </c>
      <c r="J283" t="inlineStr">
        <is>
          <t>kyle.howard71@example.com</t>
        </is>
      </c>
      <c r="K283" t="inlineStr">
        <is>
          <t>English</t>
        </is>
      </c>
      <c r="L283" t="inlineStr">
        <is>
          <t>PY05</t>
        </is>
      </c>
      <c r="M283" t="inlineStr">
        <is>
          <t>PRV1137</t>
        </is>
      </c>
      <c r="N283" t="n">
        <v>64.90000000000001</v>
      </c>
      <c r="O283" t="n">
        <v>182.8</v>
      </c>
      <c r="P283" t="inlineStr">
        <is>
          <t>ASTHMA</t>
        </is>
      </c>
      <c r="Q283" s="26" t="n">
        <v>40091</v>
      </c>
    </row>
    <row r="284">
      <c r="A284" t="inlineStr">
        <is>
          <t>PT12264</t>
        </is>
      </c>
      <c r="B284" t="inlineStr">
        <is>
          <t>04149594</t>
        </is>
      </c>
      <c r="C284" t="inlineStr">
        <is>
          <t>Hayes</t>
        </is>
      </c>
      <c r="D284" t="inlineStr">
        <is>
          <t>William</t>
        </is>
      </c>
      <c r="E284" t="inlineStr">
        <is>
          <t>M</t>
        </is>
      </c>
      <c r="F284" s="26" t="n">
        <v>17775</v>
      </c>
      <c r="G284" t="inlineStr">
        <is>
          <t>Cedar Ridge</t>
        </is>
      </c>
      <c r="H284" t="inlineStr">
        <is>
          <t>45720</t>
        </is>
      </c>
      <c r="I284" t="inlineStr">
        <is>
          <t>(555) 812-6678</t>
        </is>
      </c>
      <c r="J284" t="inlineStr">
        <is>
          <t>william.hayes58@example.com</t>
        </is>
      </c>
      <c r="K284" t="inlineStr">
        <is>
          <t>English</t>
        </is>
      </c>
      <c r="L284" t="inlineStr">
        <is>
          <t>PY01</t>
        </is>
      </c>
      <c r="M284" t="inlineStr">
        <is>
          <t>PRV1130</t>
        </is>
      </c>
      <c r="N284" t="n">
        <v>67.5</v>
      </c>
      <c r="O284" t="n">
        <v>173.7</v>
      </c>
      <c r="P284" t="inlineStr">
        <is>
          <t>HTN;DM</t>
        </is>
      </c>
      <c r="Q284" s="26" t="n">
        <v>41534</v>
      </c>
    </row>
    <row r="285">
      <c r="A285" t="inlineStr">
        <is>
          <t>PT12272</t>
        </is>
      </c>
      <c r="B285" t="inlineStr">
        <is>
          <t>02728163</t>
        </is>
      </c>
      <c r="C285" t="inlineStr">
        <is>
          <t>Yilmaz</t>
        </is>
      </c>
      <c r="D285" t="inlineStr">
        <is>
          <t>Carol</t>
        </is>
      </c>
      <c r="E285" t="inlineStr">
        <is>
          <t>F</t>
        </is>
      </c>
      <c r="F285" s="26" t="n">
        <v>19501</v>
      </c>
      <c r="G285" t="inlineStr">
        <is>
          <t>Bluestone</t>
        </is>
      </c>
      <c r="H285" t="inlineStr">
        <is>
          <t>45501</t>
        </is>
      </c>
      <c r="I285" t="inlineStr">
        <is>
          <t>(555) 540-2529</t>
        </is>
      </c>
      <c r="J285" t="inlineStr">
        <is>
          <t>carol.yilmaz98@example.com</t>
        </is>
      </c>
      <c r="K285" t="inlineStr">
        <is>
          <t>English</t>
        </is>
      </c>
      <c r="L285" t="inlineStr">
        <is>
          <t>PY04</t>
        </is>
      </c>
      <c r="M285" t="inlineStr">
        <is>
          <t>PRV1134</t>
        </is>
      </c>
      <c r="N285" t="n">
        <v>65.2</v>
      </c>
      <c r="O285" t="n">
        <v>154.3</v>
      </c>
      <c r="P285" t="inlineStr">
        <is>
          <t>OA</t>
        </is>
      </c>
      <c r="Q285" s="26" t="n">
        <v>40411</v>
      </c>
    </row>
    <row r="286">
      <c r="A286" t="inlineStr">
        <is>
          <t>PT12280</t>
        </is>
      </c>
      <c r="B286" t="inlineStr">
        <is>
          <t>00034756</t>
        </is>
      </c>
      <c r="C286" t="inlineStr">
        <is>
          <t>Gutierrez</t>
        </is>
      </c>
      <c r="D286" t="inlineStr">
        <is>
          <t>Sarah</t>
        </is>
      </c>
      <c r="E286" t="inlineStr">
        <is>
          <t>F</t>
        </is>
      </c>
      <c r="F286" s="26" t="n">
        <v>33121</v>
      </c>
      <c r="G286" t="inlineStr">
        <is>
          <t>Bluestone</t>
        </is>
      </c>
      <c r="H286" t="inlineStr">
        <is>
          <t>45502</t>
        </is>
      </c>
      <c r="I286" t="inlineStr">
        <is>
          <t>(555) 217-1701</t>
        </is>
      </c>
      <c r="J286" t="inlineStr">
        <is>
          <t>sarah.gutierrez46@example.com</t>
        </is>
      </c>
      <c r="K286" t="inlineStr">
        <is>
          <t>English</t>
        </is>
      </c>
      <c r="L286" t="inlineStr">
        <is>
          <t>PY07</t>
        </is>
      </c>
      <c r="M286" t="inlineStr">
        <is>
          <t>PRV1135</t>
        </is>
      </c>
      <c r="N286" t="n">
        <v>61.4</v>
      </c>
      <c r="O286" t="n">
        <v>144.6</v>
      </c>
      <c r="P286" t="inlineStr">
        <is>
          <t>DM;PSYCH</t>
        </is>
      </c>
      <c r="Q286" s="26" t="n">
        <v>43178</v>
      </c>
    </row>
    <row r="287">
      <c r="A287" t="inlineStr">
        <is>
          <t>PT12288</t>
        </is>
      </c>
      <c r="B287" t="inlineStr">
        <is>
          <t>07687972</t>
        </is>
      </c>
      <c r="C287" t="inlineStr">
        <is>
          <t>Alvarez</t>
        </is>
      </c>
      <c r="D287" t="inlineStr">
        <is>
          <t>Steven</t>
        </is>
      </c>
      <c r="E287" t="inlineStr">
        <is>
          <t>M</t>
        </is>
      </c>
      <c r="F287" s="26" t="n">
        <v>29269</v>
      </c>
      <c r="G287" t="inlineStr">
        <is>
          <t>Granite Springs</t>
        </is>
      </c>
      <c r="H287" t="inlineStr">
        <is>
          <t>45750</t>
        </is>
      </c>
      <c r="I287" t="inlineStr">
        <is>
          <t>(555) 809-1580</t>
        </is>
      </c>
      <c r="J287" t="inlineStr">
        <is>
          <t>steven.alvarez99@example.com</t>
        </is>
      </c>
      <c r="K287" t="inlineStr">
        <is>
          <t>English</t>
        </is>
      </c>
      <c r="L287" t="inlineStr">
        <is>
          <t>PY06</t>
        </is>
      </c>
      <c r="M287" t="inlineStr">
        <is>
          <t>PRV1136</t>
        </is>
      </c>
      <c r="N287" t="n">
        <v>67.59999999999999</v>
      </c>
      <c r="O287" t="n">
        <v>153.2</v>
      </c>
      <c r="P287" t="inlineStr">
        <is>
          <t>HTN</t>
        </is>
      </c>
      <c r="Q287" s="26" t="n">
        <v>42176</v>
      </c>
    </row>
    <row r="288">
      <c r="A288" t="inlineStr">
        <is>
          <t>PT12296</t>
        </is>
      </c>
      <c r="B288" t="inlineStr">
        <is>
          <t>01394891</t>
        </is>
      </c>
      <c r="C288" t="inlineStr">
        <is>
          <t>Smith</t>
        </is>
      </c>
      <c r="D288" t="inlineStr">
        <is>
          <t>Brenda</t>
        </is>
      </c>
      <c r="E288" t="inlineStr">
        <is>
          <t>F</t>
        </is>
      </c>
      <c r="F288" s="26" t="n">
        <v>37583</v>
      </c>
      <c r="G288" t="inlineStr">
        <is>
          <t>Lakeview Heights</t>
        </is>
      </c>
      <c r="H288" t="inlineStr">
        <is>
          <t>45510</t>
        </is>
      </c>
      <c r="I288" t="inlineStr">
        <is>
          <t>(555) 213-7779</t>
        </is>
      </c>
      <c r="K288" t="inlineStr">
        <is>
          <t>English</t>
        </is>
      </c>
      <c r="L288" t="inlineStr">
        <is>
          <t>PY04</t>
        </is>
      </c>
      <c r="M288" t="inlineStr">
        <is>
          <t>PRV1125</t>
        </is>
      </c>
      <c r="N288" t="n">
        <v>63.6</v>
      </c>
      <c r="O288" t="n">
        <v>186.9</v>
      </c>
      <c r="Q288" s="26" t="n">
        <v>45353</v>
      </c>
    </row>
    <row r="289">
      <c r="A289" t="inlineStr">
        <is>
          <t>PT12304</t>
        </is>
      </c>
      <c r="B289" t="inlineStr">
        <is>
          <t>06909848</t>
        </is>
      </c>
      <c r="C289" t="inlineStr">
        <is>
          <t>Wallace</t>
        </is>
      </c>
      <c r="D289" t="inlineStr">
        <is>
          <t>Albert</t>
        </is>
      </c>
      <c r="E289" t="inlineStr">
        <is>
          <t>M</t>
        </is>
      </c>
      <c r="F289" s="26" t="n">
        <v>21621</v>
      </c>
      <c r="G289" t="inlineStr">
        <is>
          <t>Bluestone</t>
        </is>
      </c>
      <c r="H289" t="inlineStr">
        <is>
          <t>45501</t>
        </is>
      </c>
      <c r="I289" t="inlineStr">
        <is>
          <t>(555) 567-4785</t>
        </is>
      </c>
      <c r="J289" t="inlineStr">
        <is>
          <t>albert.wallace55@example.com</t>
        </is>
      </c>
      <c r="K289" t="inlineStr">
        <is>
          <t>English</t>
        </is>
      </c>
      <c r="L289" t="inlineStr">
        <is>
          <t>PY01</t>
        </is>
      </c>
      <c r="M289" t="inlineStr">
        <is>
          <t>PRV1134</t>
        </is>
      </c>
      <c r="N289" t="n">
        <v>65.3</v>
      </c>
      <c r="O289" t="n">
        <v>241.7</v>
      </c>
      <c r="P289" t="inlineStr">
        <is>
          <t>HF;CKD;ETOH</t>
        </is>
      </c>
      <c r="Q289" s="26" t="n">
        <v>40838</v>
      </c>
    </row>
    <row r="290">
      <c r="A290" t="inlineStr">
        <is>
          <t>PT12312</t>
        </is>
      </c>
      <c r="B290" t="inlineStr">
        <is>
          <t>07952756</t>
        </is>
      </c>
      <c r="C290" t="inlineStr">
        <is>
          <t>Patel</t>
        </is>
      </c>
      <c r="D290" t="inlineStr">
        <is>
          <t>Dylan</t>
        </is>
      </c>
      <c r="E290" t="inlineStr">
        <is>
          <t>M</t>
        </is>
      </c>
      <c r="F290" s="26" t="n">
        <v>16900</v>
      </c>
      <c r="G290" t="inlineStr">
        <is>
          <t>Bluestone</t>
        </is>
      </c>
      <c r="H290" t="inlineStr">
        <is>
          <t>45502</t>
        </is>
      </c>
      <c r="I290" t="inlineStr">
        <is>
          <t>(555) 832-2965</t>
        </is>
      </c>
      <c r="J290" t="inlineStr">
        <is>
          <t>dylan.patel22@example.com</t>
        </is>
      </c>
      <c r="K290" t="inlineStr">
        <is>
          <t>English</t>
        </is>
      </c>
      <c r="L290" t="inlineStr">
        <is>
          <t>PY01</t>
        </is>
      </c>
      <c r="M290" t="inlineStr">
        <is>
          <t>PRV1128</t>
        </is>
      </c>
      <c r="N290" t="n">
        <v>72.59999999999999</v>
      </c>
      <c r="O290" t="n">
        <v>245.9</v>
      </c>
      <c r="P290" t="inlineStr">
        <is>
          <t>DM;CANCER;PSYCH</t>
        </is>
      </c>
      <c r="Q290" s="26" t="n">
        <v>39717</v>
      </c>
    </row>
    <row r="291">
      <c r="A291" t="inlineStr">
        <is>
          <t>PT12320</t>
        </is>
      </c>
      <c r="B291" t="inlineStr">
        <is>
          <t>04034039</t>
        </is>
      </c>
      <c r="C291" t="inlineStr">
        <is>
          <t>Tucker</t>
        </is>
      </c>
      <c r="D291" t="inlineStr">
        <is>
          <t>Christina</t>
        </is>
      </c>
      <c r="E291" t="inlineStr">
        <is>
          <t>F</t>
        </is>
      </c>
      <c r="F291" s="26" t="n">
        <v>21146</v>
      </c>
      <c r="G291" t="inlineStr">
        <is>
          <t>Pine Hollow</t>
        </is>
      </c>
      <c r="H291" t="inlineStr">
        <is>
          <t>45640</t>
        </is>
      </c>
      <c r="I291" t="inlineStr">
        <is>
          <t>(555) 837-6423</t>
        </is>
      </c>
      <c r="J291" t="inlineStr">
        <is>
          <t>christina.tucker5@example.com</t>
        </is>
      </c>
      <c r="K291" t="inlineStr">
        <is>
          <t>English</t>
        </is>
      </c>
      <c r="L291" t="inlineStr">
        <is>
          <t>PY01</t>
        </is>
      </c>
      <c r="M291" t="inlineStr">
        <is>
          <t>PRV1137</t>
        </is>
      </c>
      <c r="N291" t="n">
        <v>69.3</v>
      </c>
      <c r="O291" t="n">
        <v>265</v>
      </c>
      <c r="P291" t="inlineStr">
        <is>
          <t>HF</t>
        </is>
      </c>
      <c r="Q291" s="26" t="n">
        <v>45313</v>
      </c>
    </row>
    <row r="292">
      <c r="A292" t="inlineStr">
        <is>
          <t>PT12328</t>
        </is>
      </c>
      <c r="B292" t="inlineStr">
        <is>
          <t>02614590</t>
        </is>
      </c>
      <c r="C292" t="inlineStr">
        <is>
          <t>Stephens</t>
        </is>
      </c>
      <c r="D292" t="inlineStr">
        <is>
          <t>Ralph</t>
        </is>
      </c>
      <c r="E292" t="inlineStr">
        <is>
          <t>M</t>
        </is>
      </c>
      <c r="F292" s="26" t="n">
        <v>33251</v>
      </c>
      <c r="G292" t="inlineStr">
        <is>
          <t>Lakeview Heights</t>
        </is>
      </c>
      <c r="H292" t="inlineStr">
        <is>
          <t>45510</t>
        </is>
      </c>
      <c r="I292" t="inlineStr">
        <is>
          <t>(555) 254-9713</t>
        </is>
      </c>
      <c r="K292" t="inlineStr">
        <is>
          <t>English</t>
        </is>
      </c>
      <c r="L292" t="inlineStr">
        <is>
          <t>PY04</t>
        </is>
      </c>
      <c r="M292" t="inlineStr">
        <is>
          <t>PRV1135</t>
        </is>
      </c>
      <c r="N292" t="n">
        <v>73.40000000000001</v>
      </c>
      <c r="O292" t="n">
        <v>208.1</v>
      </c>
      <c r="P292" t="inlineStr">
        <is>
          <t>DM;ASTHMA;SEIZURE</t>
        </is>
      </c>
      <c r="Q292" s="26" t="n">
        <v>42611</v>
      </c>
    </row>
    <row r="293">
      <c r="A293" t="inlineStr">
        <is>
          <t>PT12336</t>
        </is>
      </c>
      <c r="B293" t="inlineStr">
        <is>
          <t>00695245</t>
        </is>
      </c>
      <c r="C293" t="inlineStr">
        <is>
          <t>Rivera</t>
        </is>
      </c>
      <c r="D293" t="inlineStr">
        <is>
          <t>Linda</t>
        </is>
      </c>
      <c r="E293" t="inlineStr">
        <is>
          <t>F</t>
        </is>
      </c>
      <c r="F293" s="26" t="n">
        <v>42217</v>
      </c>
      <c r="G293" t="inlineStr">
        <is>
          <t>Ashby Falls</t>
        </is>
      </c>
      <c r="H293" t="inlineStr">
        <is>
          <t>45610</t>
        </is>
      </c>
      <c r="I293" t="inlineStr">
        <is>
          <t>(555) 924-0447</t>
        </is>
      </c>
      <c r="K293" t="inlineStr">
        <is>
          <t>English</t>
        </is>
      </c>
      <c r="L293" t="inlineStr">
        <is>
          <t>PY05</t>
        </is>
      </c>
      <c r="M293" t="inlineStr">
        <is>
          <t>PRV1105</t>
        </is>
      </c>
      <c r="N293" t="n">
        <v>45.4</v>
      </c>
      <c r="O293" t="n">
        <v>65</v>
      </c>
      <c r="Q293" s="26" t="n">
        <v>45313</v>
      </c>
    </row>
    <row r="294">
      <c r="A294" t="inlineStr">
        <is>
          <t>PT12344</t>
        </is>
      </c>
      <c r="B294" t="inlineStr">
        <is>
          <t>03067328</t>
        </is>
      </c>
      <c r="C294" t="inlineStr">
        <is>
          <t>Sullivan</t>
        </is>
      </c>
      <c r="D294" t="inlineStr">
        <is>
          <t>Katherine</t>
        </is>
      </c>
      <c r="E294" t="inlineStr">
        <is>
          <t>F</t>
        </is>
      </c>
      <c r="F294" s="26" t="n">
        <v>20738</v>
      </c>
      <c r="G294" t="inlineStr">
        <is>
          <t>Bluestone</t>
        </is>
      </c>
      <c r="H294" t="inlineStr">
        <is>
          <t>45502</t>
        </is>
      </c>
      <c r="I294" t="inlineStr">
        <is>
          <t>(555) 764-2188</t>
        </is>
      </c>
      <c r="K294" t="inlineStr">
        <is>
          <t>English</t>
        </is>
      </c>
      <c r="L294" t="inlineStr">
        <is>
          <t>PY02</t>
        </is>
      </c>
      <c r="M294" t="inlineStr">
        <is>
          <t>PRV1125</t>
        </is>
      </c>
      <c r="N294" t="n">
        <v>63</v>
      </c>
      <c r="O294" t="n">
        <v>142.8</v>
      </c>
      <c r="P294" t="inlineStr">
        <is>
          <t>HTN;PSYCH</t>
        </is>
      </c>
      <c r="Q294" s="26" t="n">
        <v>44817</v>
      </c>
    </row>
    <row r="295">
      <c r="A295" t="inlineStr">
        <is>
          <t>PT12352</t>
        </is>
      </c>
      <c r="B295" t="inlineStr">
        <is>
          <t>07422446</t>
        </is>
      </c>
      <c r="C295" t="inlineStr">
        <is>
          <t>Munoz</t>
        </is>
      </c>
      <c r="D295" t="inlineStr">
        <is>
          <t>Susan</t>
        </is>
      </c>
      <c r="E295" t="inlineStr">
        <is>
          <t>F</t>
        </is>
      </c>
      <c r="F295" s="26" t="n">
        <v>23135</v>
      </c>
      <c r="G295" t="inlineStr">
        <is>
          <t>Fairhaven</t>
        </is>
      </c>
      <c r="H295" t="inlineStr">
        <is>
          <t>45620</t>
        </is>
      </c>
      <c r="I295" t="inlineStr">
        <is>
          <t>(555) 806-3592</t>
        </is>
      </c>
      <c r="J295" t="inlineStr">
        <is>
          <t>susan.munoz81@example.com</t>
        </is>
      </c>
      <c r="K295" t="inlineStr">
        <is>
          <t>English</t>
        </is>
      </c>
      <c r="L295" t="inlineStr">
        <is>
          <t>PY05</t>
        </is>
      </c>
      <c r="M295" t="inlineStr">
        <is>
          <t>PRV1127</t>
        </is>
      </c>
      <c r="N295" t="n">
        <v>65.5</v>
      </c>
      <c r="O295" t="n">
        <v>156.2</v>
      </c>
      <c r="P295" t="inlineStr">
        <is>
          <t>HTN</t>
        </is>
      </c>
      <c r="Q295" s="26" t="n">
        <v>42098</v>
      </c>
    </row>
    <row r="296">
      <c r="A296" t="inlineStr">
        <is>
          <t>PT12360</t>
        </is>
      </c>
      <c r="B296" t="inlineStr">
        <is>
          <t>06860172</t>
        </is>
      </c>
      <c r="C296" t="inlineStr">
        <is>
          <t>Chen</t>
        </is>
      </c>
      <c r="D296" t="inlineStr">
        <is>
          <t>Charles</t>
        </is>
      </c>
      <c r="E296" t="inlineStr">
        <is>
          <t>M</t>
        </is>
      </c>
      <c r="F296" s="26" t="n">
        <v>22858</v>
      </c>
      <c r="G296" t="inlineStr">
        <is>
          <t>Ashby Falls</t>
        </is>
      </c>
      <c r="H296" t="inlineStr">
        <is>
          <t>45610</t>
        </is>
      </c>
      <c r="I296" t="inlineStr">
        <is>
          <t>(555) 391-4186</t>
        </is>
      </c>
      <c r="J296" t="inlineStr">
        <is>
          <t>charles.chen89@example.com</t>
        </is>
      </c>
      <c r="K296" t="inlineStr">
        <is>
          <t>English</t>
        </is>
      </c>
      <c r="L296" t="inlineStr">
        <is>
          <t>PY05</t>
        </is>
      </c>
      <c r="M296" t="inlineStr">
        <is>
          <t>PRV1126</t>
        </is>
      </c>
      <c r="N296" t="n">
        <v>67.59999999999999</v>
      </c>
      <c r="O296" t="n">
        <v>254.3</v>
      </c>
      <c r="P296" t="inlineStr">
        <is>
          <t>DM</t>
        </is>
      </c>
      <c r="Q296" s="26" t="n">
        <v>45376</v>
      </c>
    </row>
    <row r="297">
      <c r="A297" t="inlineStr">
        <is>
          <t>PT12368</t>
        </is>
      </c>
      <c r="B297" t="inlineStr">
        <is>
          <t>04221985</t>
        </is>
      </c>
      <c r="C297" t="inlineStr">
        <is>
          <t>Hayes</t>
        </is>
      </c>
      <c r="D297" t="inlineStr">
        <is>
          <t>Justin</t>
        </is>
      </c>
      <c r="E297" t="inlineStr">
        <is>
          <t>M</t>
        </is>
      </c>
      <c r="F297" s="26" t="n">
        <v>33948</v>
      </c>
      <c r="G297" t="inlineStr">
        <is>
          <t>Ashby Falls</t>
        </is>
      </c>
      <c r="H297" t="inlineStr">
        <is>
          <t>45610</t>
        </is>
      </c>
      <c r="I297" t="inlineStr">
        <is>
          <t>(555) 597-4187</t>
        </is>
      </c>
      <c r="K297" t="inlineStr">
        <is>
          <t>English</t>
        </is>
      </c>
      <c r="L297" t="inlineStr">
        <is>
          <t>PY05</t>
        </is>
      </c>
      <c r="M297" t="inlineStr">
        <is>
          <t>PRV1139</t>
        </is>
      </c>
      <c r="N297" t="n">
        <v>67.59999999999999</v>
      </c>
      <c r="O297" t="n">
        <v>162.2</v>
      </c>
      <c r="P297" t="inlineStr">
        <is>
          <t>PSYCH</t>
        </is>
      </c>
      <c r="Q297" s="26" t="n">
        <v>40249</v>
      </c>
    </row>
    <row r="298">
      <c r="A298" t="inlineStr">
        <is>
          <t>PT12376</t>
        </is>
      </c>
      <c r="B298" t="inlineStr">
        <is>
          <t>04419385</t>
        </is>
      </c>
      <c r="C298" t="inlineStr">
        <is>
          <t>Rice</t>
        </is>
      </c>
      <c r="D298" t="inlineStr">
        <is>
          <t>Samantha</t>
        </is>
      </c>
      <c r="E298" t="inlineStr">
        <is>
          <t>F</t>
        </is>
      </c>
      <c r="F298" s="26" t="n">
        <v>31691</v>
      </c>
      <c r="G298" t="inlineStr">
        <is>
          <t>Bluestone</t>
        </is>
      </c>
      <c r="H298" t="inlineStr">
        <is>
          <t>45503</t>
        </is>
      </c>
      <c r="I298" t="inlineStr">
        <is>
          <t>(555) 740-8462</t>
        </is>
      </c>
      <c r="J298" t="inlineStr">
        <is>
          <t>samantha.rice99@example.com</t>
        </is>
      </c>
      <c r="K298" t="inlineStr">
        <is>
          <t>English</t>
        </is>
      </c>
      <c r="L298" t="inlineStr">
        <is>
          <t>PY04</t>
        </is>
      </c>
      <c r="M298" t="inlineStr">
        <is>
          <t>PRV1133</t>
        </is>
      </c>
      <c r="N298" t="n">
        <v>58.5</v>
      </c>
      <c r="O298" t="n">
        <v>169.4</v>
      </c>
      <c r="Q298" s="26" t="n">
        <v>43846</v>
      </c>
    </row>
    <row r="299">
      <c r="A299" t="inlineStr">
        <is>
          <t>PT12384</t>
        </is>
      </c>
      <c r="B299" t="inlineStr">
        <is>
          <t>00156353</t>
        </is>
      </c>
      <c r="C299" t="inlineStr">
        <is>
          <t>Gonzalez</t>
        </is>
      </c>
      <c r="D299" t="inlineStr">
        <is>
          <t>Michael</t>
        </is>
      </c>
      <c r="E299" t="inlineStr">
        <is>
          <t>M</t>
        </is>
      </c>
      <c r="F299" s="26" t="n">
        <v>29007</v>
      </c>
      <c r="G299" t="inlineStr">
        <is>
          <t>Fairhaven</t>
        </is>
      </c>
      <c r="H299" t="inlineStr">
        <is>
          <t>45620</t>
        </is>
      </c>
      <c r="I299" t="inlineStr">
        <is>
          <t>(555) 539-6607</t>
        </is>
      </c>
      <c r="J299" t="inlineStr">
        <is>
          <t>michael.gonzalez80@example.com</t>
        </is>
      </c>
      <c r="K299" t="inlineStr">
        <is>
          <t>English</t>
        </is>
      </c>
      <c r="L299" t="inlineStr">
        <is>
          <t>PY04</t>
        </is>
      </c>
      <c r="M299" t="inlineStr">
        <is>
          <t>PRV1134</t>
        </is>
      </c>
      <c r="N299" t="n">
        <v>72.2</v>
      </c>
      <c r="O299" t="n">
        <v>259.1</v>
      </c>
      <c r="P299" t="inlineStr">
        <is>
          <t>PSYCH</t>
        </is>
      </c>
      <c r="Q299" s="26" t="n">
        <v>43716</v>
      </c>
    </row>
    <row r="300">
      <c r="A300" t="inlineStr">
        <is>
          <t>PT12392</t>
        </is>
      </c>
      <c r="B300" t="inlineStr">
        <is>
          <t>08831291</t>
        </is>
      </c>
      <c r="C300" t="inlineStr">
        <is>
          <t>Perkins</t>
        </is>
      </c>
      <c r="D300" t="inlineStr">
        <is>
          <t>Hassan</t>
        </is>
      </c>
      <c r="E300" t="inlineStr">
        <is>
          <t>M</t>
        </is>
      </c>
      <c r="F300" s="26" t="n">
        <v>29832</v>
      </c>
      <c r="G300" t="inlineStr">
        <is>
          <t>Cedar Ridge</t>
        </is>
      </c>
      <c r="H300" t="inlineStr">
        <is>
          <t>45720</t>
        </is>
      </c>
      <c r="I300" t="inlineStr">
        <is>
          <t>(555) 651-4423</t>
        </is>
      </c>
      <c r="J300" t="inlineStr">
        <is>
          <t>hassan.perkins47@example.com</t>
        </is>
      </c>
      <c r="K300" t="inlineStr">
        <is>
          <t>English</t>
        </is>
      </c>
      <c r="L300" t="inlineStr">
        <is>
          <t>PY04</t>
        </is>
      </c>
      <c r="N300" t="n">
        <v>69.7</v>
      </c>
      <c r="O300" t="n">
        <v>179.9</v>
      </c>
      <c r="Q300" s="26" t="n">
        <v>42557</v>
      </c>
    </row>
    <row r="301">
      <c r="A301" t="inlineStr">
        <is>
          <t>PT12400</t>
        </is>
      </c>
      <c r="B301" t="inlineStr">
        <is>
          <t>09290605</t>
        </is>
      </c>
      <c r="C301" t="inlineStr">
        <is>
          <t>James</t>
        </is>
      </c>
      <c r="D301" t="inlineStr">
        <is>
          <t>Charles</t>
        </is>
      </c>
      <c r="E301" t="inlineStr">
        <is>
          <t>M</t>
        </is>
      </c>
      <c r="F301" s="26" t="n">
        <v>24222</v>
      </c>
      <c r="G301" t="inlineStr">
        <is>
          <t>Ashby Falls</t>
        </is>
      </c>
      <c r="H301" t="inlineStr">
        <is>
          <t>45610</t>
        </is>
      </c>
      <c r="I301" t="inlineStr">
        <is>
          <t>(555) 255-6644</t>
        </is>
      </c>
      <c r="K301" t="inlineStr">
        <is>
          <t>English</t>
        </is>
      </c>
      <c r="L301" t="inlineStr">
        <is>
          <t>PY07</t>
        </is>
      </c>
      <c r="M301" t="inlineStr">
        <is>
          <t>PRV1136</t>
        </is>
      </c>
      <c r="N301" t="n">
        <v>72.7</v>
      </c>
      <c r="O301" t="n">
        <v>228.7</v>
      </c>
      <c r="P301" t="inlineStr">
        <is>
          <t>HTN;CANCER</t>
        </is>
      </c>
      <c r="Q301" s="26" t="n">
        <v>44216</v>
      </c>
    </row>
    <row r="302">
      <c r="A302" t="inlineStr">
        <is>
          <t>PT12408</t>
        </is>
      </c>
      <c r="B302" t="inlineStr">
        <is>
          <t>01763315</t>
        </is>
      </c>
      <c r="C302" t="inlineStr">
        <is>
          <t>Adams</t>
        </is>
      </c>
      <c r="D302" t="inlineStr">
        <is>
          <t>Ahmed</t>
        </is>
      </c>
      <c r="E302" t="inlineStr">
        <is>
          <t>M</t>
        </is>
      </c>
      <c r="F302" s="26" t="n">
        <v>33156</v>
      </c>
      <c r="G302" t="inlineStr">
        <is>
          <t>Fairhaven</t>
        </is>
      </c>
      <c r="H302" t="inlineStr">
        <is>
          <t>45620</t>
        </is>
      </c>
      <c r="I302" t="inlineStr">
        <is>
          <t>(555) 954-5576</t>
        </is>
      </c>
      <c r="J302" t="inlineStr">
        <is>
          <t>ahmed.adams46@example.com</t>
        </is>
      </c>
      <c r="K302" t="inlineStr">
        <is>
          <t>English</t>
        </is>
      </c>
      <c r="L302" t="inlineStr">
        <is>
          <t>PY03</t>
        </is>
      </c>
      <c r="M302" t="inlineStr">
        <is>
          <t>PRV1136</t>
        </is>
      </c>
      <c r="N302" t="n">
        <v>66.7</v>
      </c>
      <c r="O302" t="n">
        <v>148.3</v>
      </c>
      <c r="Q302" s="26" t="n">
        <v>42063</v>
      </c>
    </row>
    <row r="303">
      <c r="A303" t="inlineStr">
        <is>
          <t>PT12416</t>
        </is>
      </c>
      <c r="B303" t="inlineStr">
        <is>
          <t>08214232</t>
        </is>
      </c>
      <c r="C303" t="inlineStr">
        <is>
          <t>Ruiz</t>
        </is>
      </c>
      <c r="D303" t="inlineStr">
        <is>
          <t>Brenda</t>
        </is>
      </c>
      <c r="E303" t="inlineStr">
        <is>
          <t>F</t>
        </is>
      </c>
      <c r="F303" s="26" t="n">
        <v>43779</v>
      </c>
      <c r="G303" t="inlineStr">
        <is>
          <t>Millbrook</t>
        </is>
      </c>
      <c r="H303" t="inlineStr">
        <is>
          <t>45530</t>
        </is>
      </c>
      <c r="I303" t="inlineStr">
        <is>
          <t>(555) 439-7302</t>
        </is>
      </c>
      <c r="K303" t="inlineStr">
        <is>
          <t>English</t>
        </is>
      </c>
      <c r="L303" t="inlineStr">
        <is>
          <t>PY06</t>
        </is>
      </c>
      <c r="M303" t="inlineStr">
        <is>
          <t>PRV1107</t>
        </is>
      </c>
      <c r="N303" t="n">
        <v>34.3</v>
      </c>
      <c r="O303" t="n">
        <v>40.9</v>
      </c>
      <c r="Q303" s="26" t="n">
        <v>44845</v>
      </c>
    </row>
    <row r="304">
      <c r="A304" t="inlineStr">
        <is>
          <t>PT12424</t>
        </is>
      </c>
      <c r="B304" t="inlineStr">
        <is>
          <t>07930220</t>
        </is>
      </c>
      <c r="C304" t="inlineStr">
        <is>
          <t>Osei</t>
        </is>
      </c>
      <c r="D304" t="inlineStr">
        <is>
          <t>Laura</t>
        </is>
      </c>
      <c r="E304" t="inlineStr">
        <is>
          <t>F</t>
        </is>
      </c>
      <c r="F304" s="26" t="n">
        <v>44776</v>
      </c>
      <c r="G304" t="inlineStr">
        <is>
          <t>Millbrook</t>
        </is>
      </c>
      <c r="H304" t="inlineStr">
        <is>
          <t>45530</t>
        </is>
      </c>
      <c r="I304" t="inlineStr">
        <is>
          <t>(555) 841-5209</t>
        </is>
      </c>
      <c r="K304" t="inlineStr">
        <is>
          <t>English</t>
        </is>
      </c>
      <c r="L304" t="inlineStr">
        <is>
          <t>PY07</t>
        </is>
      </c>
      <c r="M304" t="inlineStr">
        <is>
          <t>PRV1104</t>
        </is>
      </c>
      <c r="N304" t="n">
        <v>29.8</v>
      </c>
      <c r="O304" t="n">
        <v>23.7</v>
      </c>
      <c r="Q304" s="26" t="n">
        <v>44894</v>
      </c>
    </row>
    <row r="305">
      <c r="A305" t="inlineStr">
        <is>
          <t>PT12432</t>
        </is>
      </c>
      <c r="B305" t="inlineStr">
        <is>
          <t>07421524</t>
        </is>
      </c>
      <c r="C305" t="inlineStr">
        <is>
          <t>Wallace</t>
        </is>
      </c>
      <c r="D305" t="inlineStr">
        <is>
          <t>Deborah</t>
        </is>
      </c>
      <c r="E305" t="inlineStr">
        <is>
          <t>F</t>
        </is>
      </c>
      <c r="F305" s="26" t="n">
        <v>35868</v>
      </c>
      <c r="G305" t="inlineStr">
        <is>
          <t>Bluestone</t>
        </is>
      </c>
      <c r="H305" t="inlineStr">
        <is>
          <t>45503</t>
        </is>
      </c>
      <c r="I305" t="inlineStr">
        <is>
          <t>(555) 948-8535</t>
        </is>
      </c>
      <c r="J305" t="inlineStr">
        <is>
          <t>deborah.wallace35@example.com</t>
        </is>
      </c>
      <c r="K305" t="inlineStr">
        <is>
          <t>English</t>
        </is>
      </c>
      <c r="L305" t="inlineStr">
        <is>
          <t>PY03</t>
        </is>
      </c>
      <c r="M305" t="inlineStr">
        <is>
          <t>PRV1128</t>
        </is>
      </c>
      <c r="N305" t="n">
        <v>64.40000000000001</v>
      </c>
      <c r="O305" t="n">
        <v>141.9</v>
      </c>
      <c r="P305" t="inlineStr">
        <is>
          <t>ASTHMA</t>
        </is>
      </c>
      <c r="Q305" s="26" t="n">
        <v>41733</v>
      </c>
    </row>
    <row r="306">
      <c r="A306" t="inlineStr">
        <is>
          <t>PT12440</t>
        </is>
      </c>
      <c r="B306" t="inlineStr">
        <is>
          <t>00235725</t>
        </is>
      </c>
      <c r="C306" t="inlineStr">
        <is>
          <t>Cox</t>
        </is>
      </c>
      <c r="D306" t="inlineStr">
        <is>
          <t>Ana</t>
        </is>
      </c>
      <c r="E306" t="inlineStr">
        <is>
          <t>F</t>
        </is>
      </c>
      <c r="F306" s="26" t="n">
        <v>20794</v>
      </c>
      <c r="G306" t="inlineStr">
        <is>
          <t>Ashby Falls</t>
        </is>
      </c>
      <c r="H306" t="inlineStr">
        <is>
          <t>45610</t>
        </is>
      </c>
      <c r="I306" t="inlineStr">
        <is>
          <t>(555) 311-9315</t>
        </is>
      </c>
      <c r="J306" t="inlineStr">
        <is>
          <t>ana.cox19@example.com</t>
        </is>
      </c>
      <c r="K306" t="inlineStr">
        <is>
          <t>Spanish</t>
        </is>
      </c>
      <c r="L306" t="inlineStr">
        <is>
          <t>PY01</t>
        </is>
      </c>
      <c r="M306" t="inlineStr">
        <is>
          <t>PRV1135</t>
        </is>
      </c>
      <c r="N306" t="n">
        <v>64.2</v>
      </c>
      <c r="O306" t="n">
        <v>153.8</v>
      </c>
      <c r="Q306" s="26" t="n">
        <v>44972</v>
      </c>
    </row>
    <row r="307">
      <c r="A307" t="inlineStr">
        <is>
          <t>PT12448</t>
        </is>
      </c>
      <c r="B307" t="inlineStr">
        <is>
          <t>00346034</t>
        </is>
      </c>
      <c r="C307" t="inlineStr">
        <is>
          <t>Kim</t>
        </is>
      </c>
      <c r="D307" t="inlineStr">
        <is>
          <t>Karen</t>
        </is>
      </c>
      <c r="E307" t="inlineStr">
        <is>
          <t>F</t>
        </is>
      </c>
      <c r="F307" s="26" t="n">
        <v>18674</v>
      </c>
      <c r="G307" t="inlineStr">
        <is>
          <t>Lakeview Heights</t>
        </is>
      </c>
      <c r="H307" t="inlineStr">
        <is>
          <t>45510</t>
        </is>
      </c>
      <c r="I307" t="inlineStr">
        <is>
          <t>(555) 769-0741</t>
        </is>
      </c>
      <c r="J307" t="inlineStr">
        <is>
          <t>karen.kim66@example.com</t>
        </is>
      </c>
      <c r="K307" t="inlineStr">
        <is>
          <t>English</t>
        </is>
      </c>
      <c r="L307" t="inlineStr">
        <is>
          <t>PY01</t>
        </is>
      </c>
      <c r="M307" t="inlineStr">
        <is>
          <t>PRV1137</t>
        </is>
      </c>
      <c r="N307" t="n">
        <v>62.4</v>
      </c>
      <c r="O307" t="n">
        <v>152.6</v>
      </c>
      <c r="P307" t="inlineStr">
        <is>
          <t>HTN</t>
        </is>
      </c>
      <c r="Q307" s="26" t="n">
        <v>44569</v>
      </c>
    </row>
    <row r="308">
      <c r="A308" t="inlineStr">
        <is>
          <t>PT12456</t>
        </is>
      </c>
      <c r="B308" t="inlineStr">
        <is>
          <t>03428931</t>
        </is>
      </c>
      <c r="C308" t="inlineStr">
        <is>
          <t>Salazar</t>
        </is>
      </c>
      <c r="D308" t="inlineStr">
        <is>
          <t>Wei</t>
        </is>
      </c>
      <c r="E308" t="inlineStr">
        <is>
          <t>M</t>
        </is>
      </c>
      <c r="F308" s="26" t="n">
        <v>32450</v>
      </c>
      <c r="G308" t="inlineStr">
        <is>
          <t>Oak Glen</t>
        </is>
      </c>
      <c r="H308" t="inlineStr">
        <is>
          <t>45730</t>
        </is>
      </c>
      <c r="I308" t="inlineStr">
        <is>
          <t>(555) 404-2480</t>
        </is>
      </c>
      <c r="J308" t="inlineStr">
        <is>
          <t>wei.salazar24@example.com</t>
        </is>
      </c>
      <c r="K308" t="inlineStr">
        <is>
          <t>English</t>
        </is>
      </c>
      <c r="L308" t="inlineStr">
        <is>
          <t>PY04</t>
        </is>
      </c>
      <c r="M308" t="inlineStr">
        <is>
          <t>PRV1134</t>
        </is>
      </c>
      <c r="N308" t="n">
        <v>69.40000000000001</v>
      </c>
      <c r="O308" t="n">
        <v>205.5</v>
      </c>
      <c r="P308" t="inlineStr">
        <is>
          <t>ASTHMA;PSYCH</t>
        </is>
      </c>
      <c r="Q308" s="26" t="n">
        <v>44087</v>
      </c>
    </row>
    <row r="309">
      <c r="A309" t="inlineStr">
        <is>
          <t>PT12464</t>
        </is>
      </c>
      <c r="B309" t="inlineStr">
        <is>
          <t>00906419</t>
        </is>
      </c>
      <c r="C309" t="inlineStr">
        <is>
          <t>Hicks</t>
        </is>
      </c>
      <c r="D309" t="inlineStr">
        <is>
          <t>Willie</t>
        </is>
      </c>
      <c r="E309" t="inlineStr">
        <is>
          <t>M</t>
        </is>
      </c>
      <c r="F309" s="26" t="n">
        <v>29234</v>
      </c>
      <c r="G309" t="inlineStr">
        <is>
          <t>Oak Glen</t>
        </is>
      </c>
      <c r="H309" t="inlineStr">
        <is>
          <t>45730</t>
        </is>
      </c>
      <c r="I309" t="inlineStr">
        <is>
          <t>(555) 896-8016</t>
        </is>
      </c>
      <c r="J309" t="inlineStr">
        <is>
          <t>willie.hicks72@example.com</t>
        </is>
      </c>
      <c r="K309" t="inlineStr">
        <is>
          <t>English</t>
        </is>
      </c>
      <c r="L309" t="inlineStr">
        <is>
          <t>PY07</t>
        </is>
      </c>
      <c r="M309" t="inlineStr">
        <is>
          <t>PRV1125</t>
        </is>
      </c>
      <c r="N309" t="n">
        <v>64.90000000000001</v>
      </c>
      <c r="O309" t="n">
        <v>134.3</v>
      </c>
      <c r="P309" t="inlineStr">
        <is>
          <t>HTN;ASTHMA;ETOH</t>
        </is>
      </c>
      <c r="Q309" s="26" t="n">
        <v>43371</v>
      </c>
    </row>
    <row r="310">
      <c r="A310" t="inlineStr">
        <is>
          <t>PT12472</t>
        </is>
      </c>
      <c r="B310" t="inlineStr">
        <is>
          <t>02501931</t>
        </is>
      </c>
      <c r="C310" t="inlineStr">
        <is>
          <t>Peters</t>
        </is>
      </c>
      <c r="D310" t="inlineStr">
        <is>
          <t>James</t>
        </is>
      </c>
      <c r="E310" t="inlineStr">
        <is>
          <t>M</t>
        </is>
      </c>
      <c r="F310" s="26" t="n">
        <v>13766</v>
      </c>
      <c r="G310" t="inlineStr">
        <is>
          <t>Millbrook</t>
        </is>
      </c>
      <c r="H310" t="inlineStr">
        <is>
          <t>45530</t>
        </is>
      </c>
      <c r="I310" t="inlineStr">
        <is>
          <t>(555) 391-1583</t>
        </is>
      </c>
      <c r="K310" t="inlineStr">
        <is>
          <t>Spanish</t>
        </is>
      </c>
      <c r="L310" t="inlineStr">
        <is>
          <t>PY01</t>
        </is>
      </c>
      <c r="M310" t="inlineStr">
        <is>
          <t>PRV1138</t>
        </is>
      </c>
      <c r="N310" t="n">
        <v>71.3</v>
      </c>
      <c r="O310" t="n">
        <v>232.6</v>
      </c>
      <c r="P310" t="inlineStr">
        <is>
          <t>HF;AFIB</t>
        </is>
      </c>
      <c r="Q310" s="26" t="n">
        <v>42681</v>
      </c>
    </row>
    <row r="311">
      <c r="A311" t="inlineStr">
        <is>
          <t>PT12480</t>
        </is>
      </c>
      <c r="B311" t="inlineStr">
        <is>
          <t>05611027</t>
        </is>
      </c>
      <c r="C311" t="inlineStr">
        <is>
          <t>Fernandez</t>
        </is>
      </c>
      <c r="D311" t="inlineStr">
        <is>
          <t>Nicole</t>
        </is>
      </c>
      <c r="E311" t="inlineStr">
        <is>
          <t>F</t>
        </is>
      </c>
      <c r="F311" s="26" t="n">
        <v>37070</v>
      </c>
      <c r="G311" t="inlineStr">
        <is>
          <t>Lakeview Heights</t>
        </is>
      </c>
      <c r="H311" t="inlineStr">
        <is>
          <t>45510</t>
        </is>
      </c>
      <c r="I311" t="inlineStr">
        <is>
          <t>(555) 464-2516</t>
        </is>
      </c>
      <c r="J311" t="inlineStr">
        <is>
          <t>nicole.fernandez74@example.com</t>
        </is>
      </c>
      <c r="K311" t="inlineStr">
        <is>
          <t>English</t>
        </is>
      </c>
      <c r="L311" t="inlineStr">
        <is>
          <t>PY03</t>
        </is>
      </c>
      <c r="M311" t="inlineStr">
        <is>
          <t>PRV1137</t>
        </is>
      </c>
      <c r="N311" t="n">
        <v>68</v>
      </c>
      <c r="O311" t="n">
        <v>215.5</v>
      </c>
      <c r="Q311" s="26" t="n">
        <v>41504</v>
      </c>
    </row>
    <row r="312">
      <c r="A312" t="inlineStr">
        <is>
          <t>PT12488</t>
        </is>
      </c>
      <c r="B312" t="inlineStr">
        <is>
          <t>03496643</t>
        </is>
      </c>
      <c r="C312" t="inlineStr">
        <is>
          <t>Moreno</t>
        </is>
      </c>
      <c r="D312" t="inlineStr">
        <is>
          <t>Fatima</t>
        </is>
      </c>
      <c r="E312" t="inlineStr">
        <is>
          <t>F</t>
        </is>
      </c>
      <c r="F312" s="26" t="n">
        <v>31756</v>
      </c>
      <c r="G312" t="inlineStr">
        <is>
          <t>Bluestone</t>
        </is>
      </c>
      <c r="H312" t="inlineStr">
        <is>
          <t>45501</t>
        </is>
      </c>
      <c r="I312" t="inlineStr">
        <is>
          <t>(555) 655-8536</t>
        </is>
      </c>
      <c r="J312" t="inlineStr">
        <is>
          <t>fatima.moreno78@example.com</t>
        </is>
      </c>
      <c r="K312" t="inlineStr">
        <is>
          <t>English</t>
        </is>
      </c>
      <c r="L312" t="inlineStr">
        <is>
          <t>PY06</t>
        </is>
      </c>
      <c r="M312" t="inlineStr">
        <is>
          <t>PRV1126</t>
        </is>
      </c>
      <c r="N312" t="n">
        <v>62.7</v>
      </c>
      <c r="O312" t="n">
        <v>163.7</v>
      </c>
      <c r="Q312" s="26" t="n">
        <v>40493</v>
      </c>
    </row>
    <row r="313">
      <c r="A313" t="inlineStr">
        <is>
          <t>PT12496</t>
        </is>
      </c>
      <c r="B313" t="inlineStr">
        <is>
          <t>02314384</t>
        </is>
      </c>
      <c r="C313" t="inlineStr">
        <is>
          <t>Patterson</t>
        </is>
      </c>
      <c r="D313" t="inlineStr">
        <is>
          <t>Denise</t>
        </is>
      </c>
      <c r="E313" t="inlineStr">
        <is>
          <t>F</t>
        </is>
      </c>
      <c r="F313" s="26" t="n">
        <v>37297</v>
      </c>
      <c r="G313" t="inlineStr">
        <is>
          <t>Bluestone</t>
        </is>
      </c>
      <c r="H313" t="inlineStr">
        <is>
          <t>45503</t>
        </is>
      </c>
      <c r="I313" t="inlineStr">
        <is>
          <t>(555) 737-8197</t>
        </is>
      </c>
      <c r="J313" t="inlineStr">
        <is>
          <t>denise.patterson56@example.com</t>
        </is>
      </c>
      <c r="K313" t="inlineStr">
        <is>
          <t>English</t>
        </is>
      </c>
      <c r="L313" t="inlineStr">
        <is>
          <t>PY04</t>
        </is>
      </c>
      <c r="M313" t="inlineStr">
        <is>
          <t>PRV1140</t>
        </is>
      </c>
      <c r="N313" t="n">
        <v>62.2</v>
      </c>
      <c r="O313" t="n">
        <v>123.4</v>
      </c>
      <c r="Q313" s="26" t="n">
        <v>42254</v>
      </c>
    </row>
    <row r="314">
      <c r="A314" t="inlineStr">
        <is>
          <t>PT12504</t>
        </is>
      </c>
      <c r="B314" t="inlineStr">
        <is>
          <t>05688207</t>
        </is>
      </c>
      <c r="C314" t="inlineStr">
        <is>
          <t>Myers</t>
        </is>
      </c>
      <c r="D314" t="inlineStr">
        <is>
          <t>Deborah</t>
        </is>
      </c>
      <c r="E314" t="inlineStr">
        <is>
          <t>F</t>
        </is>
      </c>
      <c r="F314" s="26" t="n">
        <v>10715</v>
      </c>
      <c r="G314" t="inlineStr">
        <is>
          <t>Bluestone</t>
        </is>
      </c>
      <c r="H314" t="inlineStr">
        <is>
          <t>45502</t>
        </is>
      </c>
      <c r="I314" t="inlineStr">
        <is>
          <t>(555) 375-3618</t>
        </is>
      </c>
      <c r="J314" t="inlineStr">
        <is>
          <t>deborah.myers57@example.com</t>
        </is>
      </c>
      <c r="K314" t="inlineStr">
        <is>
          <t>English</t>
        </is>
      </c>
      <c r="L314" t="inlineStr">
        <is>
          <t>PY01</t>
        </is>
      </c>
      <c r="M314" t="inlineStr">
        <is>
          <t>PRV1135</t>
        </is>
      </c>
      <c r="N314" t="n">
        <v>66.7</v>
      </c>
      <c r="O314" t="n">
        <v>197.2</v>
      </c>
      <c r="P314" t="inlineStr">
        <is>
          <t>HTN;DM</t>
        </is>
      </c>
      <c r="Q314" s="26" t="n">
        <v>40298</v>
      </c>
    </row>
    <row r="315">
      <c r="A315" t="inlineStr">
        <is>
          <t>PT12512</t>
        </is>
      </c>
      <c r="B315" t="inlineStr">
        <is>
          <t>03179799</t>
        </is>
      </c>
      <c r="C315" t="inlineStr">
        <is>
          <t>Sullivan</t>
        </is>
      </c>
      <c r="D315" t="inlineStr">
        <is>
          <t>Andrew</t>
        </is>
      </c>
      <c r="E315" t="inlineStr">
        <is>
          <t>M</t>
        </is>
      </c>
      <c r="F315" s="26" t="n">
        <v>35590</v>
      </c>
      <c r="G315" t="inlineStr">
        <is>
          <t>Bluestone</t>
        </is>
      </c>
      <c r="H315" t="inlineStr">
        <is>
          <t>45501</t>
        </is>
      </c>
      <c r="I315" t="inlineStr">
        <is>
          <t>(555) 652-1437</t>
        </is>
      </c>
      <c r="J315" t="inlineStr">
        <is>
          <t>andrew.sullivan53@example.com</t>
        </is>
      </c>
      <c r="K315" t="inlineStr">
        <is>
          <t>English</t>
        </is>
      </c>
      <c r="L315" t="inlineStr">
        <is>
          <t>PY04</t>
        </is>
      </c>
      <c r="M315" t="inlineStr">
        <is>
          <t>PRV1140</t>
        </is>
      </c>
      <c r="N315" t="n">
        <v>67.2</v>
      </c>
      <c r="O315" t="n">
        <v>140.9</v>
      </c>
      <c r="Q315" s="26" t="n">
        <v>40389</v>
      </c>
    </row>
    <row r="316">
      <c r="A316" t="inlineStr">
        <is>
          <t>PT12520</t>
        </is>
      </c>
      <c r="B316" t="inlineStr">
        <is>
          <t>03414533</t>
        </is>
      </c>
      <c r="C316" t="inlineStr">
        <is>
          <t>Mendez</t>
        </is>
      </c>
      <c r="D316" t="inlineStr">
        <is>
          <t>Alexander</t>
        </is>
      </c>
      <c r="E316" t="inlineStr">
        <is>
          <t>M</t>
        </is>
      </c>
      <c r="F316" s="26" t="n">
        <v>28925</v>
      </c>
      <c r="G316" t="inlineStr">
        <is>
          <t>Lakeview Heights</t>
        </is>
      </c>
      <c r="H316" t="inlineStr">
        <is>
          <t>45510</t>
        </is>
      </c>
      <c r="I316" t="inlineStr">
        <is>
          <t>(555) 357-2704</t>
        </is>
      </c>
      <c r="J316" t="inlineStr">
        <is>
          <t>alexander.mendez36@example.com</t>
        </is>
      </c>
      <c r="K316" t="inlineStr">
        <is>
          <t>English</t>
        </is>
      </c>
      <c r="L316" t="inlineStr">
        <is>
          <t>PY04</t>
        </is>
      </c>
      <c r="M316" t="inlineStr">
        <is>
          <t>PRV1130</t>
        </is>
      </c>
      <c r="N316" t="n">
        <v>71.3</v>
      </c>
      <c r="O316" t="n">
        <v>284.5</v>
      </c>
      <c r="Q316" s="26" t="n">
        <v>42335</v>
      </c>
    </row>
    <row r="317">
      <c r="A317" t="inlineStr">
        <is>
          <t>PT12528</t>
        </is>
      </c>
      <c r="B317" t="inlineStr">
        <is>
          <t>01067300</t>
        </is>
      </c>
      <c r="C317" t="inlineStr">
        <is>
          <t>Peterson</t>
        </is>
      </c>
      <c r="D317" t="inlineStr">
        <is>
          <t>Michelle</t>
        </is>
      </c>
      <c r="E317" t="inlineStr">
        <is>
          <t>F</t>
        </is>
      </c>
      <c r="F317" s="26" t="n">
        <v>23092</v>
      </c>
      <c r="G317" t="inlineStr">
        <is>
          <t>Bluestone</t>
        </is>
      </c>
      <c r="H317" t="inlineStr">
        <is>
          <t>45503</t>
        </is>
      </c>
      <c r="I317" t="inlineStr">
        <is>
          <t>(555) 604-2356</t>
        </is>
      </c>
      <c r="J317" t="inlineStr">
        <is>
          <t>michelle.peterson88@example.com</t>
        </is>
      </c>
      <c r="K317" t="inlineStr">
        <is>
          <t>English</t>
        </is>
      </c>
      <c r="L317" t="inlineStr">
        <is>
          <t>PY07</t>
        </is>
      </c>
      <c r="M317" t="inlineStr">
        <is>
          <t>PRV1130</t>
        </is>
      </c>
      <c r="N317" t="n">
        <v>67.8</v>
      </c>
      <c r="O317" t="n">
        <v>193.6</v>
      </c>
      <c r="Q317" s="26" t="n">
        <v>39833</v>
      </c>
    </row>
    <row r="318">
      <c r="A318" t="inlineStr">
        <is>
          <t>PT12536</t>
        </is>
      </c>
      <c r="B318" t="inlineStr">
        <is>
          <t>07984055</t>
        </is>
      </c>
      <c r="C318" t="inlineStr">
        <is>
          <t>Wilson</t>
        </is>
      </c>
      <c r="D318" t="inlineStr">
        <is>
          <t>Jean</t>
        </is>
      </c>
      <c r="E318" t="inlineStr">
        <is>
          <t>F</t>
        </is>
      </c>
      <c r="F318" s="26" t="n">
        <v>34462</v>
      </c>
      <c r="G318" t="inlineStr">
        <is>
          <t>Bluestone</t>
        </is>
      </c>
      <c r="H318" t="inlineStr">
        <is>
          <t>45503</t>
        </is>
      </c>
      <c r="I318" t="inlineStr">
        <is>
          <t>(555) 669-7425</t>
        </is>
      </c>
      <c r="J318" t="inlineStr">
        <is>
          <t>jean.wilson75@example.com</t>
        </is>
      </c>
      <c r="K318" t="inlineStr">
        <is>
          <t>English</t>
        </is>
      </c>
      <c r="L318" t="inlineStr">
        <is>
          <t>PY06</t>
        </is>
      </c>
      <c r="M318" t="inlineStr">
        <is>
          <t>PRV1134</t>
        </is>
      </c>
      <c r="N318" t="n">
        <v>64.7</v>
      </c>
      <c r="O318" t="n">
        <v>144</v>
      </c>
      <c r="Q318" s="26" t="n">
        <v>40381</v>
      </c>
    </row>
    <row r="319">
      <c r="A319" t="inlineStr">
        <is>
          <t>PT12544</t>
        </is>
      </c>
      <c r="B319" t="inlineStr">
        <is>
          <t>04335618</t>
        </is>
      </c>
      <c r="C319" t="inlineStr">
        <is>
          <t>Gomez</t>
        </is>
      </c>
      <c r="D319" t="inlineStr">
        <is>
          <t>Olivia</t>
        </is>
      </c>
      <c r="E319" t="inlineStr">
        <is>
          <t>F</t>
        </is>
      </c>
      <c r="F319" s="26" t="n">
        <v>28176</v>
      </c>
      <c r="G319" t="inlineStr">
        <is>
          <t>Granite Springs</t>
        </is>
      </c>
      <c r="H319" t="inlineStr">
        <is>
          <t>45750</t>
        </is>
      </c>
      <c r="I319" t="inlineStr">
        <is>
          <t>(555) 585-7835</t>
        </is>
      </c>
      <c r="J319" t="inlineStr">
        <is>
          <t>olivia.gomez88@example.com</t>
        </is>
      </c>
      <c r="K319" t="inlineStr">
        <is>
          <t>English</t>
        </is>
      </c>
      <c r="L319" t="inlineStr">
        <is>
          <t>PY03</t>
        </is>
      </c>
      <c r="M319" t="inlineStr">
        <is>
          <t>PRV1131</t>
        </is>
      </c>
      <c r="N319" t="n">
        <v>66</v>
      </c>
      <c r="O319" t="n">
        <v>217.5</v>
      </c>
      <c r="P319" t="inlineStr">
        <is>
          <t>HTN;PSYCH</t>
        </is>
      </c>
      <c r="Q319" s="26" t="n">
        <v>43547</v>
      </c>
    </row>
    <row r="320">
      <c r="A320" t="inlineStr">
        <is>
          <t>PT12552</t>
        </is>
      </c>
      <c r="B320" t="inlineStr">
        <is>
          <t>04736523</t>
        </is>
      </c>
      <c r="C320" t="inlineStr">
        <is>
          <t>Ellis</t>
        </is>
      </c>
      <c r="D320" t="inlineStr">
        <is>
          <t>Jean</t>
        </is>
      </c>
      <c r="E320" t="inlineStr">
        <is>
          <t>F</t>
        </is>
      </c>
      <c r="F320" s="26" t="n">
        <v>25825</v>
      </c>
      <c r="G320" t="inlineStr">
        <is>
          <t>Bluestone</t>
        </is>
      </c>
      <c r="H320" t="inlineStr">
        <is>
          <t>45502</t>
        </is>
      </c>
      <c r="I320" t="inlineStr">
        <is>
          <t>(555) 401-2840</t>
        </is>
      </c>
      <c r="K320" t="inlineStr">
        <is>
          <t>English</t>
        </is>
      </c>
      <c r="L320" t="inlineStr">
        <is>
          <t>PY06</t>
        </is>
      </c>
      <c r="M320" t="inlineStr">
        <is>
          <t>PRV1139</t>
        </is>
      </c>
      <c r="N320" t="n">
        <v>65.8</v>
      </c>
      <c r="O320" t="n">
        <v>180.9</v>
      </c>
      <c r="P320" t="inlineStr">
        <is>
          <t>HF</t>
        </is>
      </c>
      <c r="Q320" s="26" t="n">
        <v>43011</v>
      </c>
    </row>
    <row r="321">
      <c r="A321" t="inlineStr">
        <is>
          <t>PT12560</t>
        </is>
      </c>
      <c r="B321" t="inlineStr">
        <is>
          <t>04004043</t>
        </is>
      </c>
      <c r="C321" t="inlineStr">
        <is>
          <t>Okafor</t>
        </is>
      </c>
      <c r="D321" t="inlineStr">
        <is>
          <t>Victoria</t>
        </is>
      </c>
      <c r="E321" t="inlineStr">
        <is>
          <t>F</t>
        </is>
      </c>
      <c r="F321" s="26" t="n">
        <v>34995</v>
      </c>
      <c r="G321" t="inlineStr">
        <is>
          <t>Ashby Falls</t>
        </is>
      </c>
      <c r="H321" t="inlineStr">
        <is>
          <t>45610</t>
        </is>
      </c>
      <c r="I321" t="inlineStr">
        <is>
          <t>(555) 414-7639</t>
        </is>
      </c>
      <c r="J321" t="inlineStr">
        <is>
          <t>victoria.okafor15@example.com</t>
        </is>
      </c>
      <c r="K321" t="inlineStr">
        <is>
          <t>English</t>
        </is>
      </c>
      <c r="L321" t="inlineStr">
        <is>
          <t>PY05</t>
        </is>
      </c>
      <c r="M321" t="inlineStr">
        <is>
          <t>PRV1127</t>
        </is>
      </c>
      <c r="N321" t="n">
        <v>67.09999999999999</v>
      </c>
      <c r="O321" t="n">
        <v>211.9</v>
      </c>
      <c r="Q321" s="26" t="n">
        <v>42091</v>
      </c>
    </row>
    <row r="322">
      <c r="A322" t="inlineStr">
        <is>
          <t>PT12568</t>
        </is>
      </c>
      <c r="B322" t="inlineStr">
        <is>
          <t>08382454</t>
        </is>
      </c>
      <c r="C322" t="inlineStr">
        <is>
          <t>Chen</t>
        </is>
      </c>
      <c r="D322" t="inlineStr">
        <is>
          <t>David</t>
        </is>
      </c>
      <c r="E322" t="inlineStr">
        <is>
          <t>M</t>
        </is>
      </c>
      <c r="F322" s="26" t="n">
        <v>38376</v>
      </c>
      <c r="G322" t="inlineStr">
        <is>
          <t>Oak Glen</t>
        </is>
      </c>
      <c r="H322" t="inlineStr">
        <is>
          <t>45730</t>
        </is>
      </c>
      <c r="I322" t="inlineStr">
        <is>
          <t>(555) 906-5698</t>
        </is>
      </c>
      <c r="J322" t="inlineStr">
        <is>
          <t>david.chen18@example.com</t>
        </is>
      </c>
      <c r="K322" t="inlineStr">
        <is>
          <t>English</t>
        </is>
      </c>
      <c r="L322" t="inlineStr">
        <is>
          <t>PY03</t>
        </is>
      </c>
      <c r="M322" t="inlineStr">
        <is>
          <t>PRV1130</t>
        </is>
      </c>
      <c r="N322" t="n">
        <v>69.09999999999999</v>
      </c>
      <c r="O322" t="n">
        <v>117.9</v>
      </c>
      <c r="Q322" s="26" t="n">
        <v>44195</v>
      </c>
    </row>
    <row r="323">
      <c r="A323" t="inlineStr">
        <is>
          <t>PT12576</t>
        </is>
      </c>
      <c r="B323" t="inlineStr">
        <is>
          <t>07818829</t>
        </is>
      </c>
      <c r="C323" t="inlineStr">
        <is>
          <t>Fisher</t>
        </is>
      </c>
      <c r="D323" t="inlineStr">
        <is>
          <t>Elijah</t>
        </is>
      </c>
      <c r="E323" t="inlineStr">
        <is>
          <t>M</t>
        </is>
      </c>
      <c r="F323" s="26" t="n">
        <v>15347</v>
      </c>
      <c r="G323" t="inlineStr">
        <is>
          <t>Bluestone</t>
        </is>
      </c>
      <c r="H323" t="inlineStr">
        <is>
          <t>45503</t>
        </is>
      </c>
      <c r="I323" t="inlineStr">
        <is>
          <t>(555) 828-3122</t>
        </is>
      </c>
      <c r="J323" t="inlineStr">
        <is>
          <t>elijah.fisher88@example.com</t>
        </is>
      </c>
      <c r="K323" t="inlineStr">
        <is>
          <t>English</t>
        </is>
      </c>
      <c r="L323" t="inlineStr">
        <is>
          <t>PY01</t>
        </is>
      </c>
      <c r="M323" t="inlineStr">
        <is>
          <t>PRV1131</t>
        </is>
      </c>
      <c r="N323" t="n">
        <v>74.7</v>
      </c>
      <c r="O323" t="n">
        <v>131</v>
      </c>
      <c r="P323" t="inlineStr">
        <is>
          <t>HTN;DM</t>
        </is>
      </c>
      <c r="Q323" s="26" t="n">
        <v>45317</v>
      </c>
    </row>
    <row r="324">
      <c r="A324" t="inlineStr">
        <is>
          <t>PT12584</t>
        </is>
      </c>
      <c r="B324" t="inlineStr">
        <is>
          <t>06069362</t>
        </is>
      </c>
      <c r="C324" t="inlineStr">
        <is>
          <t>Thompson</t>
        </is>
      </c>
      <c r="D324" t="inlineStr">
        <is>
          <t>Laura</t>
        </is>
      </c>
      <c r="E324" t="inlineStr">
        <is>
          <t>F</t>
        </is>
      </c>
      <c r="F324" s="26" t="n">
        <v>17971</v>
      </c>
      <c r="G324" t="inlineStr">
        <is>
          <t>Bluestone</t>
        </is>
      </c>
      <c r="H324" t="inlineStr">
        <is>
          <t>45501</t>
        </is>
      </c>
      <c r="I324" t="inlineStr">
        <is>
          <t>(555) 437-5204</t>
        </is>
      </c>
      <c r="K324" t="inlineStr">
        <is>
          <t>English</t>
        </is>
      </c>
      <c r="L324" t="inlineStr">
        <is>
          <t>PY02</t>
        </is>
      </c>
      <c r="M324" t="inlineStr">
        <is>
          <t>PRV1125</t>
        </is>
      </c>
      <c r="N324" t="n">
        <v>62.5</v>
      </c>
      <c r="O324" t="n">
        <v>201.1</v>
      </c>
      <c r="P324" t="inlineStr">
        <is>
          <t>HTN</t>
        </is>
      </c>
      <c r="Q324" s="26" t="n">
        <v>40568</v>
      </c>
    </row>
    <row r="325">
      <c r="A325" t="inlineStr">
        <is>
          <t>PT12592</t>
        </is>
      </c>
      <c r="B325" t="inlineStr">
        <is>
          <t>04431167</t>
        </is>
      </c>
      <c r="C325" t="inlineStr">
        <is>
          <t>Young</t>
        </is>
      </c>
      <c r="D325" t="inlineStr">
        <is>
          <t>Austin</t>
        </is>
      </c>
      <c r="E325" t="inlineStr">
        <is>
          <t>M</t>
        </is>
      </c>
      <c r="F325" s="26" t="n">
        <v>40649</v>
      </c>
      <c r="G325" t="inlineStr">
        <is>
          <t>Oak Glen</t>
        </is>
      </c>
      <c r="H325" t="inlineStr">
        <is>
          <t>45730</t>
        </is>
      </c>
      <c r="I325" t="inlineStr">
        <is>
          <t>(555) 332-6510</t>
        </is>
      </c>
      <c r="K325" t="inlineStr">
        <is>
          <t>English</t>
        </is>
      </c>
      <c r="L325" t="inlineStr">
        <is>
          <t>PY05</t>
        </is>
      </c>
      <c r="M325" t="inlineStr">
        <is>
          <t>PRV1105</t>
        </is>
      </c>
      <c r="N325" t="n">
        <v>69.8</v>
      </c>
      <c r="O325" t="n">
        <v>179</v>
      </c>
      <c r="P325" t="inlineStr">
        <is>
          <t>ASTHMA</t>
        </is>
      </c>
      <c r="Q325" s="26" t="n">
        <v>44785</v>
      </c>
    </row>
    <row r="326">
      <c r="A326" t="inlineStr">
        <is>
          <t>PT12600</t>
        </is>
      </c>
      <c r="B326" t="inlineStr">
        <is>
          <t>05418295</t>
        </is>
      </c>
      <c r="C326" t="inlineStr">
        <is>
          <t>Woods</t>
        </is>
      </c>
      <c r="D326" t="inlineStr">
        <is>
          <t>Harper</t>
        </is>
      </c>
      <c r="E326" t="inlineStr">
        <is>
          <t>F</t>
        </is>
      </c>
      <c r="F326" s="26" t="n">
        <v>20939</v>
      </c>
      <c r="G326" t="inlineStr">
        <is>
          <t>Bluestone</t>
        </is>
      </c>
      <c r="H326" t="inlineStr">
        <is>
          <t>45502</t>
        </is>
      </c>
      <c r="I326" t="inlineStr">
        <is>
          <t>(555) 367-4900</t>
        </is>
      </c>
      <c r="J326" t="inlineStr">
        <is>
          <t>harper.woods54@example.com</t>
        </is>
      </c>
      <c r="K326" t="inlineStr">
        <is>
          <t>English</t>
        </is>
      </c>
      <c r="L326" t="inlineStr">
        <is>
          <t>PY02</t>
        </is>
      </c>
      <c r="M326" t="inlineStr">
        <is>
          <t>PRV1124</t>
        </is>
      </c>
      <c r="N326" t="n">
        <v>66.5</v>
      </c>
      <c r="O326" t="n">
        <v>176.1</v>
      </c>
      <c r="P326" t="inlineStr">
        <is>
          <t>HTN;DM</t>
        </is>
      </c>
      <c r="Q326" s="26" t="n">
        <v>43067</v>
      </c>
    </row>
    <row r="327">
      <c r="A327" t="inlineStr">
        <is>
          <t>PT12608</t>
        </is>
      </c>
      <c r="B327" t="inlineStr">
        <is>
          <t>06273719</t>
        </is>
      </c>
      <c r="C327" t="inlineStr">
        <is>
          <t>Richards</t>
        </is>
      </c>
      <c r="D327" t="inlineStr">
        <is>
          <t>Frank</t>
        </is>
      </c>
      <c r="E327" t="inlineStr">
        <is>
          <t>M</t>
        </is>
      </c>
      <c r="F327" s="26" t="n">
        <v>26075</v>
      </c>
      <c r="G327" t="inlineStr">
        <is>
          <t>Bluestone</t>
        </is>
      </c>
      <c r="H327" t="inlineStr">
        <is>
          <t>45502</t>
        </is>
      </c>
      <c r="I327" t="inlineStr">
        <is>
          <t>(555) 257-3928</t>
        </is>
      </c>
      <c r="K327" t="inlineStr">
        <is>
          <t>English</t>
        </is>
      </c>
      <c r="L327" t="inlineStr">
        <is>
          <t>PY06</t>
        </is>
      </c>
      <c r="M327" t="inlineStr">
        <is>
          <t>PRV1132</t>
        </is>
      </c>
      <c r="N327" t="n">
        <v>68.09999999999999</v>
      </c>
      <c r="O327" t="n">
        <v>184.9</v>
      </c>
      <c r="P327" t="inlineStr">
        <is>
          <t>HTN;DM</t>
        </is>
      </c>
      <c r="Q327" s="26" t="n">
        <v>42225</v>
      </c>
    </row>
    <row r="328">
      <c r="A328" t="inlineStr">
        <is>
          <t>PT12616</t>
        </is>
      </c>
      <c r="B328" t="inlineStr">
        <is>
          <t>06098616</t>
        </is>
      </c>
      <c r="C328" t="inlineStr">
        <is>
          <t>Vazquez</t>
        </is>
      </c>
      <c r="D328" t="inlineStr">
        <is>
          <t>Julia</t>
        </is>
      </c>
      <c r="E328" t="inlineStr">
        <is>
          <t>F</t>
        </is>
      </c>
      <c r="F328" s="26" t="n">
        <v>31091</v>
      </c>
      <c r="G328" t="inlineStr">
        <is>
          <t>Bluestone</t>
        </is>
      </c>
      <c r="H328" t="inlineStr">
        <is>
          <t>45502</t>
        </is>
      </c>
      <c r="I328" t="inlineStr">
        <is>
          <t>(555) 794-8820</t>
        </is>
      </c>
      <c r="J328" t="inlineStr">
        <is>
          <t>julia.vazquez70@example.com</t>
        </is>
      </c>
      <c r="K328" t="inlineStr">
        <is>
          <t>English</t>
        </is>
      </c>
      <c r="L328" t="inlineStr">
        <is>
          <t>PY03</t>
        </is>
      </c>
      <c r="M328" t="inlineStr">
        <is>
          <t>PRV1125</t>
        </is>
      </c>
      <c r="N328" t="n">
        <v>65.40000000000001</v>
      </c>
      <c r="O328" t="n">
        <v>168</v>
      </c>
      <c r="Q328" s="26" t="n">
        <v>42805</v>
      </c>
    </row>
    <row r="329">
      <c r="A329" t="inlineStr">
        <is>
          <t>PT12624</t>
        </is>
      </c>
      <c r="B329" t="inlineStr">
        <is>
          <t>09993798</t>
        </is>
      </c>
      <c r="C329" t="inlineStr">
        <is>
          <t>Cox</t>
        </is>
      </c>
      <c r="D329" t="inlineStr">
        <is>
          <t>Brittany</t>
        </is>
      </c>
      <c r="E329" t="inlineStr">
        <is>
          <t>F</t>
        </is>
      </c>
      <c r="F329" s="26" t="n">
        <v>17012</v>
      </c>
      <c r="G329" t="inlineStr">
        <is>
          <t>Pine Hollow</t>
        </is>
      </c>
      <c r="H329" t="inlineStr">
        <is>
          <t>45640</t>
        </is>
      </c>
      <c r="I329" t="inlineStr">
        <is>
          <t>(555) 269-4910</t>
        </is>
      </c>
      <c r="J329" t="inlineStr">
        <is>
          <t>brittany.cox7@example.com</t>
        </is>
      </c>
      <c r="K329" t="inlineStr">
        <is>
          <t>Spanish</t>
        </is>
      </c>
      <c r="L329" t="inlineStr">
        <is>
          <t>PY01</t>
        </is>
      </c>
      <c r="M329" t="inlineStr">
        <is>
          <t>PRV1128</t>
        </is>
      </c>
      <c r="N329" t="n">
        <v>60.3</v>
      </c>
      <c r="O329" t="n">
        <v>161.9</v>
      </c>
      <c r="Q329" s="26" t="n">
        <v>41242</v>
      </c>
    </row>
    <row r="330">
      <c r="A330" t="inlineStr">
        <is>
          <t>PT12632</t>
        </is>
      </c>
      <c r="B330" t="inlineStr">
        <is>
          <t>04351105</t>
        </is>
      </c>
      <c r="C330" t="inlineStr">
        <is>
          <t>Arnold</t>
        </is>
      </c>
      <c r="D330" t="inlineStr">
        <is>
          <t>Andrew</t>
        </is>
      </c>
      <c r="E330" t="inlineStr">
        <is>
          <t>M</t>
        </is>
      </c>
      <c r="F330" s="26" t="n">
        <v>41588</v>
      </c>
      <c r="G330" t="inlineStr">
        <is>
          <t>Millbrook</t>
        </is>
      </c>
      <c r="H330" t="inlineStr">
        <is>
          <t>45530</t>
        </is>
      </c>
      <c r="I330" t="inlineStr">
        <is>
          <t>(555) 274-1758</t>
        </is>
      </c>
      <c r="K330" t="inlineStr">
        <is>
          <t>English</t>
        </is>
      </c>
      <c r="L330" t="inlineStr">
        <is>
          <t>PY05</t>
        </is>
      </c>
      <c r="M330" t="inlineStr">
        <is>
          <t>PRV1107</t>
        </is>
      </c>
      <c r="N330" t="n">
        <v>51.5</v>
      </c>
      <c r="O330" t="n">
        <v>59.5</v>
      </c>
      <c r="Q330" s="26" t="n">
        <v>44673</v>
      </c>
    </row>
    <row r="331">
      <c r="A331" t="inlineStr">
        <is>
          <t>PT12640</t>
        </is>
      </c>
      <c r="B331" t="inlineStr">
        <is>
          <t>03094497</t>
        </is>
      </c>
      <c r="C331" t="inlineStr">
        <is>
          <t>Garcia</t>
        </is>
      </c>
      <c r="D331" t="inlineStr">
        <is>
          <t>Sharon</t>
        </is>
      </c>
      <c r="E331" t="inlineStr">
        <is>
          <t>F</t>
        </is>
      </c>
      <c r="F331" s="26" t="n">
        <v>41693</v>
      </c>
      <c r="G331" t="inlineStr">
        <is>
          <t>Bluestone</t>
        </is>
      </c>
      <c r="H331" t="inlineStr">
        <is>
          <t>45501</t>
        </is>
      </c>
      <c r="I331" t="inlineStr">
        <is>
          <t>(555) 420-5903</t>
        </is>
      </c>
      <c r="K331" t="inlineStr">
        <is>
          <t>Spanish</t>
        </is>
      </c>
      <c r="L331" t="inlineStr">
        <is>
          <t>PY07</t>
        </is>
      </c>
      <c r="M331" t="inlineStr">
        <is>
          <t>PRV1104</t>
        </is>
      </c>
      <c r="N331" t="n">
        <v>49.8</v>
      </c>
      <c r="O331" t="n">
        <v>76.09999999999999</v>
      </c>
      <c r="Q331" s="26" t="n">
        <v>44945</v>
      </c>
    </row>
    <row r="332">
      <c r="A332" t="inlineStr">
        <is>
          <t>PT12648</t>
        </is>
      </c>
      <c r="B332" t="inlineStr">
        <is>
          <t>09437277</t>
        </is>
      </c>
      <c r="C332" t="inlineStr">
        <is>
          <t>Carter</t>
        </is>
      </c>
      <c r="D332" t="inlineStr">
        <is>
          <t>Lauren</t>
        </is>
      </c>
      <c r="E332" t="inlineStr">
        <is>
          <t>F</t>
        </is>
      </c>
      <c r="F332" s="26" t="n">
        <v>23402</v>
      </c>
      <c r="G332" t="inlineStr">
        <is>
          <t>Bluestone</t>
        </is>
      </c>
      <c r="H332" t="inlineStr">
        <is>
          <t>45501</t>
        </is>
      </c>
      <c r="I332" t="inlineStr">
        <is>
          <t>(555) 561-4434</t>
        </is>
      </c>
      <c r="K332" t="inlineStr">
        <is>
          <t>English</t>
        </is>
      </c>
      <c r="L332" t="inlineStr">
        <is>
          <t>PY07</t>
        </is>
      </c>
      <c r="M332" t="inlineStr">
        <is>
          <t>PRV1135</t>
        </is>
      </c>
      <c r="N332" t="n">
        <v>65.09999999999999</v>
      </c>
      <c r="O332" t="n">
        <v>164.6</v>
      </c>
      <c r="P332" t="inlineStr">
        <is>
          <t>DM</t>
        </is>
      </c>
      <c r="Q332" s="26" t="n">
        <v>42252</v>
      </c>
    </row>
    <row r="333">
      <c r="A333" t="inlineStr">
        <is>
          <t>PT12656</t>
        </is>
      </c>
      <c r="B333" t="inlineStr">
        <is>
          <t>02409504</t>
        </is>
      </c>
      <c r="C333" t="inlineStr">
        <is>
          <t>Freeman</t>
        </is>
      </c>
      <c r="D333" t="inlineStr">
        <is>
          <t>Stephanie</t>
        </is>
      </c>
      <c r="E333" t="inlineStr">
        <is>
          <t>F</t>
        </is>
      </c>
      <c r="F333" s="26" t="n">
        <v>10162</v>
      </c>
      <c r="G333" t="inlineStr">
        <is>
          <t>Bluestone</t>
        </is>
      </c>
      <c r="H333" t="inlineStr">
        <is>
          <t>45503</t>
        </is>
      </c>
      <c r="I333" t="inlineStr">
        <is>
          <t>(555) 209-1875</t>
        </is>
      </c>
      <c r="K333" t="inlineStr">
        <is>
          <t>English</t>
        </is>
      </c>
      <c r="L333" t="inlineStr">
        <is>
          <t>PY01</t>
        </is>
      </c>
      <c r="M333" t="inlineStr">
        <is>
          <t>PRV1133</t>
        </is>
      </c>
      <c r="N333" t="n">
        <v>62.6</v>
      </c>
      <c r="O333" t="n">
        <v>158.7</v>
      </c>
      <c r="P333" t="inlineStr">
        <is>
          <t>HTN;DM;OA</t>
        </is>
      </c>
      <c r="Q333" s="26" t="n">
        <v>44200</v>
      </c>
    </row>
    <row r="334">
      <c r="A334" t="inlineStr">
        <is>
          <t>PT12664</t>
        </is>
      </c>
      <c r="B334" t="inlineStr">
        <is>
          <t>09489940</t>
        </is>
      </c>
      <c r="C334" t="inlineStr">
        <is>
          <t>Holmes</t>
        </is>
      </c>
      <c r="D334" t="inlineStr">
        <is>
          <t>Scott</t>
        </is>
      </c>
      <c r="E334" t="inlineStr">
        <is>
          <t>M</t>
        </is>
      </c>
      <c r="F334" s="26" t="n">
        <v>44871</v>
      </c>
      <c r="G334" t="inlineStr">
        <is>
          <t>Oak Glen</t>
        </is>
      </c>
      <c r="H334" t="inlineStr">
        <is>
          <t>45730</t>
        </is>
      </c>
      <c r="I334" t="inlineStr">
        <is>
          <t>(555) 207-8775</t>
        </is>
      </c>
      <c r="K334" t="inlineStr">
        <is>
          <t>English</t>
        </is>
      </c>
      <c r="L334" t="inlineStr">
        <is>
          <t>PY04</t>
        </is>
      </c>
      <c r="M334" t="inlineStr">
        <is>
          <t>PRV1106</t>
        </is>
      </c>
      <c r="N334" t="n">
        <v>30.1</v>
      </c>
      <c r="O334" t="n">
        <v>19.4</v>
      </c>
      <c r="Q334" s="26" t="n">
        <v>45297</v>
      </c>
    </row>
    <row r="335">
      <c r="A335" t="inlineStr">
        <is>
          <t>PT12672</t>
        </is>
      </c>
      <c r="B335" t="inlineStr">
        <is>
          <t>07505638</t>
        </is>
      </c>
      <c r="C335" t="inlineStr">
        <is>
          <t>Harris</t>
        </is>
      </c>
      <c r="D335" t="inlineStr">
        <is>
          <t>Rachel</t>
        </is>
      </c>
      <c r="E335" t="inlineStr">
        <is>
          <t>F</t>
        </is>
      </c>
      <c r="F335" s="26" t="n">
        <v>18919</v>
      </c>
      <c r="G335" t="inlineStr">
        <is>
          <t>Bluestone</t>
        </is>
      </c>
      <c r="H335" t="inlineStr">
        <is>
          <t>45502</t>
        </is>
      </c>
      <c r="I335" t="inlineStr">
        <is>
          <t>(555) 509-9299</t>
        </is>
      </c>
      <c r="K335" t="inlineStr">
        <is>
          <t>English</t>
        </is>
      </c>
      <c r="L335" t="inlineStr">
        <is>
          <t>PY01</t>
        </is>
      </c>
      <c r="M335" t="inlineStr">
        <is>
          <t>PRV1134</t>
        </is>
      </c>
      <c r="N335" t="n">
        <v>61.1</v>
      </c>
      <c r="O335" t="n">
        <v>112.2</v>
      </c>
      <c r="P335" t="inlineStr">
        <is>
          <t>HTN;OA</t>
        </is>
      </c>
      <c r="Q335" s="26" t="n">
        <v>45203</v>
      </c>
    </row>
    <row r="336">
      <c r="A336" t="inlineStr">
        <is>
          <t>PT12680</t>
        </is>
      </c>
      <c r="B336" t="inlineStr">
        <is>
          <t>02122938</t>
        </is>
      </c>
      <c r="C336" t="inlineStr">
        <is>
          <t>Martin</t>
        </is>
      </c>
      <c r="D336" t="inlineStr">
        <is>
          <t>Russell</t>
        </is>
      </c>
      <c r="E336" t="inlineStr">
        <is>
          <t>M</t>
        </is>
      </c>
      <c r="F336" s="26" t="n">
        <v>41838</v>
      </c>
      <c r="G336" t="inlineStr">
        <is>
          <t>Bluestone</t>
        </is>
      </c>
      <c r="H336" t="inlineStr">
        <is>
          <t>45501</t>
        </is>
      </c>
      <c r="I336" t="inlineStr">
        <is>
          <t>(555) 942-3946</t>
        </is>
      </c>
      <c r="K336" t="inlineStr">
        <is>
          <t>English</t>
        </is>
      </c>
      <c r="L336" t="inlineStr">
        <is>
          <t>PY06</t>
        </is>
      </c>
      <c r="M336" t="inlineStr">
        <is>
          <t>PRV1108</t>
        </is>
      </c>
      <c r="N336" t="n">
        <v>48.3</v>
      </c>
      <c r="O336" t="n">
        <v>52.7</v>
      </c>
      <c r="Q336" s="26" t="n">
        <v>45410</v>
      </c>
    </row>
    <row r="337">
      <c r="A337" t="inlineStr">
        <is>
          <t>PT12688</t>
        </is>
      </c>
      <c r="B337" t="inlineStr">
        <is>
          <t>02695116</t>
        </is>
      </c>
      <c r="C337" t="inlineStr">
        <is>
          <t>Campbell</t>
        </is>
      </c>
      <c r="D337" t="inlineStr">
        <is>
          <t>Joyce</t>
        </is>
      </c>
      <c r="E337" t="inlineStr">
        <is>
          <t>F</t>
        </is>
      </c>
      <c r="F337" s="26" t="n">
        <v>25687</v>
      </c>
      <c r="G337" t="inlineStr">
        <is>
          <t>Bluestone</t>
        </is>
      </c>
      <c r="H337" t="inlineStr">
        <is>
          <t>45501</t>
        </is>
      </c>
      <c r="I337" t="inlineStr">
        <is>
          <t>(555) 693-3834</t>
        </is>
      </c>
      <c r="K337" t="inlineStr">
        <is>
          <t>English</t>
        </is>
      </c>
      <c r="L337" t="inlineStr">
        <is>
          <t>PY03</t>
        </is>
      </c>
      <c r="M337" t="inlineStr">
        <is>
          <t>PRV1130</t>
        </is>
      </c>
      <c r="N337" t="n">
        <v>67.5</v>
      </c>
      <c r="O337" t="n">
        <v>207.4</v>
      </c>
      <c r="P337" t="inlineStr">
        <is>
          <t>HTN;ASTHMA</t>
        </is>
      </c>
      <c r="Q337" s="26" t="n">
        <v>41977</v>
      </c>
    </row>
    <row r="338">
      <c r="A338" t="inlineStr">
        <is>
          <t>PT12696</t>
        </is>
      </c>
      <c r="B338" t="inlineStr">
        <is>
          <t>00669497</t>
        </is>
      </c>
      <c r="C338" t="inlineStr">
        <is>
          <t>Ortiz</t>
        </is>
      </c>
      <c r="D338" t="inlineStr">
        <is>
          <t>Samuel</t>
        </is>
      </c>
      <c r="E338" t="inlineStr">
        <is>
          <t>M</t>
        </is>
      </c>
      <c r="F338" s="26" t="n">
        <v>21706</v>
      </c>
      <c r="G338" t="inlineStr">
        <is>
          <t>Bluestone</t>
        </is>
      </c>
      <c r="H338" t="inlineStr">
        <is>
          <t>45502</t>
        </is>
      </c>
      <c r="I338" t="inlineStr">
        <is>
          <t>(555) 810-5159</t>
        </is>
      </c>
      <c r="J338" t="inlineStr">
        <is>
          <t>samuel.ortiz96@example.com</t>
        </is>
      </c>
      <c r="K338" t="inlineStr">
        <is>
          <t>English</t>
        </is>
      </c>
      <c r="L338" t="inlineStr">
        <is>
          <t>PY01</t>
        </is>
      </c>
      <c r="M338" t="inlineStr">
        <is>
          <t>PRV1124</t>
        </is>
      </c>
      <c r="N338" t="n">
        <v>63.2</v>
      </c>
      <c r="O338" t="n">
        <v>161.9</v>
      </c>
      <c r="Q338" s="26" t="n">
        <v>44691</v>
      </c>
    </row>
    <row r="339">
      <c r="A339" t="inlineStr">
        <is>
          <t>PT12704</t>
        </is>
      </c>
      <c r="B339" t="inlineStr">
        <is>
          <t>01112323</t>
        </is>
      </c>
      <c r="C339" t="inlineStr">
        <is>
          <t>Thompson</t>
        </is>
      </c>
      <c r="D339" t="inlineStr">
        <is>
          <t>Mary</t>
        </is>
      </c>
      <c r="E339" t="inlineStr">
        <is>
          <t>F</t>
        </is>
      </c>
      <c r="F339" s="26" t="n">
        <v>35852</v>
      </c>
      <c r="G339" t="inlineStr">
        <is>
          <t>Millbrook</t>
        </is>
      </c>
      <c r="H339" t="inlineStr">
        <is>
          <t>45530</t>
        </is>
      </c>
      <c r="I339" t="inlineStr">
        <is>
          <t>(555) 896-4914</t>
        </is>
      </c>
      <c r="J339" t="inlineStr">
        <is>
          <t>mary.thompson46@example.com</t>
        </is>
      </c>
      <c r="K339" t="inlineStr">
        <is>
          <t>English</t>
        </is>
      </c>
      <c r="L339" t="inlineStr">
        <is>
          <t>PY06</t>
        </is>
      </c>
      <c r="M339" t="inlineStr">
        <is>
          <t>PRV1128</t>
        </is>
      </c>
      <c r="N339" t="n">
        <v>56</v>
      </c>
      <c r="O339" t="n">
        <v>77.90000000000001</v>
      </c>
      <c r="Q339" s="26" t="n">
        <v>40850</v>
      </c>
    </row>
    <row r="340">
      <c r="A340" t="inlineStr">
        <is>
          <t>PT12712</t>
        </is>
      </c>
      <c r="B340" t="inlineStr">
        <is>
          <t>02119915</t>
        </is>
      </c>
      <c r="C340" t="inlineStr">
        <is>
          <t>Cruz</t>
        </is>
      </c>
      <c r="D340" t="inlineStr">
        <is>
          <t>Jessica</t>
        </is>
      </c>
      <c r="E340" t="inlineStr">
        <is>
          <t>F</t>
        </is>
      </c>
      <c r="F340" s="26" t="n">
        <v>21494</v>
      </c>
      <c r="G340" t="inlineStr">
        <is>
          <t>Bluestone</t>
        </is>
      </c>
      <c r="H340" t="inlineStr">
        <is>
          <t>45503</t>
        </is>
      </c>
      <c r="I340" t="inlineStr">
        <is>
          <t>(555) 859-7201</t>
        </is>
      </c>
      <c r="K340" t="inlineStr">
        <is>
          <t>English</t>
        </is>
      </c>
      <c r="L340" t="inlineStr">
        <is>
          <t>PY02</t>
        </is>
      </c>
      <c r="M340" t="inlineStr">
        <is>
          <t>PRV1134</t>
        </is>
      </c>
      <c r="N340" t="n">
        <v>68.90000000000001</v>
      </c>
      <c r="O340" t="n">
        <v>134.2</v>
      </c>
      <c r="P340" t="inlineStr">
        <is>
          <t>HTN;AFIB;PSYCH</t>
        </is>
      </c>
      <c r="Q340" s="26" t="n">
        <v>44611</v>
      </c>
    </row>
    <row r="341">
      <c r="A341" t="inlineStr">
        <is>
          <t>PT12720</t>
        </is>
      </c>
      <c r="B341" t="inlineStr">
        <is>
          <t>07907373</t>
        </is>
      </c>
      <c r="C341" t="inlineStr">
        <is>
          <t>Medina</t>
        </is>
      </c>
      <c r="D341" t="inlineStr">
        <is>
          <t>Julia</t>
        </is>
      </c>
      <c r="E341" t="inlineStr">
        <is>
          <t>F</t>
        </is>
      </c>
      <c r="F341" s="26" t="n">
        <v>26661</v>
      </c>
      <c r="G341" t="inlineStr">
        <is>
          <t>Bluestone</t>
        </is>
      </c>
      <c r="H341" t="inlineStr">
        <is>
          <t>45501</t>
        </is>
      </c>
      <c r="I341" t="inlineStr">
        <is>
          <t>(555) 424-9120</t>
        </is>
      </c>
      <c r="J341" t="inlineStr">
        <is>
          <t>julia.medina64@example.com</t>
        </is>
      </c>
      <c r="K341" t="inlineStr">
        <is>
          <t>English</t>
        </is>
      </c>
      <c r="L341" t="inlineStr">
        <is>
          <t>PY04</t>
        </is>
      </c>
      <c r="M341" t="inlineStr">
        <is>
          <t>PRV1134</t>
        </is>
      </c>
      <c r="N341" t="n">
        <v>63</v>
      </c>
      <c r="O341" t="n">
        <v>162.2</v>
      </c>
      <c r="P341" t="inlineStr">
        <is>
          <t>ASTHMA</t>
        </is>
      </c>
      <c r="Q341" s="26" t="n">
        <v>45285</v>
      </c>
    </row>
    <row r="342">
      <c r="A342" t="inlineStr">
        <is>
          <t>PT12728</t>
        </is>
      </c>
      <c r="B342" t="inlineStr">
        <is>
          <t>06628336</t>
        </is>
      </c>
      <c r="C342" t="inlineStr">
        <is>
          <t>Rice</t>
        </is>
      </c>
      <c r="D342" t="inlineStr">
        <is>
          <t>Billy</t>
        </is>
      </c>
      <c r="E342" t="inlineStr">
        <is>
          <t>M</t>
        </is>
      </c>
      <c r="F342" s="26" t="n">
        <v>33013</v>
      </c>
      <c r="G342" t="inlineStr">
        <is>
          <t>Lakeview Heights</t>
        </is>
      </c>
      <c r="H342" t="inlineStr">
        <is>
          <t>45510</t>
        </is>
      </c>
      <c r="I342" t="inlineStr">
        <is>
          <t>(555) 526-0162</t>
        </is>
      </c>
      <c r="K342" t="inlineStr">
        <is>
          <t>English</t>
        </is>
      </c>
      <c r="L342" t="inlineStr">
        <is>
          <t>PY03</t>
        </is>
      </c>
      <c r="M342" t="inlineStr">
        <is>
          <t>PRV1127</t>
        </is>
      </c>
      <c r="N342" t="n">
        <v>63</v>
      </c>
      <c r="O342" t="n">
        <v>160.9</v>
      </c>
      <c r="Q342" s="26" t="n">
        <v>42185</v>
      </c>
    </row>
    <row r="343">
      <c r="A343" t="inlineStr">
        <is>
          <t>PT12736</t>
        </is>
      </c>
      <c r="B343" t="inlineStr">
        <is>
          <t>09408089</t>
        </is>
      </c>
      <c r="C343" t="inlineStr">
        <is>
          <t>Dixon</t>
        </is>
      </c>
      <c r="D343" t="inlineStr">
        <is>
          <t>Lawrence</t>
        </is>
      </c>
      <c r="E343" t="inlineStr">
        <is>
          <t>M</t>
        </is>
      </c>
      <c r="F343" s="26" t="n">
        <v>34244</v>
      </c>
      <c r="G343" t="inlineStr">
        <is>
          <t>Granite Springs</t>
        </is>
      </c>
      <c r="H343" t="inlineStr">
        <is>
          <t>45750</t>
        </is>
      </c>
      <c r="I343" t="inlineStr">
        <is>
          <t>(555) 391-8264</t>
        </is>
      </c>
      <c r="J343" t="inlineStr">
        <is>
          <t>lawrence.dixon73@example.com</t>
        </is>
      </c>
      <c r="K343" t="inlineStr">
        <is>
          <t>English</t>
        </is>
      </c>
      <c r="L343" t="inlineStr">
        <is>
          <t>PY04</t>
        </is>
      </c>
      <c r="M343" t="inlineStr">
        <is>
          <t>PRV1130</t>
        </is>
      </c>
      <c r="N343" t="n">
        <v>65.5</v>
      </c>
      <c r="O343" t="n">
        <v>157.9</v>
      </c>
      <c r="Q343" s="26" t="n">
        <v>45260</v>
      </c>
    </row>
    <row r="344">
      <c r="A344" t="inlineStr">
        <is>
          <t>PT12744</t>
        </is>
      </c>
      <c r="B344" t="inlineStr">
        <is>
          <t>03239375</t>
        </is>
      </c>
      <c r="C344" t="inlineStr">
        <is>
          <t>Richardson</t>
        </is>
      </c>
      <c r="D344" t="inlineStr">
        <is>
          <t>Rebecca</t>
        </is>
      </c>
      <c r="E344" t="inlineStr">
        <is>
          <t>F</t>
        </is>
      </c>
      <c r="F344" s="26" t="n">
        <v>22545</v>
      </c>
      <c r="G344" t="inlineStr">
        <is>
          <t>Bluestone</t>
        </is>
      </c>
      <c r="H344" t="inlineStr">
        <is>
          <t>45502</t>
        </is>
      </c>
      <c r="I344" t="inlineStr">
        <is>
          <t>(555) 296-5703</t>
        </is>
      </c>
      <c r="J344" t="inlineStr">
        <is>
          <t>rebecca.richardson51@example.com</t>
        </is>
      </c>
      <c r="K344" t="inlineStr">
        <is>
          <t>English</t>
        </is>
      </c>
      <c r="L344" t="inlineStr">
        <is>
          <t>PY03</t>
        </is>
      </c>
      <c r="M344" t="inlineStr">
        <is>
          <t>PRV1137</t>
        </is>
      </c>
      <c r="N344" t="n">
        <v>68.59999999999999</v>
      </c>
      <c r="O344" t="n">
        <v>114.9</v>
      </c>
      <c r="P344" t="inlineStr">
        <is>
          <t>COPD;CANCER</t>
        </is>
      </c>
      <c r="Q344" s="26" t="n">
        <v>40619</v>
      </c>
    </row>
    <row r="345">
      <c r="A345" t="inlineStr">
        <is>
          <t>PT12752</t>
        </is>
      </c>
      <c r="B345" t="inlineStr">
        <is>
          <t>02960388</t>
        </is>
      </c>
      <c r="C345" t="inlineStr">
        <is>
          <t>Ortiz</t>
        </is>
      </c>
      <c r="D345" t="inlineStr">
        <is>
          <t>Carlos</t>
        </is>
      </c>
      <c r="E345" t="inlineStr">
        <is>
          <t>M</t>
        </is>
      </c>
      <c r="F345" s="26" t="n">
        <v>17063</v>
      </c>
      <c r="G345" t="inlineStr">
        <is>
          <t>Bluestone</t>
        </is>
      </c>
      <c r="H345" t="inlineStr">
        <is>
          <t>45501</t>
        </is>
      </c>
      <c r="I345" t="inlineStr">
        <is>
          <t>(555) 490-8904</t>
        </is>
      </c>
      <c r="K345" t="inlineStr">
        <is>
          <t>English</t>
        </is>
      </c>
      <c r="L345" t="inlineStr">
        <is>
          <t>PY02</t>
        </is>
      </c>
      <c r="M345" t="inlineStr">
        <is>
          <t>PRV1137</t>
        </is>
      </c>
      <c r="N345" t="n">
        <v>68.90000000000001</v>
      </c>
      <c r="O345" t="n">
        <v>292.5</v>
      </c>
      <c r="P345" t="inlineStr">
        <is>
          <t>HTN</t>
        </is>
      </c>
      <c r="Q345" s="26" t="n">
        <v>44919</v>
      </c>
    </row>
    <row r="346">
      <c r="A346" t="inlineStr">
        <is>
          <t>PT12760</t>
        </is>
      </c>
      <c r="B346" t="inlineStr">
        <is>
          <t>08811685</t>
        </is>
      </c>
      <c r="C346" t="inlineStr">
        <is>
          <t>Johnston</t>
        </is>
      </c>
      <c r="D346" t="inlineStr">
        <is>
          <t>Marilyn</t>
        </is>
      </c>
      <c r="E346" t="inlineStr">
        <is>
          <t>F</t>
        </is>
      </c>
      <c r="F346" s="26" t="n">
        <v>40437</v>
      </c>
      <c r="G346" t="inlineStr">
        <is>
          <t>Cedar Ridge</t>
        </is>
      </c>
      <c r="H346" t="inlineStr">
        <is>
          <t>45720</t>
        </is>
      </c>
      <c r="I346" t="inlineStr">
        <is>
          <t>(555) 954-6049</t>
        </is>
      </c>
      <c r="K346" t="inlineStr">
        <is>
          <t>English</t>
        </is>
      </c>
      <c r="L346" t="inlineStr">
        <is>
          <t>PY03</t>
        </is>
      </c>
      <c r="M346" t="inlineStr">
        <is>
          <t>PRV1104</t>
        </is>
      </c>
      <c r="N346" t="n">
        <v>62.7</v>
      </c>
      <c r="O346" t="n">
        <v>138.6</v>
      </c>
      <c r="P346" t="inlineStr">
        <is>
          <t>ASTHMA</t>
        </is>
      </c>
      <c r="Q346" s="26" t="n">
        <v>40473</v>
      </c>
    </row>
    <row r="347">
      <c r="A347" t="inlineStr">
        <is>
          <t>PT12768</t>
        </is>
      </c>
      <c r="B347" t="inlineStr">
        <is>
          <t>04891933</t>
        </is>
      </c>
      <c r="C347" t="inlineStr">
        <is>
          <t>Coleman</t>
        </is>
      </c>
      <c r="D347" t="inlineStr">
        <is>
          <t>Linda</t>
        </is>
      </c>
      <c r="E347" t="inlineStr">
        <is>
          <t>F</t>
        </is>
      </c>
      <c r="F347" s="26" t="n">
        <v>30055</v>
      </c>
      <c r="G347" t="inlineStr">
        <is>
          <t>Lakeview Heights</t>
        </is>
      </c>
      <c r="H347" t="inlineStr">
        <is>
          <t>45510</t>
        </is>
      </c>
      <c r="I347" t="inlineStr">
        <is>
          <t>(555) 749-1717</t>
        </is>
      </c>
      <c r="K347" t="inlineStr">
        <is>
          <t>English</t>
        </is>
      </c>
      <c r="L347" t="inlineStr">
        <is>
          <t>PY03</t>
        </is>
      </c>
      <c r="M347" t="inlineStr">
        <is>
          <t>PRV1128</t>
        </is>
      </c>
      <c r="N347" t="n">
        <v>67.59999999999999</v>
      </c>
      <c r="O347" t="n">
        <v>171.9</v>
      </c>
      <c r="Q347" s="26" t="n">
        <v>43948</v>
      </c>
    </row>
    <row r="348">
      <c r="A348" t="inlineStr">
        <is>
          <t>PT12776</t>
        </is>
      </c>
      <c r="B348" t="inlineStr">
        <is>
          <t>00029923</t>
        </is>
      </c>
      <c r="C348" t="inlineStr">
        <is>
          <t>Torres</t>
        </is>
      </c>
      <c r="D348" t="inlineStr">
        <is>
          <t>Nicole</t>
        </is>
      </c>
      <c r="E348" t="inlineStr">
        <is>
          <t>F</t>
        </is>
      </c>
      <c r="F348" s="26" t="n">
        <v>17411</v>
      </c>
      <c r="G348" t="inlineStr">
        <is>
          <t>Fairhaven</t>
        </is>
      </c>
      <c r="H348" t="inlineStr">
        <is>
          <t>45620</t>
        </is>
      </c>
      <c r="I348" t="inlineStr">
        <is>
          <t>(555) 215-4861</t>
        </is>
      </c>
      <c r="J348" t="inlineStr">
        <is>
          <t>nicole.torres30@example.com</t>
        </is>
      </c>
      <c r="K348" t="inlineStr">
        <is>
          <t>English</t>
        </is>
      </c>
      <c r="L348" t="inlineStr">
        <is>
          <t>PY02</t>
        </is>
      </c>
      <c r="M348" t="inlineStr">
        <is>
          <t>PRV1136</t>
        </is>
      </c>
      <c r="N348" t="n">
        <v>63.7</v>
      </c>
      <c r="O348" t="n">
        <v>183</v>
      </c>
      <c r="Q348" s="26" t="n">
        <v>44387</v>
      </c>
    </row>
    <row r="349">
      <c r="A349" t="inlineStr">
        <is>
          <t>PT12784</t>
        </is>
      </c>
      <c r="B349" t="inlineStr">
        <is>
          <t>02393263</t>
        </is>
      </c>
      <c r="C349" t="inlineStr">
        <is>
          <t>Webb</t>
        </is>
      </c>
      <c r="D349" t="inlineStr">
        <is>
          <t>Sarah</t>
        </is>
      </c>
      <c r="E349" t="inlineStr">
        <is>
          <t>F</t>
        </is>
      </c>
      <c r="F349" s="26" t="n">
        <v>20937</v>
      </c>
      <c r="G349" t="inlineStr">
        <is>
          <t>Bluestone</t>
        </is>
      </c>
      <c r="H349" t="inlineStr">
        <is>
          <t>45502</t>
        </is>
      </c>
      <c r="I349" t="inlineStr">
        <is>
          <t>(555) 546-4819</t>
        </is>
      </c>
      <c r="J349" t="inlineStr">
        <is>
          <t>sarah.webb22@example.com</t>
        </is>
      </c>
      <c r="K349" t="inlineStr">
        <is>
          <t>English</t>
        </is>
      </c>
      <c r="L349" t="inlineStr">
        <is>
          <t>PY03</t>
        </is>
      </c>
      <c r="M349" t="inlineStr">
        <is>
          <t>PRV1135</t>
        </is>
      </c>
      <c r="N349" t="n">
        <v>64.5</v>
      </c>
      <c r="O349" t="n">
        <v>215.6</v>
      </c>
      <c r="P349" t="inlineStr">
        <is>
          <t>DM;ETOH</t>
        </is>
      </c>
      <c r="Q349" s="26" t="n">
        <v>42790</v>
      </c>
    </row>
    <row r="350">
      <c r="A350" t="inlineStr">
        <is>
          <t>PT12792</t>
        </is>
      </c>
      <c r="B350" t="inlineStr">
        <is>
          <t>08874854</t>
        </is>
      </c>
      <c r="C350" t="inlineStr">
        <is>
          <t>Carpenter</t>
        </is>
      </c>
      <c r="D350" t="inlineStr">
        <is>
          <t>Steven</t>
        </is>
      </c>
      <c r="E350" t="inlineStr">
        <is>
          <t>M</t>
        </is>
      </c>
      <c r="F350" s="26" t="n">
        <v>19902</v>
      </c>
      <c r="G350" t="inlineStr">
        <is>
          <t>Riverbend</t>
        </is>
      </c>
      <c r="H350" t="inlineStr">
        <is>
          <t>45545</t>
        </is>
      </c>
      <c r="I350" t="inlineStr">
        <is>
          <t>(555) 289-8827</t>
        </is>
      </c>
      <c r="K350" t="inlineStr">
        <is>
          <t>English</t>
        </is>
      </c>
      <c r="L350" t="inlineStr">
        <is>
          <t>PY02</t>
        </is>
      </c>
      <c r="M350" t="inlineStr">
        <is>
          <t>PRV1135</t>
        </is>
      </c>
      <c r="N350" t="n">
        <v>70.5</v>
      </c>
      <c r="O350" t="n">
        <v>229</v>
      </c>
      <c r="Q350" s="26" t="n">
        <v>43985</v>
      </c>
    </row>
    <row r="351">
      <c r="A351" t="inlineStr">
        <is>
          <t>PT12800</t>
        </is>
      </c>
      <c r="B351" t="inlineStr">
        <is>
          <t>06626942</t>
        </is>
      </c>
      <c r="C351" t="inlineStr">
        <is>
          <t>Sullivan</t>
        </is>
      </c>
      <c r="D351" t="inlineStr">
        <is>
          <t>Charles</t>
        </is>
      </c>
      <c r="E351" t="inlineStr">
        <is>
          <t>M</t>
        </is>
      </c>
      <c r="F351" s="26" t="n">
        <v>26536</v>
      </c>
      <c r="G351" t="inlineStr">
        <is>
          <t>Bluestone</t>
        </is>
      </c>
      <c r="H351" t="inlineStr">
        <is>
          <t>45502</t>
        </is>
      </c>
      <c r="I351" t="inlineStr">
        <is>
          <t>(555) 930-8198</t>
        </is>
      </c>
      <c r="J351" t="inlineStr">
        <is>
          <t>charles.sullivan32@example.com</t>
        </is>
      </c>
      <c r="K351" t="inlineStr">
        <is>
          <t>English</t>
        </is>
      </c>
      <c r="L351" t="inlineStr">
        <is>
          <t>PY04</t>
        </is>
      </c>
      <c r="M351" t="inlineStr">
        <is>
          <t>PRV1130</t>
        </is>
      </c>
      <c r="N351" t="n">
        <v>72.5</v>
      </c>
      <c r="O351" t="n">
        <v>160.4</v>
      </c>
      <c r="P351" t="inlineStr">
        <is>
          <t>OA</t>
        </is>
      </c>
      <c r="Q351" s="26" t="n">
        <v>40980</v>
      </c>
    </row>
    <row r="352">
      <c r="A352" t="inlineStr">
        <is>
          <t>PT12808</t>
        </is>
      </c>
      <c r="B352" t="inlineStr">
        <is>
          <t>04977484</t>
        </is>
      </c>
      <c r="C352" t="inlineStr">
        <is>
          <t>Armstrong</t>
        </is>
      </c>
      <c r="D352" t="inlineStr">
        <is>
          <t>Mason</t>
        </is>
      </c>
      <c r="E352" t="inlineStr">
        <is>
          <t>M</t>
        </is>
      </c>
      <c r="F352" s="26" t="n">
        <v>17663</v>
      </c>
      <c r="G352" t="inlineStr">
        <is>
          <t>Cedar Ridge</t>
        </is>
      </c>
      <c r="H352" t="inlineStr">
        <is>
          <t>45720</t>
        </is>
      </c>
      <c r="I352" t="inlineStr">
        <is>
          <t>(555) 470-5330</t>
        </is>
      </c>
      <c r="J352" t="inlineStr">
        <is>
          <t>mason.armstrong52@example.com</t>
        </is>
      </c>
      <c r="K352" t="inlineStr">
        <is>
          <t>English</t>
        </is>
      </c>
      <c r="L352" t="inlineStr">
        <is>
          <t>PY03</t>
        </is>
      </c>
      <c r="M352" t="inlineStr">
        <is>
          <t>PRV1136</t>
        </is>
      </c>
      <c r="N352" t="n">
        <v>71.09999999999999</v>
      </c>
      <c r="O352" t="n">
        <v>275.5</v>
      </c>
      <c r="P352" t="inlineStr">
        <is>
          <t>HTN;CKD;CANCER;PSYCH</t>
        </is>
      </c>
      <c r="Q352" s="26" t="n">
        <v>45152</v>
      </c>
    </row>
    <row r="353">
      <c r="A353" t="inlineStr">
        <is>
          <t>PT12816</t>
        </is>
      </c>
      <c r="B353" t="inlineStr">
        <is>
          <t>03319077</t>
        </is>
      </c>
      <c r="C353" t="inlineStr">
        <is>
          <t>Castro</t>
        </is>
      </c>
      <c r="D353" t="inlineStr">
        <is>
          <t>Sophia</t>
        </is>
      </c>
      <c r="E353" t="inlineStr">
        <is>
          <t>F</t>
        </is>
      </c>
      <c r="F353" s="26" t="n">
        <v>24546</v>
      </c>
      <c r="G353" t="inlineStr">
        <is>
          <t>Riverbend</t>
        </is>
      </c>
      <c r="H353" t="inlineStr">
        <is>
          <t>45545</t>
        </is>
      </c>
      <c r="I353" t="inlineStr">
        <is>
          <t>(555) 451-3419</t>
        </is>
      </c>
      <c r="J353" t="inlineStr">
        <is>
          <t>sophia.castro6@example.com</t>
        </is>
      </c>
      <c r="K353" t="inlineStr">
        <is>
          <t>English</t>
        </is>
      </c>
      <c r="L353" t="inlineStr">
        <is>
          <t>PY03</t>
        </is>
      </c>
      <c r="N353" t="n">
        <v>65.40000000000001</v>
      </c>
      <c r="O353" t="n">
        <v>177.1</v>
      </c>
      <c r="P353" t="inlineStr">
        <is>
          <t>HTN;PSYCH</t>
        </is>
      </c>
      <c r="Q353" s="26" t="n">
        <v>45153</v>
      </c>
    </row>
    <row r="354">
      <c r="A354" t="inlineStr">
        <is>
          <t>PT12824</t>
        </is>
      </c>
      <c r="B354" t="inlineStr">
        <is>
          <t>07306870</t>
        </is>
      </c>
      <c r="C354" t="inlineStr">
        <is>
          <t>Willis</t>
        </is>
      </c>
      <c r="D354" t="inlineStr">
        <is>
          <t>Carol</t>
        </is>
      </c>
      <c r="E354" t="inlineStr">
        <is>
          <t>F</t>
        </is>
      </c>
      <c r="F354" s="26" t="n">
        <v>9635</v>
      </c>
      <c r="G354" t="inlineStr">
        <is>
          <t>Granite Springs</t>
        </is>
      </c>
      <c r="H354" t="inlineStr">
        <is>
          <t>45750</t>
        </is>
      </c>
      <c r="I354" t="inlineStr">
        <is>
          <t>(555) 684-3919</t>
        </is>
      </c>
      <c r="J354" t="inlineStr">
        <is>
          <t>carol.willis8@example.com</t>
        </is>
      </c>
      <c r="K354" t="inlineStr">
        <is>
          <t>English</t>
        </is>
      </c>
      <c r="L354" t="inlineStr">
        <is>
          <t>PY02</t>
        </is>
      </c>
      <c r="M354" t="inlineStr">
        <is>
          <t>PRV1124</t>
        </is>
      </c>
      <c r="N354" t="n">
        <v>67.8</v>
      </c>
      <c r="O354" t="n">
        <v>160.9</v>
      </c>
      <c r="P354" t="inlineStr">
        <is>
          <t>HTN</t>
        </is>
      </c>
      <c r="Q354" s="26" t="n">
        <v>45036</v>
      </c>
    </row>
    <row r="355">
      <c r="A355" t="inlineStr">
        <is>
          <t>PT12832</t>
        </is>
      </c>
      <c r="B355" t="inlineStr">
        <is>
          <t>09479001</t>
        </is>
      </c>
      <c r="C355" t="inlineStr">
        <is>
          <t>Cooper</t>
        </is>
      </c>
      <c r="D355" t="inlineStr">
        <is>
          <t>Doris</t>
        </is>
      </c>
      <c r="E355" t="inlineStr">
        <is>
          <t>F</t>
        </is>
      </c>
      <c r="F355" s="26" t="n">
        <v>17561</v>
      </c>
      <c r="G355" t="inlineStr">
        <is>
          <t>Bluestone</t>
        </is>
      </c>
      <c r="H355" t="inlineStr">
        <is>
          <t>45503</t>
        </is>
      </c>
      <c r="I355" t="inlineStr">
        <is>
          <t>(555) 393-8903</t>
        </is>
      </c>
      <c r="K355" t="inlineStr">
        <is>
          <t>English</t>
        </is>
      </c>
      <c r="L355" t="inlineStr">
        <is>
          <t>PY01</t>
        </is>
      </c>
      <c r="M355" t="inlineStr">
        <is>
          <t>PRV1132</t>
        </is>
      </c>
      <c r="N355" t="n">
        <v>64.3</v>
      </c>
      <c r="O355" t="n">
        <v>175.3</v>
      </c>
      <c r="P355" t="inlineStr">
        <is>
          <t>HTN;CKD</t>
        </is>
      </c>
      <c r="Q355" s="26" t="n">
        <v>43575</v>
      </c>
    </row>
    <row r="356">
      <c r="A356" t="inlineStr">
        <is>
          <t>PT12840</t>
        </is>
      </c>
      <c r="B356" t="inlineStr">
        <is>
          <t>05450661</t>
        </is>
      </c>
      <c r="C356" t="inlineStr">
        <is>
          <t>Vargas</t>
        </is>
      </c>
      <c r="D356" t="inlineStr">
        <is>
          <t>Alexis</t>
        </is>
      </c>
      <c r="E356" t="inlineStr">
        <is>
          <t>F</t>
        </is>
      </c>
      <c r="F356" s="26" t="n">
        <v>43062</v>
      </c>
      <c r="G356" t="inlineStr">
        <is>
          <t>Lakeview Heights</t>
        </is>
      </c>
      <c r="H356" t="inlineStr">
        <is>
          <t>45510</t>
        </is>
      </c>
      <c r="I356" t="inlineStr">
        <is>
          <t>(555) 871-7984</t>
        </is>
      </c>
      <c r="K356" t="inlineStr">
        <is>
          <t>English</t>
        </is>
      </c>
      <c r="L356" t="inlineStr">
        <is>
          <t>PY04</t>
        </is>
      </c>
      <c r="M356" t="inlineStr">
        <is>
          <t>PRV1104</t>
        </is>
      </c>
      <c r="N356" t="n">
        <v>42.7</v>
      </c>
      <c r="O356" t="n">
        <v>56.9</v>
      </c>
      <c r="Q356" s="26" t="n">
        <v>44795</v>
      </c>
    </row>
    <row r="357">
      <c r="A357" t="inlineStr">
        <is>
          <t>PT12848</t>
        </is>
      </c>
      <c r="B357" t="inlineStr">
        <is>
          <t>08967898</t>
        </is>
      </c>
      <c r="C357" t="inlineStr">
        <is>
          <t>Okafor</t>
        </is>
      </c>
      <c r="D357" t="inlineStr">
        <is>
          <t>Ashley</t>
        </is>
      </c>
      <c r="E357" t="inlineStr">
        <is>
          <t>F</t>
        </is>
      </c>
      <c r="F357" s="26" t="n">
        <v>23696</v>
      </c>
      <c r="G357" t="inlineStr">
        <is>
          <t>Cedar Ridge</t>
        </is>
      </c>
      <c r="H357" t="inlineStr">
        <is>
          <t>45720</t>
        </is>
      </c>
      <c r="I357" t="inlineStr">
        <is>
          <t>(555) 688-2115</t>
        </is>
      </c>
      <c r="K357" t="inlineStr">
        <is>
          <t>English</t>
        </is>
      </c>
      <c r="L357" t="inlineStr">
        <is>
          <t>PY03</t>
        </is>
      </c>
      <c r="M357" t="inlineStr">
        <is>
          <t>PRV1133</t>
        </is>
      </c>
      <c r="N357" t="n">
        <v>60.6</v>
      </c>
      <c r="O357" t="n">
        <v>112.4</v>
      </c>
      <c r="P357" t="inlineStr">
        <is>
          <t>ASTHMA</t>
        </is>
      </c>
      <c r="Q357" s="26" t="n">
        <v>40590</v>
      </c>
    </row>
    <row r="358">
      <c r="A358" t="inlineStr">
        <is>
          <t>PT12856</t>
        </is>
      </c>
      <c r="B358" t="inlineStr">
        <is>
          <t>01796077</t>
        </is>
      </c>
      <c r="C358" t="inlineStr">
        <is>
          <t>Ray</t>
        </is>
      </c>
      <c r="D358" t="inlineStr">
        <is>
          <t>Kelly</t>
        </is>
      </c>
      <c r="E358" t="inlineStr">
        <is>
          <t>F</t>
        </is>
      </c>
      <c r="F358" s="26" t="n">
        <v>21779</v>
      </c>
      <c r="G358" t="inlineStr">
        <is>
          <t>Millbrook</t>
        </is>
      </c>
      <c r="H358" t="inlineStr">
        <is>
          <t>45530</t>
        </is>
      </c>
      <c r="I358" t="inlineStr">
        <is>
          <t>(555) 466-0873</t>
        </is>
      </c>
      <c r="J358" t="inlineStr">
        <is>
          <t>kelly.ray59@example.com</t>
        </is>
      </c>
      <c r="K358" t="inlineStr">
        <is>
          <t>Vietnamese</t>
        </is>
      </c>
      <c r="L358" t="inlineStr">
        <is>
          <t>PY01</t>
        </is>
      </c>
      <c r="M358" t="inlineStr">
        <is>
          <t>PRV1129</t>
        </is>
      </c>
      <c r="N358" t="n">
        <v>62.3</v>
      </c>
      <c r="O358" t="n">
        <v>139.2</v>
      </c>
      <c r="P358" t="inlineStr">
        <is>
          <t>HTN;DM</t>
        </is>
      </c>
      <c r="Q358" s="26" t="n">
        <v>39909</v>
      </c>
    </row>
    <row r="359">
      <c r="A359" t="inlineStr">
        <is>
          <t>PT12864</t>
        </is>
      </c>
      <c r="B359" t="inlineStr">
        <is>
          <t>08577033</t>
        </is>
      </c>
      <c r="C359" t="inlineStr">
        <is>
          <t>Tucker</t>
        </is>
      </c>
      <c r="D359" t="inlineStr">
        <is>
          <t>Joyce</t>
        </is>
      </c>
      <c r="E359" t="inlineStr">
        <is>
          <t>F</t>
        </is>
      </c>
      <c r="F359" s="26" t="n">
        <v>19491</v>
      </c>
      <c r="G359" t="inlineStr">
        <is>
          <t>Bluestone</t>
        </is>
      </c>
      <c r="H359" t="inlineStr">
        <is>
          <t>45502</t>
        </is>
      </c>
      <c r="I359" t="inlineStr">
        <is>
          <t>(555) 698-1747</t>
        </is>
      </c>
      <c r="K359" t="inlineStr">
        <is>
          <t>English</t>
        </is>
      </c>
      <c r="L359" t="inlineStr">
        <is>
          <t>PY02</t>
        </is>
      </c>
      <c r="M359" t="inlineStr">
        <is>
          <t>PRV1133</t>
        </is>
      </c>
      <c r="N359" t="n">
        <v>63.2</v>
      </c>
      <c r="O359" t="n">
        <v>145</v>
      </c>
      <c r="P359" t="inlineStr">
        <is>
          <t>AFIB</t>
        </is>
      </c>
      <c r="Q359" s="26" t="n">
        <v>39901</v>
      </c>
    </row>
    <row r="360">
      <c r="A360" t="inlineStr">
        <is>
          <t>PT12872</t>
        </is>
      </c>
      <c r="B360" t="inlineStr">
        <is>
          <t>03115591</t>
        </is>
      </c>
      <c r="C360" t="inlineStr">
        <is>
          <t>Peterson</t>
        </is>
      </c>
      <c r="D360" t="inlineStr">
        <is>
          <t>Samuel</t>
        </is>
      </c>
      <c r="E360" t="inlineStr">
        <is>
          <t>M</t>
        </is>
      </c>
      <c r="F360" s="26" t="n">
        <v>22825</v>
      </c>
      <c r="G360" t="inlineStr">
        <is>
          <t>Cedar Ridge</t>
        </is>
      </c>
      <c r="H360" t="inlineStr">
        <is>
          <t>45720</t>
        </is>
      </c>
      <c r="I360" t="inlineStr">
        <is>
          <t>(555) 228-2383</t>
        </is>
      </c>
      <c r="J360" t="inlineStr">
        <is>
          <t>samuel.peterson26@example.com</t>
        </is>
      </c>
      <c r="K360" t="inlineStr">
        <is>
          <t>English</t>
        </is>
      </c>
      <c r="L360" t="inlineStr">
        <is>
          <t>PY03</t>
        </is>
      </c>
      <c r="M360" t="inlineStr">
        <is>
          <t>PRV1135</t>
        </is>
      </c>
      <c r="N360" t="n">
        <v>66.8</v>
      </c>
      <c r="O360" t="n">
        <v>254.1</v>
      </c>
      <c r="Q360" s="26" t="n">
        <v>44576</v>
      </c>
    </row>
    <row r="361">
      <c r="A361" t="inlineStr">
        <is>
          <t>PT12880</t>
        </is>
      </c>
      <c r="B361" t="inlineStr">
        <is>
          <t>08650893</t>
        </is>
      </c>
      <c r="C361" t="inlineStr">
        <is>
          <t>Bell</t>
        </is>
      </c>
      <c r="D361" t="inlineStr">
        <is>
          <t>Kenneth</t>
        </is>
      </c>
      <c r="E361" t="inlineStr">
        <is>
          <t>M</t>
        </is>
      </c>
      <c r="F361" s="26" t="n">
        <v>24570</v>
      </c>
      <c r="G361" t="inlineStr">
        <is>
          <t>Pine Hollow</t>
        </is>
      </c>
      <c r="H361" t="inlineStr">
        <is>
          <t>45640</t>
        </is>
      </c>
      <c r="I361" t="inlineStr">
        <is>
          <t>(555) 869-7399</t>
        </is>
      </c>
      <c r="J361" t="inlineStr">
        <is>
          <t>kenneth.bell59@example.com</t>
        </is>
      </c>
      <c r="K361" t="inlineStr">
        <is>
          <t>English</t>
        </is>
      </c>
      <c r="L361" t="inlineStr">
        <is>
          <t>PY03</t>
        </is>
      </c>
      <c r="M361" t="inlineStr">
        <is>
          <t>PRV1132</t>
        </is>
      </c>
      <c r="N361" t="n">
        <v>72</v>
      </c>
      <c r="O361" t="n">
        <v>281.7</v>
      </c>
      <c r="P361" t="inlineStr">
        <is>
          <t>ETOH</t>
        </is>
      </c>
      <c r="Q361" s="26" t="n">
        <v>41655</v>
      </c>
    </row>
    <row r="362">
      <c r="A362" t="inlineStr">
        <is>
          <t>PT12888</t>
        </is>
      </c>
      <c r="B362" t="inlineStr">
        <is>
          <t>09254099</t>
        </is>
      </c>
      <c r="C362" t="inlineStr">
        <is>
          <t>Stone</t>
        </is>
      </c>
      <c r="D362" t="inlineStr">
        <is>
          <t>Ethan</t>
        </is>
      </c>
      <c r="E362" t="inlineStr">
        <is>
          <t>M</t>
        </is>
      </c>
      <c r="F362" s="26" t="n">
        <v>28401</v>
      </c>
      <c r="G362" t="inlineStr">
        <is>
          <t>Bluestone</t>
        </is>
      </c>
      <c r="H362" t="inlineStr">
        <is>
          <t>45501</t>
        </is>
      </c>
      <c r="I362" t="inlineStr">
        <is>
          <t>(555) 672-3317</t>
        </is>
      </c>
      <c r="J362" t="inlineStr">
        <is>
          <t>ethan.stone64@example.com</t>
        </is>
      </c>
      <c r="K362" t="inlineStr">
        <is>
          <t>English</t>
        </is>
      </c>
      <c r="L362" t="inlineStr">
        <is>
          <t>PY05</t>
        </is>
      </c>
      <c r="M362" t="inlineStr">
        <is>
          <t>PRV1131</t>
        </is>
      </c>
      <c r="N362" t="n">
        <v>69.5</v>
      </c>
      <c r="O362" t="n">
        <v>208.4</v>
      </c>
      <c r="P362" t="inlineStr">
        <is>
          <t>HTN;DM</t>
        </is>
      </c>
      <c r="Q362" s="26" t="n">
        <v>44077</v>
      </c>
    </row>
    <row r="363">
      <c r="A363" t="inlineStr">
        <is>
          <t>PT12896</t>
        </is>
      </c>
      <c r="B363" t="inlineStr">
        <is>
          <t>05630106</t>
        </is>
      </c>
      <c r="C363" t="inlineStr">
        <is>
          <t>Rogers</t>
        </is>
      </c>
      <c r="D363" t="inlineStr">
        <is>
          <t>Natalie</t>
        </is>
      </c>
      <c r="E363" t="inlineStr">
        <is>
          <t>F</t>
        </is>
      </c>
      <c r="F363" s="26" t="n">
        <v>20925</v>
      </c>
      <c r="G363" t="inlineStr">
        <is>
          <t>Granite Springs</t>
        </is>
      </c>
      <c r="H363" t="inlineStr">
        <is>
          <t>45750</t>
        </is>
      </c>
      <c r="I363" t="inlineStr">
        <is>
          <t>(555) 886-9370</t>
        </is>
      </c>
      <c r="K363" t="inlineStr">
        <is>
          <t>English</t>
        </is>
      </c>
      <c r="L363" t="inlineStr">
        <is>
          <t>PY02</t>
        </is>
      </c>
      <c r="N363" t="n">
        <v>65.90000000000001</v>
      </c>
      <c r="O363" t="n">
        <v>220.2</v>
      </c>
      <c r="P363" t="inlineStr">
        <is>
          <t>DM;COPD</t>
        </is>
      </c>
      <c r="Q363" s="26" t="n">
        <v>43190</v>
      </c>
    </row>
    <row r="364">
      <c r="A364" t="inlineStr">
        <is>
          <t>PT12904</t>
        </is>
      </c>
      <c r="B364" t="inlineStr">
        <is>
          <t>07612554</t>
        </is>
      </c>
      <c r="C364" t="inlineStr">
        <is>
          <t>Thomas</t>
        </is>
      </c>
      <c r="D364" t="inlineStr">
        <is>
          <t>Samuel</t>
        </is>
      </c>
      <c r="E364" t="inlineStr">
        <is>
          <t>M</t>
        </is>
      </c>
      <c r="F364" s="26" t="n">
        <v>29502</v>
      </c>
      <c r="G364" t="inlineStr">
        <is>
          <t>Fairhaven</t>
        </is>
      </c>
      <c r="H364" t="inlineStr">
        <is>
          <t>45620</t>
        </is>
      </c>
      <c r="I364" t="inlineStr">
        <is>
          <t>(555) 831-1220</t>
        </is>
      </c>
      <c r="J364" t="inlineStr">
        <is>
          <t>samuel.thomas10@example.com</t>
        </is>
      </c>
      <c r="K364" t="inlineStr">
        <is>
          <t>English</t>
        </is>
      </c>
      <c r="L364" t="inlineStr">
        <is>
          <t>PY06</t>
        </is>
      </c>
      <c r="M364" t="inlineStr">
        <is>
          <t>PRV1127</t>
        </is>
      </c>
      <c r="N364" t="n">
        <v>69.3</v>
      </c>
      <c r="O364" t="n">
        <v>184.3</v>
      </c>
      <c r="P364" t="inlineStr">
        <is>
          <t>COPD;PSYCH</t>
        </is>
      </c>
      <c r="Q364" s="26" t="n">
        <v>44752</v>
      </c>
    </row>
    <row r="365">
      <c r="A365" t="inlineStr">
        <is>
          <t>PT12912</t>
        </is>
      </c>
      <c r="B365" t="inlineStr">
        <is>
          <t>03211798</t>
        </is>
      </c>
      <c r="C365" t="inlineStr">
        <is>
          <t>Perez</t>
        </is>
      </c>
      <c r="D365" t="inlineStr">
        <is>
          <t>Samuel</t>
        </is>
      </c>
      <c r="E365" t="inlineStr">
        <is>
          <t>M</t>
        </is>
      </c>
      <c r="F365" s="26" t="n">
        <v>27857</v>
      </c>
      <c r="G365" t="inlineStr">
        <is>
          <t>Bluestone</t>
        </is>
      </c>
      <c r="H365" t="inlineStr">
        <is>
          <t>45502</t>
        </is>
      </c>
      <c r="I365" t="inlineStr">
        <is>
          <t>(555) 979-1873</t>
        </is>
      </c>
      <c r="J365" t="inlineStr">
        <is>
          <t>samuel.perez14@example.com</t>
        </is>
      </c>
      <c r="K365" t="inlineStr">
        <is>
          <t>English</t>
        </is>
      </c>
      <c r="L365" t="inlineStr">
        <is>
          <t>PY05</t>
        </is>
      </c>
      <c r="M365" t="inlineStr">
        <is>
          <t>PRV1124</t>
        </is>
      </c>
      <c r="N365" t="n">
        <v>69.09999999999999</v>
      </c>
      <c r="O365" t="n">
        <v>226.4</v>
      </c>
      <c r="P365" t="inlineStr">
        <is>
          <t>HTN</t>
        </is>
      </c>
      <c r="Q365" s="26" t="n">
        <v>43414</v>
      </c>
    </row>
    <row r="366">
      <c r="A366" t="inlineStr">
        <is>
          <t>PT12920</t>
        </is>
      </c>
      <c r="B366" t="inlineStr">
        <is>
          <t>08812683</t>
        </is>
      </c>
      <c r="C366" t="inlineStr">
        <is>
          <t>Harris</t>
        </is>
      </c>
      <c r="D366" t="inlineStr">
        <is>
          <t>Logan</t>
        </is>
      </c>
      <c r="E366" t="inlineStr">
        <is>
          <t>M</t>
        </is>
      </c>
      <c r="F366" s="26" t="n">
        <v>26993</v>
      </c>
      <c r="G366" t="inlineStr">
        <is>
          <t>Bluestone</t>
        </is>
      </c>
      <c r="H366" t="inlineStr">
        <is>
          <t>45503</t>
        </is>
      </c>
      <c r="I366" t="inlineStr">
        <is>
          <t>(555) 930-8485</t>
        </is>
      </c>
      <c r="J366" t="inlineStr">
        <is>
          <t>logan.harris45@example.com</t>
        </is>
      </c>
      <c r="K366" t="inlineStr">
        <is>
          <t>English</t>
        </is>
      </c>
      <c r="L366" t="inlineStr">
        <is>
          <t>PY03</t>
        </is>
      </c>
      <c r="M366" t="inlineStr">
        <is>
          <t>PRV1129</t>
        </is>
      </c>
      <c r="N366" t="n">
        <v>71.3</v>
      </c>
      <c r="O366" t="n">
        <v>156.3</v>
      </c>
      <c r="P366" t="inlineStr">
        <is>
          <t>ETOH</t>
        </is>
      </c>
      <c r="Q366" s="26" t="n">
        <v>43851</v>
      </c>
    </row>
    <row r="367">
      <c r="A367" t="inlineStr">
        <is>
          <t>PT12928</t>
        </is>
      </c>
      <c r="B367" t="inlineStr">
        <is>
          <t>03949579</t>
        </is>
      </c>
      <c r="C367" t="inlineStr">
        <is>
          <t>Mason</t>
        </is>
      </c>
      <c r="D367" t="inlineStr">
        <is>
          <t>Rebecca</t>
        </is>
      </c>
      <c r="E367" t="inlineStr">
        <is>
          <t>F</t>
        </is>
      </c>
      <c r="F367" s="26" t="n">
        <v>13283</v>
      </c>
      <c r="G367" t="inlineStr">
        <is>
          <t>Bluestone</t>
        </is>
      </c>
      <c r="H367" t="inlineStr">
        <is>
          <t>45502</t>
        </is>
      </c>
      <c r="I367" t="inlineStr">
        <is>
          <t>(555) 685-8985</t>
        </is>
      </c>
      <c r="J367" t="inlineStr">
        <is>
          <t>rebecca.mason43@example.com</t>
        </is>
      </c>
      <c r="K367" t="inlineStr">
        <is>
          <t>English</t>
        </is>
      </c>
      <c r="L367" t="inlineStr">
        <is>
          <t>PY02</t>
        </is>
      </c>
      <c r="M367" t="inlineStr">
        <is>
          <t>PRV1127</t>
        </is>
      </c>
      <c r="N367" t="n">
        <v>63.3</v>
      </c>
      <c r="O367" t="n">
        <v>154.8</v>
      </c>
      <c r="P367" t="inlineStr">
        <is>
          <t>HTN;AFIB;OA</t>
        </is>
      </c>
      <c r="Q367" s="26" t="n">
        <v>45330</v>
      </c>
    </row>
    <row r="368">
      <c r="A368" t="inlineStr">
        <is>
          <t>PT12936</t>
        </is>
      </c>
      <c r="B368" t="inlineStr">
        <is>
          <t>00538328</t>
        </is>
      </c>
      <c r="C368" t="inlineStr">
        <is>
          <t>Campbell</t>
        </is>
      </c>
      <c r="D368" t="inlineStr">
        <is>
          <t>Luis</t>
        </is>
      </c>
      <c r="E368" t="inlineStr">
        <is>
          <t>M</t>
        </is>
      </c>
      <c r="F368" s="26" t="n">
        <v>20973</v>
      </c>
      <c r="G368" t="inlineStr">
        <is>
          <t>Millbrook</t>
        </is>
      </c>
      <c r="H368" t="inlineStr">
        <is>
          <t>45530</t>
        </is>
      </c>
      <c r="I368" t="inlineStr">
        <is>
          <t>(555) 916-8953</t>
        </is>
      </c>
      <c r="K368" t="inlineStr">
        <is>
          <t>English</t>
        </is>
      </c>
      <c r="L368" t="inlineStr">
        <is>
          <t>PY01</t>
        </is>
      </c>
      <c r="M368" t="inlineStr">
        <is>
          <t>PRV1128</t>
        </is>
      </c>
      <c r="N368" t="n">
        <v>66.59999999999999</v>
      </c>
      <c r="O368" t="n">
        <v>172.4</v>
      </c>
      <c r="P368" t="inlineStr">
        <is>
          <t>SEIZURE</t>
        </is>
      </c>
      <c r="Q368" s="26" t="n">
        <v>44415</v>
      </c>
    </row>
    <row r="369">
      <c r="A369" t="inlineStr">
        <is>
          <t>PT12944</t>
        </is>
      </c>
      <c r="B369" t="inlineStr">
        <is>
          <t>06914863</t>
        </is>
      </c>
      <c r="C369" t="inlineStr">
        <is>
          <t>Lane</t>
        </is>
      </c>
      <c r="D369" t="inlineStr">
        <is>
          <t>Eric</t>
        </is>
      </c>
      <c r="E369" t="inlineStr">
        <is>
          <t>M</t>
        </is>
      </c>
      <c r="F369" s="26" t="n">
        <v>32610</v>
      </c>
      <c r="G369" t="inlineStr">
        <is>
          <t>Fairhaven</t>
        </is>
      </c>
      <c r="H369" t="inlineStr">
        <is>
          <t>45620</t>
        </is>
      </c>
      <c r="I369" t="inlineStr">
        <is>
          <t>(555) 927-4837</t>
        </is>
      </c>
      <c r="J369" t="inlineStr">
        <is>
          <t>eric.lane9@example.com</t>
        </is>
      </c>
      <c r="K369" t="inlineStr">
        <is>
          <t>English</t>
        </is>
      </c>
      <c r="L369" t="inlineStr">
        <is>
          <t>PY06</t>
        </is>
      </c>
      <c r="M369" t="inlineStr">
        <is>
          <t>PRV1131</t>
        </is>
      </c>
      <c r="N369" t="n">
        <v>68.3</v>
      </c>
      <c r="O369" t="n">
        <v>216.5</v>
      </c>
      <c r="Q369" s="26" t="n">
        <v>43214</v>
      </c>
    </row>
    <row r="370">
      <c r="A370" t="inlineStr">
        <is>
          <t>PT12952</t>
        </is>
      </c>
      <c r="B370" t="inlineStr">
        <is>
          <t>02247691</t>
        </is>
      </c>
      <c r="C370" t="inlineStr">
        <is>
          <t>Taylor</t>
        </is>
      </c>
      <c r="D370" t="inlineStr">
        <is>
          <t>Omar</t>
        </is>
      </c>
      <c r="E370" t="inlineStr">
        <is>
          <t>M</t>
        </is>
      </c>
      <c r="F370" s="26" t="n">
        <v>38390</v>
      </c>
      <c r="G370" t="inlineStr">
        <is>
          <t>Granite Springs</t>
        </is>
      </c>
      <c r="H370" t="inlineStr">
        <is>
          <t>45750</t>
        </is>
      </c>
      <c r="I370" t="inlineStr">
        <is>
          <t>(555) 761-3958</t>
        </is>
      </c>
      <c r="J370" t="inlineStr">
        <is>
          <t>omar.taylor5@example.com</t>
        </is>
      </c>
      <c r="K370" t="inlineStr">
        <is>
          <t>English</t>
        </is>
      </c>
      <c r="L370" t="inlineStr">
        <is>
          <t>PY06</t>
        </is>
      </c>
      <c r="M370" t="inlineStr">
        <is>
          <t>PRV1134</t>
        </is>
      </c>
      <c r="N370" t="n">
        <v>70.3</v>
      </c>
      <c r="O370" t="n">
        <v>205.1</v>
      </c>
      <c r="Q370" s="26" t="n">
        <v>43650</v>
      </c>
    </row>
    <row r="371">
      <c r="A371" t="inlineStr">
        <is>
          <t>PT12960</t>
        </is>
      </c>
      <c r="B371" t="inlineStr">
        <is>
          <t>05733644</t>
        </is>
      </c>
      <c r="C371" t="inlineStr">
        <is>
          <t>Crawford</t>
        </is>
      </c>
      <c r="D371" t="inlineStr">
        <is>
          <t>Kathryn</t>
        </is>
      </c>
      <c r="E371" t="inlineStr">
        <is>
          <t>F</t>
        </is>
      </c>
      <c r="F371" s="26" t="n">
        <v>39311</v>
      </c>
      <c r="G371" t="inlineStr">
        <is>
          <t>Bluestone</t>
        </is>
      </c>
      <c r="H371" t="inlineStr">
        <is>
          <t>45503</t>
        </is>
      </c>
      <c r="I371" t="inlineStr">
        <is>
          <t>(555) 248-3791</t>
        </is>
      </c>
      <c r="J371" t="inlineStr">
        <is>
          <t>kathryn.crawford83@example.com</t>
        </is>
      </c>
      <c r="K371" t="inlineStr">
        <is>
          <t>English</t>
        </is>
      </c>
      <c r="L371" t="inlineStr">
        <is>
          <t>PY05</t>
        </is>
      </c>
      <c r="M371" t="inlineStr">
        <is>
          <t>PRV1140</t>
        </is>
      </c>
      <c r="N371" t="n">
        <v>66.3</v>
      </c>
      <c r="O371" t="n">
        <v>241.2</v>
      </c>
      <c r="Q371" s="26" t="n">
        <v>45355</v>
      </c>
    </row>
    <row r="372">
      <c r="A372" t="inlineStr">
        <is>
          <t>PT12968</t>
        </is>
      </c>
      <c r="B372" t="inlineStr">
        <is>
          <t>04851005</t>
        </is>
      </c>
      <c r="C372" t="inlineStr">
        <is>
          <t>Reyes</t>
        </is>
      </c>
      <c r="D372" t="inlineStr">
        <is>
          <t>Virginia</t>
        </is>
      </c>
      <c r="E372" t="inlineStr">
        <is>
          <t>F</t>
        </is>
      </c>
      <c r="F372" s="26" t="n">
        <v>19965</v>
      </c>
      <c r="G372" t="inlineStr">
        <is>
          <t>Bluestone</t>
        </is>
      </c>
      <c r="H372" t="inlineStr">
        <is>
          <t>45501</t>
        </is>
      </c>
      <c r="I372" t="inlineStr">
        <is>
          <t>(555) 591-1503</t>
        </is>
      </c>
      <c r="J372" t="inlineStr">
        <is>
          <t>virginia.reyes3@example.com</t>
        </is>
      </c>
      <c r="K372" t="inlineStr">
        <is>
          <t>English</t>
        </is>
      </c>
      <c r="L372" t="inlineStr">
        <is>
          <t>PY02</t>
        </is>
      </c>
      <c r="M372" t="inlineStr">
        <is>
          <t>PRV1139</t>
        </is>
      </c>
      <c r="N372" t="n">
        <v>64.09999999999999</v>
      </c>
      <c r="O372" t="n">
        <v>145</v>
      </c>
      <c r="P372" t="inlineStr">
        <is>
          <t>CANCER</t>
        </is>
      </c>
      <c r="Q372" s="26" t="n">
        <v>41632</v>
      </c>
    </row>
    <row r="373">
      <c r="A373" t="inlineStr">
        <is>
          <t>PT12976</t>
        </is>
      </c>
      <c r="B373" t="inlineStr">
        <is>
          <t>01483965</t>
        </is>
      </c>
      <c r="C373" t="inlineStr">
        <is>
          <t>Garza</t>
        </is>
      </c>
      <c r="D373" t="inlineStr">
        <is>
          <t>Larry</t>
        </is>
      </c>
      <c r="E373" t="inlineStr">
        <is>
          <t>M</t>
        </is>
      </c>
      <c r="F373" s="26" t="n">
        <v>16808</v>
      </c>
      <c r="G373" t="inlineStr">
        <is>
          <t>Cedar Ridge</t>
        </is>
      </c>
      <c r="H373" t="inlineStr">
        <is>
          <t>45720</t>
        </is>
      </c>
      <c r="I373" t="inlineStr">
        <is>
          <t>(555) 275-1874</t>
        </is>
      </c>
      <c r="J373" t="inlineStr">
        <is>
          <t>larry.garza4@example.com</t>
        </is>
      </c>
      <c r="K373" t="inlineStr">
        <is>
          <t>English</t>
        </is>
      </c>
      <c r="L373" t="inlineStr">
        <is>
          <t>PY01</t>
        </is>
      </c>
      <c r="M373" t="inlineStr">
        <is>
          <t>PRV1128</t>
        </is>
      </c>
      <c r="N373" t="n">
        <v>70</v>
      </c>
      <c r="O373" t="n">
        <v>162.5</v>
      </c>
      <c r="P373" t="inlineStr">
        <is>
          <t>ETOH</t>
        </is>
      </c>
      <c r="Q373" s="26" t="n">
        <v>42614</v>
      </c>
    </row>
    <row r="374">
      <c r="A374" t="inlineStr">
        <is>
          <t>PT12984</t>
        </is>
      </c>
      <c r="B374" t="inlineStr">
        <is>
          <t>06086499</t>
        </is>
      </c>
      <c r="C374" t="inlineStr">
        <is>
          <t>Nguyen</t>
        </is>
      </c>
      <c r="D374" t="inlineStr">
        <is>
          <t>Liam</t>
        </is>
      </c>
      <c r="E374" t="inlineStr">
        <is>
          <t>M</t>
        </is>
      </c>
      <c r="F374" s="26" t="n">
        <v>36931</v>
      </c>
      <c r="G374" t="inlineStr">
        <is>
          <t>Cedar Ridge</t>
        </is>
      </c>
      <c r="H374" t="inlineStr">
        <is>
          <t>45720</t>
        </is>
      </c>
      <c r="I374" t="inlineStr">
        <is>
          <t>(555) 661-9507</t>
        </is>
      </c>
      <c r="J374" t="inlineStr">
        <is>
          <t>liam.nguyen40@example.com</t>
        </is>
      </c>
      <c r="K374" t="inlineStr">
        <is>
          <t>English</t>
        </is>
      </c>
      <c r="L374" t="inlineStr">
        <is>
          <t>PY07</t>
        </is>
      </c>
      <c r="M374" t="inlineStr">
        <is>
          <t>PRV1131</t>
        </is>
      </c>
      <c r="N374" t="n">
        <v>70.8</v>
      </c>
      <c r="O374" t="n">
        <v>240</v>
      </c>
      <c r="Q374" s="26" t="n">
        <v>44416</v>
      </c>
    </row>
    <row r="375">
      <c r="A375" t="inlineStr">
        <is>
          <t>PT12992</t>
        </is>
      </c>
      <c r="B375" t="inlineStr">
        <is>
          <t>04988438</t>
        </is>
      </c>
      <c r="C375" t="inlineStr">
        <is>
          <t>Harrison</t>
        </is>
      </c>
      <c r="D375" t="inlineStr">
        <is>
          <t>Jerry</t>
        </is>
      </c>
      <c r="E375" t="inlineStr">
        <is>
          <t>M</t>
        </is>
      </c>
      <c r="F375" s="26" t="n">
        <v>25972</v>
      </c>
      <c r="G375" t="inlineStr">
        <is>
          <t>Bluestone</t>
        </is>
      </c>
      <c r="H375" t="inlineStr">
        <is>
          <t>45501</t>
        </is>
      </c>
      <c r="I375" t="inlineStr">
        <is>
          <t>(555) 723-7413</t>
        </is>
      </c>
      <c r="J375" t="inlineStr">
        <is>
          <t>jerry.harrison88@example.com</t>
        </is>
      </c>
      <c r="K375" t="inlineStr">
        <is>
          <t>English</t>
        </is>
      </c>
      <c r="L375" t="inlineStr">
        <is>
          <t>PY03</t>
        </is>
      </c>
      <c r="M375" t="inlineStr">
        <is>
          <t>PRV1124</t>
        </is>
      </c>
      <c r="N375" t="n">
        <v>68.7</v>
      </c>
      <c r="O375" t="n">
        <v>265.4</v>
      </c>
      <c r="P375" t="inlineStr">
        <is>
          <t>HTN</t>
        </is>
      </c>
      <c r="Q375" s="26" t="n">
        <v>45332</v>
      </c>
    </row>
    <row r="376">
      <c r="A376" t="inlineStr">
        <is>
          <t>PT13000</t>
        </is>
      </c>
      <c r="B376" t="inlineStr">
        <is>
          <t>08597569</t>
        </is>
      </c>
      <c r="C376" t="inlineStr">
        <is>
          <t>Andrews</t>
        </is>
      </c>
      <c r="D376" t="inlineStr">
        <is>
          <t>Mei</t>
        </is>
      </c>
      <c r="E376" t="inlineStr">
        <is>
          <t>F</t>
        </is>
      </c>
      <c r="F376" s="26" t="n">
        <v>20830</v>
      </c>
      <c r="G376" t="inlineStr">
        <is>
          <t>Bluestone</t>
        </is>
      </c>
      <c r="H376" t="inlineStr">
        <is>
          <t>45501</t>
        </is>
      </c>
      <c r="I376" t="inlineStr">
        <is>
          <t>(555) 682-0239</t>
        </is>
      </c>
      <c r="K376" t="inlineStr">
        <is>
          <t>English</t>
        </is>
      </c>
      <c r="L376" t="inlineStr">
        <is>
          <t>PY01</t>
        </is>
      </c>
      <c r="M376" t="inlineStr">
        <is>
          <t>PRV1140</t>
        </is>
      </c>
      <c r="N376" t="n">
        <v>65.09999999999999</v>
      </c>
      <c r="O376" t="n">
        <v>157.9</v>
      </c>
      <c r="P376" t="inlineStr">
        <is>
          <t>HTN;PSYCH</t>
        </is>
      </c>
      <c r="Q376" s="26" t="n">
        <v>42681</v>
      </c>
    </row>
    <row r="377">
      <c r="A377" t="inlineStr">
        <is>
          <t>PT13008</t>
        </is>
      </c>
      <c r="B377" t="inlineStr">
        <is>
          <t>02172512</t>
        </is>
      </c>
      <c r="C377" t="inlineStr">
        <is>
          <t>Torres</t>
        </is>
      </c>
      <c r="D377" t="inlineStr">
        <is>
          <t>Jason</t>
        </is>
      </c>
      <c r="E377" t="inlineStr">
        <is>
          <t>M</t>
        </is>
      </c>
      <c r="F377" s="26" t="n">
        <v>24244</v>
      </c>
      <c r="G377" t="inlineStr">
        <is>
          <t>Cedar Ridge</t>
        </is>
      </c>
      <c r="H377" t="inlineStr">
        <is>
          <t>45720</t>
        </is>
      </c>
      <c r="I377" t="inlineStr">
        <is>
          <t>(555) 267-5116</t>
        </is>
      </c>
      <c r="J377" t="inlineStr">
        <is>
          <t>jason.torres65@example.com</t>
        </is>
      </c>
      <c r="K377" t="inlineStr">
        <is>
          <t>English</t>
        </is>
      </c>
      <c r="L377" t="inlineStr">
        <is>
          <t>PY07</t>
        </is>
      </c>
      <c r="M377" t="inlineStr">
        <is>
          <t>PRV1131</t>
        </is>
      </c>
      <c r="N377" t="n">
        <v>67.59999999999999</v>
      </c>
      <c r="O377" t="n">
        <v>131.9</v>
      </c>
      <c r="P377" t="inlineStr">
        <is>
          <t>PSYCH</t>
        </is>
      </c>
      <c r="Q377" s="26" t="n">
        <v>41897</v>
      </c>
    </row>
    <row r="378">
      <c r="A378" t="inlineStr">
        <is>
          <t>PT13016</t>
        </is>
      </c>
      <c r="B378" t="inlineStr">
        <is>
          <t>07553177</t>
        </is>
      </c>
      <c r="C378" t="inlineStr">
        <is>
          <t>Watson</t>
        </is>
      </c>
      <c r="D378" t="inlineStr">
        <is>
          <t>Nicholas</t>
        </is>
      </c>
      <c r="E378" t="inlineStr">
        <is>
          <t>M</t>
        </is>
      </c>
      <c r="F378" s="26" t="n">
        <v>36940</v>
      </c>
      <c r="G378" t="inlineStr">
        <is>
          <t>Ashby Falls</t>
        </is>
      </c>
      <c r="H378" t="inlineStr">
        <is>
          <t>45610</t>
        </is>
      </c>
      <c r="I378" t="inlineStr">
        <is>
          <t>(555) 881-5102</t>
        </is>
      </c>
      <c r="J378" t="inlineStr">
        <is>
          <t>nicholas.watson49@example.com</t>
        </is>
      </c>
      <c r="K378" t="inlineStr">
        <is>
          <t>English</t>
        </is>
      </c>
      <c r="L378" t="inlineStr">
        <is>
          <t>PY05</t>
        </is>
      </c>
      <c r="N378" t="n">
        <v>71.09999999999999</v>
      </c>
      <c r="O378" t="n">
        <v>200.2</v>
      </c>
      <c r="Q378" s="26" t="n">
        <v>41079</v>
      </c>
    </row>
    <row r="379">
      <c r="A379" t="inlineStr">
        <is>
          <t>PT13024</t>
        </is>
      </c>
      <c r="B379" t="inlineStr">
        <is>
          <t>08098005</t>
        </is>
      </c>
      <c r="C379" t="inlineStr">
        <is>
          <t>Kennedy</t>
        </is>
      </c>
      <c r="D379" t="inlineStr">
        <is>
          <t>George</t>
        </is>
      </c>
      <c r="E379" t="inlineStr">
        <is>
          <t>M</t>
        </is>
      </c>
      <c r="F379" s="26" t="n">
        <v>33379</v>
      </c>
      <c r="G379" t="inlineStr">
        <is>
          <t>Ashby Falls</t>
        </is>
      </c>
      <c r="H379" t="inlineStr">
        <is>
          <t>45610</t>
        </is>
      </c>
      <c r="I379" t="inlineStr">
        <is>
          <t>(555) 714-0957</t>
        </is>
      </c>
      <c r="J379" t="inlineStr">
        <is>
          <t>george.kennedy11@example.com</t>
        </is>
      </c>
      <c r="K379" t="inlineStr">
        <is>
          <t>English</t>
        </is>
      </c>
      <c r="L379" t="inlineStr">
        <is>
          <t>PY04</t>
        </is>
      </c>
      <c r="M379" t="inlineStr">
        <is>
          <t>PRV1125</t>
        </is>
      </c>
      <c r="N379" t="n">
        <v>67.09999999999999</v>
      </c>
      <c r="O379" t="n">
        <v>112.1</v>
      </c>
      <c r="Q379" s="26" t="n">
        <v>44844</v>
      </c>
    </row>
    <row r="380">
      <c r="A380" t="inlineStr">
        <is>
          <t>PT13032</t>
        </is>
      </c>
      <c r="B380" t="inlineStr">
        <is>
          <t>03286954</t>
        </is>
      </c>
      <c r="C380" t="inlineStr">
        <is>
          <t>Miller</t>
        </is>
      </c>
      <c r="D380" t="inlineStr">
        <is>
          <t>Walter</t>
        </is>
      </c>
      <c r="E380" t="inlineStr">
        <is>
          <t>M</t>
        </is>
      </c>
      <c r="F380" s="26" t="n">
        <v>29892</v>
      </c>
      <c r="G380" t="inlineStr">
        <is>
          <t>Ashby Falls</t>
        </is>
      </c>
      <c r="H380" t="inlineStr">
        <is>
          <t>45610</t>
        </is>
      </c>
      <c r="I380" t="inlineStr">
        <is>
          <t>(555) 776-0721</t>
        </is>
      </c>
      <c r="K380" t="inlineStr">
        <is>
          <t>English</t>
        </is>
      </c>
      <c r="L380" t="inlineStr">
        <is>
          <t>PY03</t>
        </is>
      </c>
      <c r="M380" t="inlineStr">
        <is>
          <t>PRV1131</t>
        </is>
      </c>
      <c r="N380" t="n">
        <v>63.9</v>
      </c>
      <c r="O380" t="n">
        <v>198.2</v>
      </c>
      <c r="Q380" s="26" t="n">
        <v>45256</v>
      </c>
    </row>
    <row r="381">
      <c r="A381" t="inlineStr">
        <is>
          <t>PT13040</t>
        </is>
      </c>
      <c r="B381" t="inlineStr">
        <is>
          <t>02798787</t>
        </is>
      </c>
      <c r="C381" t="inlineStr">
        <is>
          <t>Ferguson</t>
        </is>
      </c>
      <c r="D381" t="inlineStr">
        <is>
          <t>Jason</t>
        </is>
      </c>
      <c r="E381" t="inlineStr">
        <is>
          <t>M</t>
        </is>
      </c>
      <c r="F381" s="26" t="n">
        <v>31188</v>
      </c>
      <c r="G381" t="inlineStr">
        <is>
          <t>Cedar Ridge</t>
        </is>
      </c>
      <c r="H381" t="inlineStr">
        <is>
          <t>45720</t>
        </is>
      </c>
      <c r="I381" t="inlineStr">
        <is>
          <t>(555) 667-0352</t>
        </is>
      </c>
      <c r="J381" t="inlineStr">
        <is>
          <t>jason.ferguson50@example.com</t>
        </is>
      </c>
      <c r="K381" t="inlineStr">
        <is>
          <t>English</t>
        </is>
      </c>
      <c r="L381" t="inlineStr">
        <is>
          <t>PY05</t>
        </is>
      </c>
      <c r="M381" t="inlineStr">
        <is>
          <t>PRV1139</t>
        </is>
      </c>
      <c r="N381" t="n">
        <v>67.40000000000001</v>
      </c>
      <c r="O381" t="n">
        <v>182.5</v>
      </c>
      <c r="P381" t="inlineStr">
        <is>
          <t>HTN</t>
        </is>
      </c>
      <c r="Q381" s="26" t="n">
        <v>40563</v>
      </c>
    </row>
    <row r="382">
      <c r="A382" t="inlineStr">
        <is>
          <t>PT13048</t>
        </is>
      </c>
      <c r="B382" t="inlineStr">
        <is>
          <t>00252252</t>
        </is>
      </c>
      <c r="C382" t="inlineStr">
        <is>
          <t>Ford</t>
        </is>
      </c>
      <c r="D382" t="inlineStr">
        <is>
          <t>William</t>
        </is>
      </c>
      <c r="E382" t="inlineStr">
        <is>
          <t>M</t>
        </is>
      </c>
      <c r="F382" s="26" t="n">
        <v>42394</v>
      </c>
      <c r="G382" t="inlineStr">
        <is>
          <t>Bluestone</t>
        </is>
      </c>
      <c r="H382" t="inlineStr">
        <is>
          <t>45501</t>
        </is>
      </c>
      <c r="I382" t="inlineStr">
        <is>
          <t>(555) 475-1711</t>
        </is>
      </c>
      <c r="K382" t="inlineStr">
        <is>
          <t>English</t>
        </is>
      </c>
      <c r="L382" t="inlineStr">
        <is>
          <t>PY05</t>
        </is>
      </c>
      <c r="M382" t="inlineStr">
        <is>
          <t>PRV1104</t>
        </is>
      </c>
      <c r="N382" t="n">
        <v>42.4</v>
      </c>
      <c r="O382" t="n">
        <v>46.5</v>
      </c>
      <c r="Q382" s="26" t="n">
        <v>42405</v>
      </c>
    </row>
    <row r="383">
      <c r="A383" t="inlineStr">
        <is>
          <t>PT13056</t>
        </is>
      </c>
      <c r="B383" t="inlineStr">
        <is>
          <t>08500057</t>
        </is>
      </c>
      <c r="C383" t="inlineStr">
        <is>
          <t>Marshall</t>
        </is>
      </c>
      <c r="D383" t="inlineStr">
        <is>
          <t>Arthur</t>
        </is>
      </c>
      <c r="E383" t="inlineStr">
        <is>
          <t>M</t>
        </is>
      </c>
      <c r="F383" s="26" t="n">
        <v>18691</v>
      </c>
      <c r="G383" t="inlineStr">
        <is>
          <t>Bluestone</t>
        </is>
      </c>
      <c r="H383" t="inlineStr">
        <is>
          <t>45503</t>
        </is>
      </c>
      <c r="I383" t="inlineStr">
        <is>
          <t>(555) 736-9078</t>
        </is>
      </c>
      <c r="K383" t="inlineStr">
        <is>
          <t>Spanish</t>
        </is>
      </c>
      <c r="L383" t="inlineStr">
        <is>
          <t>PY02</t>
        </is>
      </c>
      <c r="M383" t="inlineStr">
        <is>
          <t>PRV1126</t>
        </is>
      </c>
      <c r="N383" t="n">
        <v>70.2</v>
      </c>
      <c r="O383" t="n">
        <v>218.6</v>
      </c>
      <c r="P383" t="inlineStr">
        <is>
          <t>HTN;DM;CKD</t>
        </is>
      </c>
      <c r="Q383" s="26" t="n">
        <v>43847</v>
      </c>
    </row>
    <row r="384">
      <c r="A384" t="inlineStr">
        <is>
          <t>PT13064</t>
        </is>
      </c>
      <c r="B384" t="inlineStr">
        <is>
          <t>09678170</t>
        </is>
      </c>
      <c r="C384" t="inlineStr">
        <is>
          <t>Nguyen</t>
        </is>
      </c>
      <c r="D384" t="inlineStr">
        <is>
          <t>Stephanie</t>
        </is>
      </c>
      <c r="E384" t="inlineStr">
        <is>
          <t>F</t>
        </is>
      </c>
      <c r="F384" s="26" t="n">
        <v>35218</v>
      </c>
      <c r="G384" t="inlineStr">
        <is>
          <t>Pine Hollow</t>
        </is>
      </c>
      <c r="H384" t="inlineStr">
        <is>
          <t>45640</t>
        </is>
      </c>
      <c r="I384" t="inlineStr">
        <is>
          <t>(555) 306-8199</t>
        </is>
      </c>
      <c r="K384" t="inlineStr">
        <is>
          <t>English</t>
        </is>
      </c>
      <c r="L384" t="inlineStr">
        <is>
          <t>PY03</t>
        </is>
      </c>
      <c r="M384" t="inlineStr">
        <is>
          <t>PRV1124</t>
        </is>
      </c>
      <c r="N384" t="n">
        <v>67.09999999999999</v>
      </c>
      <c r="O384" t="n">
        <v>290.6</v>
      </c>
      <c r="Q384" s="26" t="n">
        <v>39750</v>
      </c>
    </row>
    <row r="385">
      <c r="A385" t="inlineStr">
        <is>
          <t>PT13072</t>
        </is>
      </c>
      <c r="B385" t="inlineStr">
        <is>
          <t>00335681</t>
        </is>
      </c>
      <c r="C385" t="inlineStr">
        <is>
          <t>Patterson</t>
        </is>
      </c>
      <c r="D385" t="inlineStr">
        <is>
          <t>Zachary</t>
        </is>
      </c>
      <c r="E385" t="inlineStr">
        <is>
          <t>M</t>
        </is>
      </c>
      <c r="F385" s="26" t="n">
        <v>22048</v>
      </c>
      <c r="G385" t="inlineStr">
        <is>
          <t>Ashby Falls</t>
        </is>
      </c>
      <c r="H385" t="inlineStr">
        <is>
          <t>45610</t>
        </is>
      </c>
      <c r="I385" t="inlineStr">
        <is>
          <t>(555) 945-0884</t>
        </is>
      </c>
      <c r="J385" t="inlineStr">
        <is>
          <t>zachary.patterson63@example.com</t>
        </is>
      </c>
      <c r="K385" t="inlineStr">
        <is>
          <t>English</t>
        </is>
      </c>
      <c r="L385" t="inlineStr">
        <is>
          <t>PY02</t>
        </is>
      </c>
      <c r="M385" t="inlineStr">
        <is>
          <t>PRV1135</t>
        </is>
      </c>
      <c r="N385" t="n">
        <v>73.90000000000001</v>
      </c>
      <c r="O385" t="n">
        <v>228.5</v>
      </c>
      <c r="P385" t="inlineStr">
        <is>
          <t>HTN;DM;ASTHMA;PSYCH</t>
        </is>
      </c>
      <c r="Q385" s="26" t="n">
        <v>45146</v>
      </c>
    </row>
    <row r="386">
      <c r="A386" t="inlineStr">
        <is>
          <t>PT13080</t>
        </is>
      </c>
      <c r="B386" t="inlineStr">
        <is>
          <t>09070004</t>
        </is>
      </c>
      <c r="C386" t="inlineStr">
        <is>
          <t>Pena</t>
        </is>
      </c>
      <c r="D386" t="inlineStr">
        <is>
          <t>Wei</t>
        </is>
      </c>
      <c r="E386" t="inlineStr">
        <is>
          <t>M</t>
        </is>
      </c>
      <c r="F386" s="26" t="n">
        <v>41099</v>
      </c>
      <c r="G386" t="inlineStr">
        <is>
          <t>Bluestone</t>
        </is>
      </c>
      <c r="H386" t="inlineStr">
        <is>
          <t>45501</t>
        </is>
      </c>
      <c r="I386" t="inlineStr">
        <is>
          <t>(555) 861-8588</t>
        </is>
      </c>
      <c r="K386" t="inlineStr">
        <is>
          <t>English</t>
        </is>
      </c>
      <c r="L386" t="inlineStr">
        <is>
          <t>PY06</t>
        </is>
      </c>
      <c r="M386" t="inlineStr">
        <is>
          <t>PRV1107</t>
        </is>
      </c>
      <c r="N386" t="n">
        <v>66.59999999999999</v>
      </c>
      <c r="O386" t="n">
        <v>159.9</v>
      </c>
      <c r="Q386" s="26" t="n">
        <v>45056</v>
      </c>
    </row>
    <row r="387">
      <c r="A387" t="inlineStr">
        <is>
          <t>PT13088</t>
        </is>
      </c>
      <c r="B387" t="inlineStr">
        <is>
          <t>02919606</t>
        </is>
      </c>
      <c r="C387" t="inlineStr">
        <is>
          <t>Gardner</t>
        </is>
      </c>
      <c r="D387" t="inlineStr">
        <is>
          <t>Amy</t>
        </is>
      </c>
      <c r="E387" t="inlineStr">
        <is>
          <t>F</t>
        </is>
      </c>
      <c r="F387" s="26" t="n">
        <v>27052</v>
      </c>
      <c r="G387" t="inlineStr">
        <is>
          <t>Bluestone</t>
        </is>
      </c>
      <c r="H387" t="inlineStr">
        <is>
          <t>45503</t>
        </is>
      </c>
      <c r="I387" t="inlineStr">
        <is>
          <t>(555) 294-8156</t>
        </is>
      </c>
      <c r="K387" t="inlineStr">
        <is>
          <t>Spanish</t>
        </is>
      </c>
      <c r="L387" t="inlineStr">
        <is>
          <t>PY03</t>
        </is>
      </c>
      <c r="M387" t="inlineStr">
        <is>
          <t>PRV1135</t>
        </is>
      </c>
      <c r="N387" t="n">
        <v>63.8</v>
      </c>
      <c r="O387" t="n">
        <v>194.8</v>
      </c>
      <c r="P387" t="inlineStr">
        <is>
          <t>DM;OA</t>
        </is>
      </c>
      <c r="Q387" s="26" t="n">
        <v>40730</v>
      </c>
    </row>
    <row r="388">
      <c r="A388" t="inlineStr">
        <is>
          <t>PT13096</t>
        </is>
      </c>
      <c r="B388" t="inlineStr">
        <is>
          <t>06475572</t>
        </is>
      </c>
      <c r="C388" t="inlineStr">
        <is>
          <t>Delgado</t>
        </is>
      </c>
      <c r="D388" t="inlineStr">
        <is>
          <t>Jonathan</t>
        </is>
      </c>
      <c r="E388" t="inlineStr">
        <is>
          <t>M</t>
        </is>
      </c>
      <c r="F388" s="26" t="n">
        <v>37017</v>
      </c>
      <c r="G388" t="inlineStr">
        <is>
          <t>Bluestone</t>
        </is>
      </c>
      <c r="H388" t="inlineStr">
        <is>
          <t>45502</t>
        </is>
      </c>
      <c r="I388" t="inlineStr">
        <is>
          <t>(555) 552-7007</t>
        </is>
      </c>
      <c r="J388" t="inlineStr">
        <is>
          <t>jonathan.delgado91@example.com</t>
        </is>
      </c>
      <c r="K388" t="inlineStr">
        <is>
          <t>English</t>
        </is>
      </c>
      <c r="L388" t="inlineStr">
        <is>
          <t>PY01</t>
        </is>
      </c>
      <c r="M388" t="inlineStr">
        <is>
          <t>PRV1124</t>
        </is>
      </c>
      <c r="N388" t="n">
        <v>71.59999999999999</v>
      </c>
      <c r="O388" t="n">
        <v>211.9</v>
      </c>
      <c r="P388" t="inlineStr">
        <is>
          <t>PSYCH</t>
        </is>
      </c>
      <c r="Q388" s="26" t="n">
        <v>45361</v>
      </c>
    </row>
    <row r="389">
      <c r="A389" t="inlineStr">
        <is>
          <t>PT13104</t>
        </is>
      </c>
      <c r="B389" t="inlineStr">
        <is>
          <t>01370718</t>
        </is>
      </c>
      <c r="C389" t="inlineStr">
        <is>
          <t>Martin</t>
        </is>
      </c>
      <c r="D389" t="inlineStr">
        <is>
          <t>Dylan</t>
        </is>
      </c>
      <c r="E389" t="inlineStr">
        <is>
          <t>M</t>
        </is>
      </c>
      <c r="F389" s="26" t="n">
        <v>40134</v>
      </c>
      <c r="G389" t="inlineStr">
        <is>
          <t>Fairhaven</t>
        </is>
      </c>
      <c r="H389" t="inlineStr">
        <is>
          <t>45620</t>
        </is>
      </c>
      <c r="I389" t="inlineStr">
        <is>
          <t>(555) 928-5828</t>
        </is>
      </c>
      <c r="J389" t="inlineStr">
        <is>
          <t>dylan.martin43@example.com</t>
        </is>
      </c>
      <c r="K389" t="inlineStr">
        <is>
          <t>English</t>
        </is>
      </c>
      <c r="L389" t="inlineStr">
        <is>
          <t>PY03</t>
        </is>
      </c>
      <c r="M389" t="inlineStr">
        <is>
          <t>PRV1108</t>
        </is>
      </c>
      <c r="N389" t="n">
        <v>69.7</v>
      </c>
      <c r="O389" t="n">
        <v>153.7</v>
      </c>
      <c r="Q389" s="26" t="n">
        <v>44806</v>
      </c>
    </row>
    <row r="390">
      <c r="A390" t="inlineStr">
        <is>
          <t>PT13112</t>
        </is>
      </c>
      <c r="B390" t="inlineStr">
        <is>
          <t>00717644</t>
        </is>
      </c>
      <c r="C390" t="inlineStr">
        <is>
          <t>Perez</t>
        </is>
      </c>
      <c r="D390" t="inlineStr">
        <is>
          <t>Ava</t>
        </is>
      </c>
      <c r="E390" t="inlineStr">
        <is>
          <t>F</t>
        </is>
      </c>
      <c r="F390" s="26" t="n">
        <v>40239</v>
      </c>
      <c r="G390" t="inlineStr">
        <is>
          <t>Cedar Ridge</t>
        </is>
      </c>
      <c r="H390" t="inlineStr">
        <is>
          <t>45720</t>
        </is>
      </c>
      <c r="I390" t="inlineStr">
        <is>
          <t>(555) 468-4659</t>
        </is>
      </c>
      <c r="K390" t="inlineStr">
        <is>
          <t>English</t>
        </is>
      </c>
      <c r="L390" t="inlineStr">
        <is>
          <t>PY03</t>
        </is>
      </c>
      <c r="M390" t="inlineStr">
        <is>
          <t>PRV1108</t>
        </is>
      </c>
      <c r="N390" t="n">
        <v>68.09999999999999</v>
      </c>
      <c r="O390" t="n">
        <v>154.6</v>
      </c>
      <c r="P390" t="inlineStr">
        <is>
          <t>SEIZURE</t>
        </is>
      </c>
      <c r="Q390" s="26" t="n">
        <v>40485</v>
      </c>
    </row>
    <row r="391">
      <c r="A391" t="inlineStr">
        <is>
          <t>PT13120</t>
        </is>
      </c>
      <c r="B391" t="inlineStr">
        <is>
          <t>00325998</t>
        </is>
      </c>
      <c r="C391" t="inlineStr">
        <is>
          <t>Jordan</t>
        </is>
      </c>
      <c r="D391" t="inlineStr">
        <is>
          <t>Anthony</t>
        </is>
      </c>
      <c r="E391" t="inlineStr">
        <is>
          <t>M</t>
        </is>
      </c>
      <c r="F391" s="26" t="n">
        <v>17625</v>
      </c>
      <c r="G391" t="inlineStr">
        <is>
          <t>Riverbend</t>
        </is>
      </c>
      <c r="H391" t="inlineStr">
        <is>
          <t>45545</t>
        </is>
      </c>
      <c r="I391" t="inlineStr">
        <is>
          <t>(555) 218-4438</t>
        </is>
      </c>
      <c r="K391" t="inlineStr">
        <is>
          <t>English</t>
        </is>
      </c>
      <c r="L391" t="inlineStr">
        <is>
          <t>PY01</t>
        </is>
      </c>
      <c r="M391" t="inlineStr">
        <is>
          <t>PRV1136</t>
        </is>
      </c>
      <c r="N391" t="n">
        <v>70.7</v>
      </c>
      <c r="O391" t="n">
        <v>243.2</v>
      </c>
      <c r="P391" t="inlineStr">
        <is>
          <t>HTN;DM</t>
        </is>
      </c>
      <c r="Q391" s="26" t="n">
        <v>39952</v>
      </c>
    </row>
    <row r="392">
      <c r="A392" t="inlineStr">
        <is>
          <t>PT13128</t>
        </is>
      </c>
      <c r="B392" t="inlineStr">
        <is>
          <t>04729508</t>
        </is>
      </c>
      <c r="C392" t="inlineStr">
        <is>
          <t>Grant</t>
        </is>
      </c>
      <c r="D392" t="inlineStr">
        <is>
          <t>Katherine</t>
        </is>
      </c>
      <c r="E392" t="inlineStr">
        <is>
          <t>F</t>
        </is>
      </c>
      <c r="F392" s="26" t="n">
        <v>33652</v>
      </c>
      <c r="G392" t="inlineStr">
        <is>
          <t>Bluestone</t>
        </is>
      </c>
      <c r="H392" t="inlineStr">
        <is>
          <t>45502</t>
        </is>
      </c>
      <c r="I392" t="inlineStr">
        <is>
          <t>(555) 488-3157</t>
        </is>
      </c>
      <c r="K392" t="inlineStr">
        <is>
          <t>Vietnamese</t>
        </is>
      </c>
      <c r="L392" t="inlineStr">
        <is>
          <t>PY06</t>
        </is>
      </c>
      <c r="M392" t="inlineStr">
        <is>
          <t>PRV1138</t>
        </is>
      </c>
      <c r="N392" t="n">
        <v>56.9</v>
      </c>
      <c r="O392" t="n">
        <v>122.6</v>
      </c>
      <c r="Q392" s="26" t="n">
        <v>39917</v>
      </c>
    </row>
    <row r="393">
      <c r="A393" t="inlineStr">
        <is>
          <t>PT13136</t>
        </is>
      </c>
      <c r="B393" t="inlineStr">
        <is>
          <t>09783418</t>
        </is>
      </c>
      <c r="C393" t="inlineStr">
        <is>
          <t>Hill</t>
        </is>
      </c>
      <c r="D393" t="inlineStr">
        <is>
          <t>Betty</t>
        </is>
      </c>
      <c r="E393" t="inlineStr">
        <is>
          <t>F</t>
        </is>
      </c>
      <c r="F393" s="26" t="n">
        <v>20671</v>
      </c>
      <c r="G393" t="inlineStr">
        <is>
          <t>Bluestone</t>
        </is>
      </c>
      <c r="H393" t="inlineStr">
        <is>
          <t>45501</t>
        </is>
      </c>
      <c r="I393" t="inlineStr">
        <is>
          <t>(555) 397-5318</t>
        </is>
      </c>
      <c r="J393" t="inlineStr">
        <is>
          <t>betty.hill42@example.com</t>
        </is>
      </c>
      <c r="K393" t="inlineStr">
        <is>
          <t>English</t>
        </is>
      </c>
      <c r="L393" t="inlineStr">
        <is>
          <t>PY01</t>
        </is>
      </c>
      <c r="M393" t="inlineStr">
        <is>
          <t>PRV1133</t>
        </is>
      </c>
      <c r="N393" t="n">
        <v>63.1</v>
      </c>
      <c r="O393" t="n">
        <v>144.6</v>
      </c>
      <c r="P393" t="inlineStr">
        <is>
          <t>HTN;OA</t>
        </is>
      </c>
      <c r="Q393" s="26" t="n">
        <v>44801</v>
      </c>
    </row>
    <row r="394">
      <c r="A394" t="inlineStr">
        <is>
          <t>PT13144</t>
        </is>
      </c>
      <c r="B394" t="inlineStr">
        <is>
          <t>09325642</t>
        </is>
      </c>
      <c r="C394" t="inlineStr">
        <is>
          <t>Delgado</t>
        </is>
      </c>
      <c r="D394" t="inlineStr">
        <is>
          <t>Jesse</t>
        </is>
      </c>
      <c r="E394" t="inlineStr">
        <is>
          <t>M</t>
        </is>
      </c>
      <c r="F394" s="26" t="n">
        <v>38162</v>
      </c>
      <c r="G394" t="inlineStr">
        <is>
          <t>Cedar Ridge</t>
        </is>
      </c>
      <c r="H394" t="inlineStr">
        <is>
          <t>45720</t>
        </is>
      </c>
      <c r="I394" t="inlineStr">
        <is>
          <t>(555) 563-7744</t>
        </is>
      </c>
      <c r="J394" t="inlineStr">
        <is>
          <t>jesse.delgado85@example.com</t>
        </is>
      </c>
      <c r="K394" t="inlineStr">
        <is>
          <t>English</t>
        </is>
      </c>
      <c r="L394" t="inlineStr">
        <is>
          <t>PY03</t>
        </is>
      </c>
      <c r="M394" t="inlineStr">
        <is>
          <t>PRV1130</t>
        </is>
      </c>
      <c r="N394" t="n">
        <v>70.59999999999999</v>
      </c>
      <c r="O394" t="n">
        <v>226.7</v>
      </c>
      <c r="Q394" s="26" t="n">
        <v>39789</v>
      </c>
    </row>
    <row r="395">
      <c r="A395" t="inlineStr">
        <is>
          <t>PT13152</t>
        </is>
      </c>
      <c r="B395" t="inlineStr">
        <is>
          <t>07859796</t>
        </is>
      </c>
      <c r="C395" t="inlineStr">
        <is>
          <t>Hunter</t>
        </is>
      </c>
      <c r="D395" t="inlineStr">
        <is>
          <t>Laura</t>
        </is>
      </c>
      <c r="E395" t="inlineStr">
        <is>
          <t>F</t>
        </is>
      </c>
      <c r="F395" s="26" t="n">
        <v>26459</v>
      </c>
      <c r="G395" t="inlineStr">
        <is>
          <t>Bluestone</t>
        </is>
      </c>
      <c r="H395" t="inlineStr">
        <is>
          <t>45501</t>
        </is>
      </c>
      <c r="I395" t="inlineStr">
        <is>
          <t>(555) 846-8010</t>
        </is>
      </c>
      <c r="J395" t="inlineStr">
        <is>
          <t>laura.hunter53@example.com</t>
        </is>
      </c>
      <c r="K395" t="inlineStr">
        <is>
          <t>English</t>
        </is>
      </c>
      <c r="L395" t="inlineStr">
        <is>
          <t>PY03</t>
        </is>
      </c>
      <c r="M395" t="inlineStr">
        <is>
          <t>PRV1130</t>
        </is>
      </c>
      <c r="N395" t="n">
        <v>67.90000000000001</v>
      </c>
      <c r="O395" t="n">
        <v>214.7</v>
      </c>
      <c r="Q395" s="26" t="n">
        <v>43249</v>
      </c>
    </row>
    <row r="396">
      <c r="A396" t="inlineStr">
        <is>
          <t>PT13160</t>
        </is>
      </c>
      <c r="B396" t="inlineStr">
        <is>
          <t>05310453</t>
        </is>
      </c>
      <c r="C396" t="inlineStr">
        <is>
          <t>Payne</t>
        </is>
      </c>
      <c r="D396" t="inlineStr">
        <is>
          <t>Julie</t>
        </is>
      </c>
      <c r="E396" t="inlineStr">
        <is>
          <t>F</t>
        </is>
      </c>
      <c r="F396" s="26" t="n">
        <v>44479</v>
      </c>
      <c r="G396" t="inlineStr">
        <is>
          <t>Riverbend</t>
        </is>
      </c>
      <c r="H396" t="inlineStr">
        <is>
          <t>45545</t>
        </is>
      </c>
      <c r="I396" t="inlineStr">
        <is>
          <t>(555) 628-2528</t>
        </is>
      </c>
      <c r="K396" t="inlineStr">
        <is>
          <t>English</t>
        </is>
      </c>
      <c r="L396" t="inlineStr">
        <is>
          <t>PY05</t>
        </is>
      </c>
      <c r="M396" t="inlineStr">
        <is>
          <t>PRV1108</t>
        </is>
      </c>
      <c r="N396" t="n">
        <v>29</v>
      </c>
      <c r="O396" t="n">
        <v>22.3</v>
      </c>
      <c r="Q396" s="26" t="n">
        <v>45295</v>
      </c>
    </row>
    <row r="397">
      <c r="A397" t="inlineStr">
        <is>
          <t>PT13168</t>
        </is>
      </c>
      <c r="B397" t="inlineStr">
        <is>
          <t>03459554</t>
        </is>
      </c>
      <c r="C397" t="inlineStr">
        <is>
          <t>Gomez</t>
        </is>
      </c>
      <c r="D397" t="inlineStr">
        <is>
          <t>Emily</t>
        </is>
      </c>
      <c r="E397" t="inlineStr">
        <is>
          <t>F</t>
        </is>
      </c>
      <c r="F397" s="26" t="n">
        <v>12763</v>
      </c>
      <c r="G397" t="inlineStr">
        <is>
          <t>Cedar Ridge</t>
        </is>
      </c>
      <c r="H397" t="inlineStr">
        <is>
          <t>45720</t>
        </is>
      </c>
      <c r="I397" t="inlineStr">
        <is>
          <t>(555) 241-2735</t>
        </is>
      </c>
      <c r="J397" t="inlineStr">
        <is>
          <t>emily.gomez51@example.com</t>
        </is>
      </c>
      <c r="K397" t="inlineStr">
        <is>
          <t>English</t>
        </is>
      </c>
      <c r="L397" t="inlineStr">
        <is>
          <t>PY04</t>
        </is>
      </c>
      <c r="M397" t="inlineStr">
        <is>
          <t>PRV1131</t>
        </is>
      </c>
      <c r="N397" t="n">
        <v>61.3</v>
      </c>
      <c r="O397" t="n">
        <v>153.6</v>
      </c>
      <c r="P397" t="inlineStr">
        <is>
          <t>DM</t>
        </is>
      </c>
      <c r="Q397" s="26" t="n">
        <v>41798</v>
      </c>
    </row>
    <row r="398">
      <c r="A398" t="inlineStr">
        <is>
          <t>PT13176</t>
        </is>
      </c>
      <c r="B398" t="inlineStr">
        <is>
          <t>06887167</t>
        </is>
      </c>
      <c r="C398" t="inlineStr">
        <is>
          <t>Johnston</t>
        </is>
      </c>
      <c r="D398" t="inlineStr">
        <is>
          <t>Jose</t>
        </is>
      </c>
      <c r="E398" t="inlineStr">
        <is>
          <t>M</t>
        </is>
      </c>
      <c r="F398" s="26" t="n">
        <v>22695</v>
      </c>
      <c r="G398" t="inlineStr">
        <is>
          <t>Cedar Ridge</t>
        </is>
      </c>
      <c r="H398" t="inlineStr">
        <is>
          <t>45720</t>
        </is>
      </c>
      <c r="I398" t="inlineStr">
        <is>
          <t>(555) 908-5616</t>
        </is>
      </c>
      <c r="J398" t="inlineStr">
        <is>
          <t>jose.johnston63@example.com</t>
        </is>
      </c>
      <c r="K398" t="inlineStr">
        <is>
          <t>English</t>
        </is>
      </c>
      <c r="L398" t="inlineStr">
        <is>
          <t>PY04</t>
        </is>
      </c>
      <c r="M398" t="inlineStr">
        <is>
          <t>PRV1136</t>
        </is>
      </c>
      <c r="N398" t="n">
        <v>72.59999999999999</v>
      </c>
      <c r="O398" t="n">
        <v>216.6</v>
      </c>
      <c r="Q398" s="26" t="n">
        <v>45219</v>
      </c>
    </row>
    <row r="399">
      <c r="A399" t="inlineStr">
        <is>
          <t>PT13184</t>
        </is>
      </c>
      <c r="B399" t="inlineStr">
        <is>
          <t>05288663</t>
        </is>
      </c>
      <c r="C399" t="inlineStr">
        <is>
          <t>Herrera</t>
        </is>
      </c>
      <c r="D399" t="inlineStr">
        <is>
          <t>Diana</t>
        </is>
      </c>
      <c r="E399" t="inlineStr">
        <is>
          <t>F</t>
        </is>
      </c>
      <c r="F399" s="26" t="n">
        <v>41551</v>
      </c>
      <c r="G399" t="inlineStr">
        <is>
          <t>Millbrook</t>
        </is>
      </c>
      <c r="H399" t="inlineStr">
        <is>
          <t>45530</t>
        </is>
      </c>
      <c r="I399" t="inlineStr">
        <is>
          <t>(555) 203-5092</t>
        </is>
      </c>
      <c r="K399" t="inlineStr">
        <is>
          <t>English</t>
        </is>
      </c>
      <c r="L399" t="inlineStr">
        <is>
          <t>PY07</t>
        </is>
      </c>
      <c r="M399" t="inlineStr">
        <is>
          <t>PRV1108</t>
        </is>
      </c>
      <c r="N399" t="n">
        <v>48.6</v>
      </c>
      <c r="O399" t="n">
        <v>71.40000000000001</v>
      </c>
      <c r="Q399" s="26" t="n">
        <v>44783</v>
      </c>
    </row>
    <row r="400">
      <c r="A400" t="inlineStr">
        <is>
          <t>PT13192</t>
        </is>
      </c>
      <c r="B400" t="inlineStr">
        <is>
          <t>01426773</t>
        </is>
      </c>
      <c r="C400" t="inlineStr">
        <is>
          <t>Anderson</t>
        </is>
      </c>
      <c r="D400" t="inlineStr">
        <is>
          <t>Arthur</t>
        </is>
      </c>
      <c r="E400" t="inlineStr">
        <is>
          <t>M</t>
        </is>
      </c>
      <c r="F400" s="26" t="n">
        <v>45738</v>
      </c>
      <c r="G400" t="inlineStr">
        <is>
          <t>Cedar Ridge</t>
        </is>
      </c>
      <c r="H400" t="inlineStr">
        <is>
          <t>45720</t>
        </is>
      </c>
      <c r="I400" t="inlineStr">
        <is>
          <t>(555) 652-9689</t>
        </is>
      </c>
      <c r="K400" t="inlineStr">
        <is>
          <t>English</t>
        </is>
      </c>
      <c r="L400" t="inlineStr">
        <is>
          <t>PY03</t>
        </is>
      </c>
      <c r="M400" t="inlineStr">
        <is>
          <t>PRV1105</t>
        </is>
      </c>
      <c r="N400" t="n">
        <v>19.9</v>
      </c>
      <c r="O400" t="n">
        <v>12.1</v>
      </c>
      <c r="Q400" s="26" t="n">
        <v>45911</v>
      </c>
    </row>
    <row r="401">
      <c r="A401" t="inlineStr">
        <is>
          <t>PT13200</t>
        </is>
      </c>
      <c r="B401" t="inlineStr">
        <is>
          <t>00521096</t>
        </is>
      </c>
      <c r="C401" t="inlineStr">
        <is>
          <t>Long</t>
        </is>
      </c>
      <c r="D401" t="inlineStr">
        <is>
          <t>Harold</t>
        </is>
      </c>
      <c r="E401" t="inlineStr">
        <is>
          <t>M</t>
        </is>
      </c>
      <c r="F401" s="26" t="n">
        <v>39400</v>
      </c>
      <c r="G401" t="inlineStr">
        <is>
          <t>Bluestone</t>
        </is>
      </c>
      <c r="H401" t="inlineStr">
        <is>
          <t>45501</t>
        </is>
      </c>
      <c r="I401" t="inlineStr">
        <is>
          <t>(555) 572-6192</t>
        </is>
      </c>
      <c r="J401" t="inlineStr">
        <is>
          <t>harold.long15@example.com</t>
        </is>
      </c>
      <c r="K401" t="inlineStr">
        <is>
          <t>English</t>
        </is>
      </c>
      <c r="L401" t="inlineStr">
        <is>
          <t>PY07</t>
        </is>
      </c>
      <c r="M401" t="inlineStr">
        <is>
          <t>PRV1139</t>
        </is>
      </c>
      <c r="N401" t="n">
        <v>66</v>
      </c>
      <c r="O401" t="n">
        <v>124.2</v>
      </c>
      <c r="Q401" s="26" t="n">
        <v>42902</v>
      </c>
    </row>
    <row r="402">
      <c r="A402" t="inlineStr">
        <is>
          <t>PT13208</t>
        </is>
      </c>
      <c r="B402" t="inlineStr">
        <is>
          <t>00130754</t>
        </is>
      </c>
      <c r="C402" t="inlineStr">
        <is>
          <t>Rivera</t>
        </is>
      </c>
      <c r="D402" t="inlineStr">
        <is>
          <t>Kelly</t>
        </is>
      </c>
      <c r="E402" t="inlineStr">
        <is>
          <t>F</t>
        </is>
      </c>
      <c r="F402" s="26" t="n">
        <v>15317</v>
      </c>
      <c r="G402" t="inlineStr">
        <is>
          <t>Cedar Ridge</t>
        </is>
      </c>
      <c r="H402" t="inlineStr">
        <is>
          <t>45720</t>
        </is>
      </c>
      <c r="I402" t="inlineStr">
        <is>
          <t>(555) 402-6172</t>
        </is>
      </c>
      <c r="K402" t="inlineStr">
        <is>
          <t>English</t>
        </is>
      </c>
      <c r="L402" t="inlineStr">
        <is>
          <t>PY01</t>
        </is>
      </c>
      <c r="M402" t="inlineStr">
        <is>
          <t>PRV1132</t>
        </is>
      </c>
      <c r="N402" t="n">
        <v>65.40000000000001</v>
      </c>
      <c r="O402" t="n">
        <v>192</v>
      </c>
      <c r="P402" t="inlineStr">
        <is>
          <t>HTN</t>
        </is>
      </c>
      <c r="Q402" s="26" t="n">
        <v>41195</v>
      </c>
    </row>
    <row r="403">
      <c r="A403" t="inlineStr">
        <is>
          <t>PT13216</t>
        </is>
      </c>
      <c r="B403" t="inlineStr">
        <is>
          <t>06167161</t>
        </is>
      </c>
      <c r="C403" t="inlineStr">
        <is>
          <t>Morgan</t>
        </is>
      </c>
      <c r="D403" t="inlineStr">
        <is>
          <t>Rosa</t>
        </is>
      </c>
      <c r="E403" t="inlineStr">
        <is>
          <t>F</t>
        </is>
      </c>
      <c r="F403" s="26" t="n">
        <v>28277</v>
      </c>
      <c r="G403" t="inlineStr">
        <is>
          <t>Bluestone</t>
        </is>
      </c>
      <c r="H403" t="inlineStr">
        <is>
          <t>45501</t>
        </is>
      </c>
      <c r="I403" t="inlineStr">
        <is>
          <t>(555) 919-9507</t>
        </is>
      </c>
      <c r="K403" t="inlineStr">
        <is>
          <t>English</t>
        </is>
      </c>
      <c r="L403" t="inlineStr">
        <is>
          <t>PY01</t>
        </is>
      </c>
      <c r="M403" t="inlineStr">
        <is>
          <t>PRV1136</t>
        </is>
      </c>
      <c r="N403" t="n">
        <v>62.6</v>
      </c>
      <c r="O403" t="n">
        <v>186.6</v>
      </c>
      <c r="Q403" s="26" t="n">
        <v>45337</v>
      </c>
    </row>
    <row r="404">
      <c r="A404" t="inlineStr">
        <is>
          <t>PT13224</t>
        </is>
      </c>
      <c r="B404" t="inlineStr">
        <is>
          <t>07765016</t>
        </is>
      </c>
      <c r="C404" t="inlineStr">
        <is>
          <t>Washington</t>
        </is>
      </c>
      <c r="D404" t="inlineStr">
        <is>
          <t>Nicole</t>
        </is>
      </c>
      <c r="E404" t="inlineStr">
        <is>
          <t>F</t>
        </is>
      </c>
      <c r="F404" s="26" t="n">
        <v>20507</v>
      </c>
      <c r="G404" t="inlineStr">
        <is>
          <t>Pine Hollow</t>
        </is>
      </c>
      <c r="H404" t="inlineStr">
        <is>
          <t>45640</t>
        </is>
      </c>
      <c r="I404" t="inlineStr">
        <is>
          <t>(555) 781-9216</t>
        </is>
      </c>
      <c r="K404" t="inlineStr">
        <is>
          <t>English</t>
        </is>
      </c>
      <c r="L404" t="inlineStr">
        <is>
          <t>PY02</t>
        </is>
      </c>
      <c r="M404" t="inlineStr">
        <is>
          <t>PRV1132</t>
        </is>
      </c>
      <c r="N404" t="n">
        <v>70.09999999999999</v>
      </c>
      <c r="O404" t="n">
        <v>314.9</v>
      </c>
      <c r="P404" t="inlineStr">
        <is>
          <t>HTN</t>
        </is>
      </c>
      <c r="Q404" s="26" t="n">
        <v>44299</v>
      </c>
    </row>
    <row r="405">
      <c r="A405" t="inlineStr">
        <is>
          <t>PT13232</t>
        </is>
      </c>
      <c r="B405" t="inlineStr">
        <is>
          <t>08764803</t>
        </is>
      </c>
      <c r="C405" t="inlineStr">
        <is>
          <t>Jordan</t>
        </is>
      </c>
      <c r="D405" t="inlineStr">
        <is>
          <t>Betty</t>
        </is>
      </c>
      <c r="E405" t="inlineStr">
        <is>
          <t>F</t>
        </is>
      </c>
      <c r="F405" s="26" t="n">
        <v>17242</v>
      </c>
      <c r="G405" t="inlineStr">
        <is>
          <t>Bluestone</t>
        </is>
      </c>
      <c r="H405" t="inlineStr">
        <is>
          <t>45502</t>
        </is>
      </c>
      <c r="I405" t="inlineStr">
        <is>
          <t>(555) 490-3297</t>
        </is>
      </c>
      <c r="J405" t="inlineStr">
        <is>
          <t>betty.jordan46@example.com</t>
        </is>
      </c>
      <c r="K405" t="inlineStr">
        <is>
          <t>English</t>
        </is>
      </c>
      <c r="L405" t="inlineStr">
        <is>
          <t>PY01</t>
        </is>
      </c>
      <c r="M405" t="inlineStr">
        <is>
          <t>PRV1124</t>
        </is>
      </c>
      <c r="N405" t="n">
        <v>63.5</v>
      </c>
      <c r="O405" t="n">
        <v>160</v>
      </c>
      <c r="P405" t="inlineStr">
        <is>
          <t>HTN;DM;AFIB</t>
        </is>
      </c>
      <c r="Q405" s="26" t="n">
        <v>43691</v>
      </c>
    </row>
    <row r="406">
      <c r="A406" t="inlineStr">
        <is>
          <t>PT13240</t>
        </is>
      </c>
      <c r="B406" t="inlineStr">
        <is>
          <t>04076989</t>
        </is>
      </c>
      <c r="C406" t="inlineStr">
        <is>
          <t>Holmes</t>
        </is>
      </c>
      <c r="D406" t="inlineStr">
        <is>
          <t>Ruth</t>
        </is>
      </c>
      <c r="E406" t="inlineStr">
        <is>
          <t>F</t>
        </is>
      </c>
      <c r="F406" s="26" t="n">
        <v>20325</v>
      </c>
      <c r="G406" t="inlineStr">
        <is>
          <t>Bluestone</t>
        </is>
      </c>
      <c r="H406" t="inlineStr">
        <is>
          <t>45501</t>
        </is>
      </c>
      <c r="I406" t="inlineStr">
        <is>
          <t>(555) 916-1735</t>
        </is>
      </c>
      <c r="J406" t="inlineStr">
        <is>
          <t>ruth.holmes68@example.com</t>
        </is>
      </c>
      <c r="K406" t="inlineStr">
        <is>
          <t>English</t>
        </is>
      </c>
      <c r="L406" t="inlineStr">
        <is>
          <t>PY01</t>
        </is>
      </c>
      <c r="M406" t="inlineStr">
        <is>
          <t>PRV1130</t>
        </is>
      </c>
      <c r="N406" t="n">
        <v>64.7</v>
      </c>
      <c r="O406" t="n">
        <v>122.6</v>
      </c>
      <c r="P406" t="inlineStr">
        <is>
          <t>HTN;OA</t>
        </is>
      </c>
      <c r="Q406" s="26" t="n">
        <v>42858</v>
      </c>
    </row>
    <row r="407">
      <c r="A407" t="inlineStr">
        <is>
          <t>PT13248</t>
        </is>
      </c>
      <c r="B407" t="inlineStr">
        <is>
          <t>02513631</t>
        </is>
      </c>
      <c r="C407" t="inlineStr">
        <is>
          <t>Coleman</t>
        </is>
      </c>
      <c r="D407" t="inlineStr">
        <is>
          <t>John</t>
        </is>
      </c>
      <c r="E407" t="inlineStr">
        <is>
          <t>M</t>
        </is>
      </c>
      <c r="F407" s="26" t="n">
        <v>21455</v>
      </c>
      <c r="G407" t="inlineStr">
        <is>
          <t>Riverbend</t>
        </is>
      </c>
      <c r="H407" t="inlineStr">
        <is>
          <t>45545</t>
        </is>
      </c>
      <c r="I407" t="inlineStr">
        <is>
          <t>(555) 669-4644</t>
        </is>
      </c>
      <c r="J407" t="inlineStr">
        <is>
          <t>john.coleman67@example.com</t>
        </is>
      </c>
      <c r="K407" t="inlineStr">
        <is>
          <t>English</t>
        </is>
      </c>
      <c r="L407" t="inlineStr">
        <is>
          <t>PY01</t>
        </is>
      </c>
      <c r="M407" t="inlineStr">
        <is>
          <t>PRV1126</t>
        </is>
      </c>
      <c r="N407" t="n">
        <v>71.59999999999999</v>
      </c>
      <c r="O407" t="n">
        <v>202.7</v>
      </c>
      <c r="P407" t="inlineStr">
        <is>
          <t>HTN;COPD</t>
        </is>
      </c>
      <c r="Q407" s="26" t="n">
        <v>42372</v>
      </c>
    </row>
    <row r="408">
      <c r="A408" t="inlineStr">
        <is>
          <t>PT13256</t>
        </is>
      </c>
      <c r="B408" t="inlineStr">
        <is>
          <t>03952662</t>
        </is>
      </c>
      <c r="C408" t="inlineStr">
        <is>
          <t>Barnes</t>
        </is>
      </c>
      <c r="D408" t="inlineStr">
        <is>
          <t>David</t>
        </is>
      </c>
      <c r="E408" t="inlineStr">
        <is>
          <t>M</t>
        </is>
      </c>
      <c r="F408" s="26" t="n">
        <v>27900</v>
      </c>
      <c r="G408" t="inlineStr">
        <is>
          <t>Bluestone</t>
        </is>
      </c>
      <c r="H408" t="inlineStr">
        <is>
          <t>45501</t>
        </is>
      </c>
      <c r="I408" t="inlineStr">
        <is>
          <t>(555) 824-7464</t>
        </is>
      </c>
      <c r="J408" t="inlineStr">
        <is>
          <t>david.barnes61@example.com</t>
        </is>
      </c>
      <c r="K408" t="inlineStr">
        <is>
          <t>Spanish</t>
        </is>
      </c>
      <c r="L408" t="inlineStr">
        <is>
          <t>PY06</t>
        </is>
      </c>
      <c r="N408" t="n">
        <v>68.59999999999999</v>
      </c>
      <c r="O408" t="n">
        <v>233.3</v>
      </c>
      <c r="P408" t="inlineStr">
        <is>
          <t>HTN;PSYCH</t>
        </is>
      </c>
      <c r="Q408" s="26" t="n">
        <v>44760</v>
      </c>
    </row>
    <row r="409">
      <c r="A409" t="inlineStr">
        <is>
          <t>PT13264</t>
        </is>
      </c>
      <c r="B409" t="inlineStr">
        <is>
          <t>00063430</t>
        </is>
      </c>
      <c r="C409" t="inlineStr">
        <is>
          <t>Kim</t>
        </is>
      </c>
      <c r="D409" t="inlineStr">
        <is>
          <t>Kyle</t>
        </is>
      </c>
      <c r="E409" t="inlineStr">
        <is>
          <t>M</t>
        </is>
      </c>
      <c r="F409" s="26" t="n">
        <v>28186</v>
      </c>
      <c r="G409" t="inlineStr">
        <is>
          <t>Ashby Falls</t>
        </is>
      </c>
      <c r="H409" t="inlineStr">
        <is>
          <t>45610</t>
        </is>
      </c>
      <c r="I409" t="inlineStr">
        <is>
          <t>(555) 662-8557</t>
        </is>
      </c>
      <c r="J409" t="inlineStr">
        <is>
          <t>kyle.kim42@example.com</t>
        </is>
      </c>
      <c r="K409" t="inlineStr">
        <is>
          <t>English</t>
        </is>
      </c>
      <c r="L409" t="inlineStr">
        <is>
          <t>PY04</t>
        </is>
      </c>
      <c r="M409" t="inlineStr">
        <is>
          <t>PRV1134</t>
        </is>
      </c>
      <c r="N409" t="n">
        <v>69.2</v>
      </c>
      <c r="O409" t="n">
        <v>175.6</v>
      </c>
      <c r="P409" t="inlineStr">
        <is>
          <t>HTN;DM</t>
        </is>
      </c>
      <c r="Q409" s="26" t="n">
        <v>45373</v>
      </c>
    </row>
    <row r="410">
      <c r="A410" t="inlineStr">
        <is>
          <t>PT13272</t>
        </is>
      </c>
      <c r="B410" t="inlineStr">
        <is>
          <t>02589331</t>
        </is>
      </c>
      <c r="C410" t="inlineStr">
        <is>
          <t>Cunningham</t>
        </is>
      </c>
      <c r="D410" t="inlineStr">
        <is>
          <t>Jesse</t>
        </is>
      </c>
      <c r="E410" t="inlineStr">
        <is>
          <t>M</t>
        </is>
      </c>
      <c r="F410" s="26" t="n">
        <v>40548</v>
      </c>
      <c r="G410" t="inlineStr">
        <is>
          <t>Bluestone</t>
        </is>
      </c>
      <c r="H410" t="inlineStr">
        <is>
          <t>45503</t>
        </is>
      </c>
      <c r="I410" t="inlineStr">
        <is>
          <t>(555) 923-3896</t>
        </is>
      </c>
      <c r="K410" t="inlineStr">
        <is>
          <t>English</t>
        </is>
      </c>
      <c r="L410" t="inlineStr">
        <is>
          <t>PY03</t>
        </is>
      </c>
      <c r="M410" t="inlineStr">
        <is>
          <t>PRV1104</t>
        </is>
      </c>
      <c r="N410" t="n">
        <v>64.2</v>
      </c>
      <c r="O410" t="n">
        <v>125.5</v>
      </c>
      <c r="Q410" s="26" t="n">
        <v>45574</v>
      </c>
    </row>
    <row r="411">
      <c r="A411" t="inlineStr">
        <is>
          <t>PT13280</t>
        </is>
      </c>
      <c r="B411" t="inlineStr">
        <is>
          <t>06688303</t>
        </is>
      </c>
      <c r="C411" t="inlineStr">
        <is>
          <t>Torres</t>
        </is>
      </c>
      <c r="D411" t="inlineStr">
        <is>
          <t>George</t>
        </is>
      </c>
      <c r="E411" t="inlineStr">
        <is>
          <t>M</t>
        </is>
      </c>
      <c r="F411" s="26" t="n">
        <v>33939</v>
      </c>
      <c r="G411" t="inlineStr">
        <is>
          <t>Cedar Ridge</t>
        </is>
      </c>
      <c r="H411" t="inlineStr">
        <is>
          <t>45720</t>
        </is>
      </c>
      <c r="I411" t="inlineStr">
        <is>
          <t>(555) 518-1036</t>
        </is>
      </c>
      <c r="J411" t="inlineStr">
        <is>
          <t>george.torres56@example.com</t>
        </is>
      </c>
      <c r="K411" t="inlineStr">
        <is>
          <t>English</t>
        </is>
      </c>
      <c r="L411" t="inlineStr">
        <is>
          <t>PY06</t>
        </is>
      </c>
      <c r="M411" t="inlineStr">
        <is>
          <t>PRV1138</t>
        </is>
      </c>
      <c r="N411" t="n">
        <v>68.3</v>
      </c>
      <c r="O411" t="n">
        <v>224.8</v>
      </c>
      <c r="P411" t="inlineStr">
        <is>
          <t>DM</t>
        </is>
      </c>
      <c r="Q411" s="26" t="n">
        <v>39527</v>
      </c>
    </row>
    <row r="412">
      <c r="A412" t="inlineStr">
        <is>
          <t>PT13288</t>
        </is>
      </c>
      <c r="B412" t="inlineStr">
        <is>
          <t>06388981</t>
        </is>
      </c>
      <c r="C412" t="inlineStr">
        <is>
          <t>Ferguson</t>
        </is>
      </c>
      <c r="D412" t="inlineStr">
        <is>
          <t>Carolyn</t>
        </is>
      </c>
      <c r="E412" t="inlineStr">
        <is>
          <t>F</t>
        </is>
      </c>
      <c r="F412" s="26" t="n">
        <v>43479</v>
      </c>
      <c r="G412" t="inlineStr">
        <is>
          <t>Oak Glen</t>
        </is>
      </c>
      <c r="H412" t="inlineStr">
        <is>
          <t>45730</t>
        </is>
      </c>
      <c r="I412" t="inlineStr">
        <is>
          <t>(555) 675-3275</t>
        </is>
      </c>
      <c r="K412" t="inlineStr">
        <is>
          <t>English</t>
        </is>
      </c>
      <c r="L412" t="inlineStr">
        <is>
          <t>PY04</t>
        </is>
      </c>
      <c r="M412" t="inlineStr">
        <is>
          <t>PRV1108</t>
        </is>
      </c>
      <c r="N412" t="n">
        <v>38.6</v>
      </c>
      <c r="O412" t="n">
        <v>44</v>
      </c>
      <c r="Q412" s="26" t="n">
        <v>44138</v>
      </c>
    </row>
    <row r="413">
      <c r="A413" t="inlineStr">
        <is>
          <t>PT13296</t>
        </is>
      </c>
      <c r="B413" t="inlineStr">
        <is>
          <t>06050831</t>
        </is>
      </c>
      <c r="C413" t="inlineStr">
        <is>
          <t>Ortiz</t>
        </is>
      </c>
      <c r="D413" t="inlineStr">
        <is>
          <t>Natalie</t>
        </is>
      </c>
      <c r="E413" t="inlineStr">
        <is>
          <t>F</t>
        </is>
      </c>
      <c r="F413" s="26" t="n">
        <v>37169</v>
      </c>
      <c r="G413" t="inlineStr">
        <is>
          <t>Bluestone</t>
        </is>
      </c>
      <c r="H413" t="inlineStr">
        <is>
          <t>45502</t>
        </is>
      </c>
      <c r="I413" t="inlineStr">
        <is>
          <t>(555) 645-0856</t>
        </is>
      </c>
      <c r="J413" t="inlineStr">
        <is>
          <t>natalie.ortiz94@example.com</t>
        </is>
      </c>
      <c r="K413" t="inlineStr">
        <is>
          <t>English</t>
        </is>
      </c>
      <c r="L413" t="inlineStr">
        <is>
          <t>PY04</t>
        </is>
      </c>
      <c r="M413" t="inlineStr">
        <is>
          <t>PRV1136</t>
        </is>
      </c>
      <c r="N413" t="n">
        <v>66.7</v>
      </c>
      <c r="O413" t="n">
        <v>146.4</v>
      </c>
      <c r="Q413" s="26" t="n">
        <v>45168</v>
      </c>
    </row>
    <row r="414">
      <c r="A414" t="inlineStr">
        <is>
          <t>PT13304</t>
        </is>
      </c>
      <c r="B414" t="inlineStr">
        <is>
          <t>05152518</t>
        </is>
      </c>
      <c r="C414" t="inlineStr">
        <is>
          <t>Gordon</t>
        </is>
      </c>
      <c r="D414" t="inlineStr">
        <is>
          <t>Elijah</t>
        </is>
      </c>
      <c r="E414" t="inlineStr">
        <is>
          <t>M</t>
        </is>
      </c>
      <c r="F414" s="26" t="n">
        <v>29903</v>
      </c>
      <c r="G414" t="inlineStr">
        <is>
          <t>Cedar Ridge</t>
        </is>
      </c>
      <c r="H414" t="inlineStr">
        <is>
          <t>45720</t>
        </is>
      </c>
      <c r="I414" t="inlineStr">
        <is>
          <t>(555) 526-7422</t>
        </is>
      </c>
      <c r="J414" t="inlineStr">
        <is>
          <t>elijah.gordon24@example.com</t>
        </is>
      </c>
      <c r="K414" t="inlineStr">
        <is>
          <t>English</t>
        </is>
      </c>
      <c r="L414" t="inlineStr">
        <is>
          <t>PY05</t>
        </is>
      </c>
      <c r="M414" t="inlineStr">
        <is>
          <t>PRV1125</t>
        </is>
      </c>
      <c r="N414" t="n">
        <v>71.2</v>
      </c>
      <c r="O414" t="n">
        <v>258</v>
      </c>
      <c r="Q414" s="26" t="n">
        <v>40106</v>
      </c>
    </row>
    <row r="415">
      <c r="A415" t="inlineStr">
        <is>
          <t>PT13312</t>
        </is>
      </c>
      <c r="B415" t="inlineStr">
        <is>
          <t>09839990</t>
        </is>
      </c>
      <c r="C415" t="inlineStr">
        <is>
          <t>Kim</t>
        </is>
      </c>
      <c r="D415" t="inlineStr">
        <is>
          <t>Isabella</t>
        </is>
      </c>
      <c r="E415" t="inlineStr">
        <is>
          <t>F</t>
        </is>
      </c>
      <c r="F415" s="26" t="n">
        <v>36153</v>
      </c>
      <c r="G415" t="inlineStr">
        <is>
          <t>Lakeview Heights</t>
        </is>
      </c>
      <c r="H415" t="inlineStr">
        <is>
          <t>45510</t>
        </is>
      </c>
      <c r="I415" t="inlineStr">
        <is>
          <t>(555) 545-8626</t>
        </is>
      </c>
      <c r="J415" t="inlineStr">
        <is>
          <t>isabella.kim50@example.com</t>
        </is>
      </c>
      <c r="K415" t="inlineStr">
        <is>
          <t>English</t>
        </is>
      </c>
      <c r="L415" t="inlineStr">
        <is>
          <t>PY06</t>
        </is>
      </c>
      <c r="M415" t="inlineStr">
        <is>
          <t>PRV1132</t>
        </is>
      </c>
      <c r="N415" t="n">
        <v>66.90000000000001</v>
      </c>
      <c r="O415" t="n">
        <v>152.9</v>
      </c>
      <c r="P415" t="inlineStr">
        <is>
          <t>ASTHMA</t>
        </is>
      </c>
      <c r="Q415" s="26" t="n">
        <v>44792</v>
      </c>
    </row>
    <row r="416">
      <c r="A416" t="inlineStr">
        <is>
          <t>PT13320</t>
        </is>
      </c>
      <c r="B416" t="inlineStr">
        <is>
          <t>02053400</t>
        </is>
      </c>
      <c r="C416" t="inlineStr">
        <is>
          <t>Shaw</t>
        </is>
      </c>
      <c r="D416" t="inlineStr">
        <is>
          <t>Lucia</t>
        </is>
      </c>
      <c r="E416" t="inlineStr">
        <is>
          <t>F</t>
        </is>
      </c>
      <c r="F416" s="26" t="n">
        <v>20370</v>
      </c>
      <c r="G416" t="inlineStr">
        <is>
          <t>Bluestone</t>
        </is>
      </c>
      <c r="H416" t="inlineStr">
        <is>
          <t>45501</t>
        </is>
      </c>
      <c r="I416" t="inlineStr">
        <is>
          <t>(555) 553-4397</t>
        </is>
      </c>
      <c r="K416" t="inlineStr">
        <is>
          <t>English</t>
        </is>
      </c>
      <c r="L416" t="inlineStr">
        <is>
          <t>PY02</t>
        </is>
      </c>
      <c r="M416" t="inlineStr">
        <is>
          <t>PRV1129</t>
        </is>
      </c>
      <c r="N416" t="n">
        <v>60.2</v>
      </c>
      <c r="O416" t="n">
        <v>140.3</v>
      </c>
      <c r="P416" t="inlineStr">
        <is>
          <t>DM;OA</t>
        </is>
      </c>
      <c r="Q416" s="26" t="n">
        <v>43684</v>
      </c>
    </row>
    <row r="417">
      <c r="A417" t="inlineStr">
        <is>
          <t>PT13328</t>
        </is>
      </c>
      <c r="B417" t="inlineStr">
        <is>
          <t>08149492</t>
        </is>
      </c>
      <c r="C417" t="inlineStr">
        <is>
          <t>Hicks</t>
        </is>
      </c>
      <c r="D417" t="inlineStr">
        <is>
          <t>Nancy</t>
        </is>
      </c>
      <c r="E417" t="inlineStr">
        <is>
          <t>F</t>
        </is>
      </c>
      <c r="F417" s="26" t="n">
        <v>19511</v>
      </c>
      <c r="G417" t="inlineStr">
        <is>
          <t>Bluestone</t>
        </is>
      </c>
      <c r="H417" t="inlineStr">
        <is>
          <t>45502</t>
        </is>
      </c>
      <c r="I417" t="inlineStr">
        <is>
          <t>(555) 614-5902</t>
        </is>
      </c>
      <c r="J417" t="inlineStr">
        <is>
          <t>nancy.hicks74@example.com</t>
        </is>
      </c>
      <c r="K417" t="inlineStr">
        <is>
          <t>English</t>
        </is>
      </c>
      <c r="L417" t="inlineStr">
        <is>
          <t>PY02</t>
        </is>
      </c>
      <c r="M417" t="inlineStr">
        <is>
          <t>PRV1127</t>
        </is>
      </c>
      <c r="N417" t="n">
        <v>63.7</v>
      </c>
      <c r="O417" t="n">
        <v>192.7</v>
      </c>
      <c r="P417" t="inlineStr">
        <is>
          <t>HTN</t>
        </is>
      </c>
      <c r="Q417" s="26" t="n">
        <v>42605</v>
      </c>
    </row>
    <row r="418">
      <c r="A418" t="inlineStr">
        <is>
          <t>PT13336</t>
        </is>
      </c>
      <c r="B418" t="inlineStr">
        <is>
          <t>03465928</t>
        </is>
      </c>
      <c r="C418" t="inlineStr">
        <is>
          <t>Vargas</t>
        </is>
      </c>
      <c r="D418" t="inlineStr">
        <is>
          <t>Denise</t>
        </is>
      </c>
      <c r="E418" t="inlineStr">
        <is>
          <t>F</t>
        </is>
      </c>
      <c r="F418" s="26" t="n">
        <v>17939</v>
      </c>
      <c r="G418" t="inlineStr">
        <is>
          <t>Bluestone</t>
        </is>
      </c>
      <c r="H418" t="inlineStr">
        <is>
          <t>45501</t>
        </is>
      </c>
      <c r="I418" t="inlineStr">
        <is>
          <t>(555) 356-9547</t>
        </is>
      </c>
      <c r="J418" t="inlineStr">
        <is>
          <t>denise.vargas51@example.com</t>
        </is>
      </c>
      <c r="K418" t="inlineStr">
        <is>
          <t>English</t>
        </is>
      </c>
      <c r="L418" t="inlineStr">
        <is>
          <t>PY04</t>
        </is>
      </c>
      <c r="N418" t="n">
        <v>64.7</v>
      </c>
      <c r="O418" t="n">
        <v>98.2</v>
      </c>
      <c r="P418" t="inlineStr">
        <is>
          <t>HTN;CANCER;PSYCH</t>
        </is>
      </c>
      <c r="Q418" s="26" t="n">
        <v>45252</v>
      </c>
    </row>
    <row r="419">
      <c r="A419" t="inlineStr">
        <is>
          <t>PT13344</t>
        </is>
      </c>
      <c r="B419" t="inlineStr">
        <is>
          <t>08721199</t>
        </is>
      </c>
      <c r="C419" t="inlineStr">
        <is>
          <t>Aguilar</t>
        </is>
      </c>
      <c r="D419" t="inlineStr">
        <is>
          <t>Wei</t>
        </is>
      </c>
      <c r="E419" t="inlineStr">
        <is>
          <t>M</t>
        </is>
      </c>
      <c r="F419" s="26" t="n">
        <v>18822</v>
      </c>
      <c r="G419" t="inlineStr">
        <is>
          <t>Millbrook</t>
        </is>
      </c>
      <c r="H419" t="inlineStr">
        <is>
          <t>45530</t>
        </is>
      </c>
      <c r="I419" t="inlineStr">
        <is>
          <t>(555) 446-1403</t>
        </is>
      </c>
      <c r="J419" t="inlineStr">
        <is>
          <t>wei.aguilar38@example.com</t>
        </is>
      </c>
      <c r="K419" t="inlineStr">
        <is>
          <t>English</t>
        </is>
      </c>
      <c r="L419" t="inlineStr">
        <is>
          <t>PY01</t>
        </is>
      </c>
      <c r="M419" t="inlineStr">
        <is>
          <t>PRV1125</t>
        </is>
      </c>
      <c r="N419" t="n">
        <v>70.09999999999999</v>
      </c>
      <c r="O419" t="n">
        <v>251.3</v>
      </c>
      <c r="P419" t="inlineStr">
        <is>
          <t>HTN;DM</t>
        </is>
      </c>
      <c r="Q419" s="26" t="n">
        <v>43616</v>
      </c>
    </row>
    <row r="420">
      <c r="A420" t="inlineStr">
        <is>
          <t>PT13352</t>
        </is>
      </c>
      <c r="B420" t="inlineStr">
        <is>
          <t>08189226</t>
        </is>
      </c>
      <c r="C420" t="inlineStr">
        <is>
          <t>Cunningham</t>
        </is>
      </c>
      <c r="D420" t="inlineStr">
        <is>
          <t>Mary</t>
        </is>
      </c>
      <c r="E420" t="inlineStr">
        <is>
          <t>F</t>
        </is>
      </c>
      <c r="F420" s="26" t="n">
        <v>21398</v>
      </c>
      <c r="G420" t="inlineStr">
        <is>
          <t>Bluestone</t>
        </is>
      </c>
      <c r="H420" t="inlineStr">
        <is>
          <t>45501</t>
        </is>
      </c>
      <c r="I420" t="inlineStr">
        <is>
          <t>(555) 226-4331</t>
        </is>
      </c>
      <c r="K420" t="inlineStr">
        <is>
          <t>English</t>
        </is>
      </c>
      <c r="L420" t="inlineStr">
        <is>
          <t>PY01</t>
        </is>
      </c>
      <c r="M420" t="inlineStr">
        <is>
          <t>PRV1135</t>
        </is>
      </c>
      <c r="N420" t="n">
        <v>62.1</v>
      </c>
      <c r="O420" t="n">
        <v>152.1</v>
      </c>
      <c r="P420" t="inlineStr">
        <is>
          <t>HTN;COPD;AFIB;PSYCH</t>
        </is>
      </c>
      <c r="Q420" s="26" t="n">
        <v>44958</v>
      </c>
    </row>
    <row r="421">
      <c r="A421" t="inlineStr">
        <is>
          <t>PT13360</t>
        </is>
      </c>
      <c r="B421" t="inlineStr">
        <is>
          <t>05348663</t>
        </is>
      </c>
      <c r="C421" t="inlineStr">
        <is>
          <t>Robertson</t>
        </is>
      </c>
      <c r="D421" t="inlineStr">
        <is>
          <t>Anna</t>
        </is>
      </c>
      <c r="E421" t="inlineStr">
        <is>
          <t>F</t>
        </is>
      </c>
      <c r="F421" s="26" t="n">
        <v>28683</v>
      </c>
      <c r="G421" t="inlineStr">
        <is>
          <t>Bluestone</t>
        </is>
      </c>
      <c r="H421" t="inlineStr">
        <is>
          <t>45503</t>
        </is>
      </c>
      <c r="I421" t="inlineStr">
        <is>
          <t>(555) 372-6408</t>
        </is>
      </c>
      <c r="J421" t="inlineStr">
        <is>
          <t>anna.robertson26@example.com</t>
        </is>
      </c>
      <c r="K421" t="inlineStr">
        <is>
          <t>English</t>
        </is>
      </c>
      <c r="L421" t="inlineStr">
        <is>
          <t>PY04</t>
        </is>
      </c>
      <c r="N421" t="n">
        <v>69.3</v>
      </c>
      <c r="O421" t="n">
        <v>176.9</v>
      </c>
      <c r="P421" t="inlineStr">
        <is>
          <t>HTN;PSYCH</t>
        </is>
      </c>
      <c r="Q421" s="26" t="n">
        <v>44264</v>
      </c>
    </row>
    <row r="422">
      <c r="A422" t="inlineStr">
        <is>
          <t>PT13368</t>
        </is>
      </c>
      <c r="B422" t="inlineStr">
        <is>
          <t>08212638</t>
        </is>
      </c>
      <c r="C422" t="inlineStr">
        <is>
          <t>Morgan</t>
        </is>
      </c>
      <c r="D422" t="inlineStr">
        <is>
          <t>Alan</t>
        </is>
      </c>
      <c r="E422" t="inlineStr">
        <is>
          <t>M</t>
        </is>
      </c>
      <c r="F422" s="26" t="n">
        <v>27671</v>
      </c>
      <c r="G422" t="inlineStr">
        <is>
          <t>Oak Glen</t>
        </is>
      </c>
      <c r="H422" t="inlineStr">
        <is>
          <t>45730</t>
        </is>
      </c>
      <c r="I422" t="inlineStr">
        <is>
          <t>(555) 369-9655</t>
        </is>
      </c>
      <c r="K422" t="inlineStr">
        <is>
          <t>English</t>
        </is>
      </c>
      <c r="L422" t="inlineStr">
        <is>
          <t>PY07</t>
        </is>
      </c>
      <c r="M422" t="inlineStr">
        <is>
          <t>PRV1127</t>
        </is>
      </c>
      <c r="N422" t="n">
        <v>72.3</v>
      </c>
      <c r="O422" t="n">
        <v>277.1</v>
      </c>
      <c r="Q422" s="26" t="n">
        <v>45408</v>
      </c>
    </row>
    <row r="423">
      <c r="A423" t="inlineStr">
        <is>
          <t>PT13376</t>
        </is>
      </c>
      <c r="B423" t="inlineStr">
        <is>
          <t>05206313</t>
        </is>
      </c>
      <c r="C423" t="inlineStr">
        <is>
          <t>Ramos</t>
        </is>
      </c>
      <c r="D423" t="inlineStr">
        <is>
          <t>Mark</t>
        </is>
      </c>
      <c r="E423" t="inlineStr">
        <is>
          <t>M</t>
        </is>
      </c>
      <c r="F423" s="26" t="n">
        <v>23229</v>
      </c>
      <c r="G423" t="inlineStr">
        <is>
          <t>Bluestone</t>
        </is>
      </c>
      <c r="H423" t="inlineStr">
        <is>
          <t>45501</t>
        </is>
      </c>
      <c r="I423" t="inlineStr">
        <is>
          <t>(555) 480-8570</t>
        </is>
      </c>
      <c r="K423" t="inlineStr">
        <is>
          <t>English</t>
        </is>
      </c>
      <c r="L423" t="inlineStr">
        <is>
          <t>PY03</t>
        </is>
      </c>
      <c r="M423" t="inlineStr">
        <is>
          <t>PRV1127</t>
        </is>
      </c>
      <c r="N423" t="n">
        <v>66.5</v>
      </c>
      <c r="O423" t="n">
        <v>153.1</v>
      </c>
      <c r="P423" t="inlineStr">
        <is>
          <t>PSYCH</t>
        </is>
      </c>
      <c r="Q423" s="26" t="n">
        <v>42980</v>
      </c>
    </row>
    <row r="424">
      <c r="A424" t="inlineStr">
        <is>
          <t>PT13384</t>
        </is>
      </c>
      <c r="B424" t="inlineStr">
        <is>
          <t>00250811</t>
        </is>
      </c>
      <c r="C424" t="inlineStr">
        <is>
          <t>Warren</t>
        </is>
      </c>
      <c r="D424" t="inlineStr">
        <is>
          <t>Albert</t>
        </is>
      </c>
      <c r="E424" t="inlineStr">
        <is>
          <t>M</t>
        </is>
      </c>
      <c r="F424" s="26" t="n">
        <v>13732</v>
      </c>
      <c r="G424" t="inlineStr">
        <is>
          <t>Granite Springs</t>
        </is>
      </c>
      <c r="H424" t="inlineStr">
        <is>
          <t>45750</t>
        </is>
      </c>
      <c r="I424" t="inlineStr">
        <is>
          <t>(555) 875-6809</t>
        </is>
      </c>
      <c r="J424" t="inlineStr">
        <is>
          <t>albert.warren23@example.com</t>
        </is>
      </c>
      <c r="K424" t="inlineStr">
        <is>
          <t>English</t>
        </is>
      </c>
      <c r="L424" t="inlineStr">
        <is>
          <t>PY04</t>
        </is>
      </c>
      <c r="M424" t="inlineStr">
        <is>
          <t>PRV1129</t>
        </is>
      </c>
      <c r="N424" t="n">
        <v>70.3</v>
      </c>
      <c r="O424" t="n">
        <v>221.1</v>
      </c>
      <c r="Q424" s="26" t="n">
        <v>45442</v>
      </c>
    </row>
    <row r="425">
      <c r="A425" t="inlineStr">
        <is>
          <t>PT13392</t>
        </is>
      </c>
      <c r="B425" t="inlineStr">
        <is>
          <t>06966967</t>
        </is>
      </c>
      <c r="C425" t="inlineStr">
        <is>
          <t>Harrison</t>
        </is>
      </c>
      <c r="D425" t="inlineStr">
        <is>
          <t>Matthew</t>
        </is>
      </c>
      <c r="E425" t="inlineStr">
        <is>
          <t>M</t>
        </is>
      </c>
      <c r="F425" s="26" t="n">
        <v>18408</v>
      </c>
      <c r="G425" t="inlineStr">
        <is>
          <t>Bluestone</t>
        </is>
      </c>
      <c r="H425" t="inlineStr">
        <is>
          <t>45502</t>
        </is>
      </c>
      <c r="I425" t="inlineStr">
        <is>
          <t>(555) 730-7185</t>
        </is>
      </c>
      <c r="J425" t="inlineStr">
        <is>
          <t>matthew.harrison55@example.com</t>
        </is>
      </c>
      <c r="K425" t="inlineStr">
        <is>
          <t>English</t>
        </is>
      </c>
      <c r="L425" t="inlineStr">
        <is>
          <t>PY02</t>
        </is>
      </c>
      <c r="M425" t="inlineStr">
        <is>
          <t>PRV1134</t>
        </is>
      </c>
      <c r="N425" t="n">
        <v>70.09999999999999</v>
      </c>
      <c r="O425" t="n">
        <v>176.9</v>
      </c>
      <c r="P425" t="inlineStr">
        <is>
          <t>HTN;COPD</t>
        </is>
      </c>
      <c r="Q425" s="26" t="n">
        <v>44024</v>
      </c>
    </row>
    <row r="426">
      <c r="A426" t="inlineStr">
        <is>
          <t>PT13400</t>
        </is>
      </c>
      <c r="B426" t="inlineStr">
        <is>
          <t>08852022</t>
        </is>
      </c>
      <c r="C426" t="inlineStr">
        <is>
          <t>Kowalski</t>
        </is>
      </c>
      <c r="D426" t="inlineStr">
        <is>
          <t>Rosa</t>
        </is>
      </c>
      <c r="E426" t="inlineStr">
        <is>
          <t>F</t>
        </is>
      </c>
      <c r="F426" s="26" t="n">
        <v>22446</v>
      </c>
      <c r="G426" t="inlineStr">
        <is>
          <t>Bluestone</t>
        </is>
      </c>
      <c r="H426" t="inlineStr">
        <is>
          <t>45501</t>
        </is>
      </c>
      <c r="I426" t="inlineStr">
        <is>
          <t>(555) 415-7883</t>
        </is>
      </c>
      <c r="J426" t="inlineStr">
        <is>
          <t>rosa.kowalski92@example.com</t>
        </is>
      </c>
      <c r="K426" t="inlineStr">
        <is>
          <t>English</t>
        </is>
      </c>
      <c r="L426" t="inlineStr">
        <is>
          <t>PY04</t>
        </is>
      </c>
      <c r="M426" t="inlineStr">
        <is>
          <t>PRV1135</t>
        </is>
      </c>
      <c r="N426" t="n">
        <v>65.59999999999999</v>
      </c>
      <c r="O426" t="n">
        <v>196.4</v>
      </c>
      <c r="P426" t="inlineStr">
        <is>
          <t>AFIB</t>
        </is>
      </c>
      <c r="Q426" s="26" t="n">
        <v>41423</v>
      </c>
    </row>
    <row r="427">
      <c r="A427" t="inlineStr">
        <is>
          <t>PT13408</t>
        </is>
      </c>
      <c r="B427" t="inlineStr">
        <is>
          <t>08370676</t>
        </is>
      </c>
      <c r="C427" t="inlineStr">
        <is>
          <t>Moreno</t>
        </is>
      </c>
      <c r="D427" t="inlineStr">
        <is>
          <t>Sean</t>
        </is>
      </c>
      <c r="E427" t="inlineStr">
        <is>
          <t>M</t>
        </is>
      </c>
      <c r="F427" s="26" t="n">
        <v>33805</v>
      </c>
      <c r="G427" t="inlineStr">
        <is>
          <t>Oak Glen</t>
        </is>
      </c>
      <c r="H427" t="inlineStr">
        <is>
          <t>45730</t>
        </is>
      </c>
      <c r="I427" t="inlineStr">
        <is>
          <t>(555) 417-7432</t>
        </is>
      </c>
      <c r="J427" t="inlineStr">
        <is>
          <t>sean.moreno57@example.com</t>
        </is>
      </c>
      <c r="K427" t="inlineStr">
        <is>
          <t>English</t>
        </is>
      </c>
      <c r="L427" t="inlineStr">
        <is>
          <t>PY04</t>
        </is>
      </c>
      <c r="M427" t="inlineStr">
        <is>
          <t>PRV1139</t>
        </is>
      </c>
      <c r="N427" t="n">
        <v>71.09999999999999</v>
      </c>
      <c r="O427" t="n">
        <v>171.2</v>
      </c>
      <c r="Q427" s="26" t="n">
        <v>45027</v>
      </c>
    </row>
    <row r="428">
      <c r="A428" t="inlineStr">
        <is>
          <t>PT13416</t>
        </is>
      </c>
      <c r="B428" t="inlineStr">
        <is>
          <t>07685461</t>
        </is>
      </c>
      <c r="C428" t="inlineStr">
        <is>
          <t>Davis</t>
        </is>
      </c>
      <c r="D428" t="inlineStr">
        <is>
          <t>Alice</t>
        </is>
      </c>
      <c r="E428" t="inlineStr">
        <is>
          <t>F</t>
        </is>
      </c>
      <c r="F428" s="26" t="n">
        <v>15684</v>
      </c>
      <c r="G428" t="inlineStr">
        <is>
          <t>Bluestone</t>
        </is>
      </c>
      <c r="H428" t="inlineStr">
        <is>
          <t>45502</t>
        </is>
      </c>
      <c r="I428" t="inlineStr">
        <is>
          <t>(555) 729-8325</t>
        </is>
      </c>
      <c r="J428" t="inlineStr">
        <is>
          <t>alice.davis4@example.com</t>
        </is>
      </c>
      <c r="K428" t="inlineStr">
        <is>
          <t>English</t>
        </is>
      </c>
      <c r="L428" t="inlineStr">
        <is>
          <t>PY01</t>
        </is>
      </c>
      <c r="M428" t="inlineStr">
        <is>
          <t>PRV1131</t>
        </is>
      </c>
      <c r="N428" t="n">
        <v>63.6</v>
      </c>
      <c r="O428" t="n">
        <v>184.1</v>
      </c>
      <c r="P428" t="inlineStr">
        <is>
          <t>HTN</t>
        </is>
      </c>
      <c r="Q428" s="26" t="n">
        <v>40669</v>
      </c>
    </row>
    <row r="429">
      <c r="A429" t="inlineStr">
        <is>
          <t>PT13424</t>
        </is>
      </c>
      <c r="B429" t="inlineStr">
        <is>
          <t>07767130</t>
        </is>
      </c>
      <c r="C429" t="inlineStr">
        <is>
          <t>Dixon</t>
        </is>
      </c>
      <c r="D429" t="inlineStr">
        <is>
          <t>Samantha</t>
        </is>
      </c>
      <c r="E429" t="inlineStr">
        <is>
          <t>F</t>
        </is>
      </c>
      <c r="F429" s="26" t="n">
        <v>23440</v>
      </c>
      <c r="G429" t="inlineStr">
        <is>
          <t>Oak Glen</t>
        </is>
      </c>
      <c r="H429" t="inlineStr">
        <is>
          <t>45730</t>
        </is>
      </c>
      <c r="I429" t="inlineStr">
        <is>
          <t>(555) 926-4738</t>
        </is>
      </c>
      <c r="K429" t="inlineStr">
        <is>
          <t>English</t>
        </is>
      </c>
      <c r="L429" t="inlineStr">
        <is>
          <t>PY05</t>
        </is>
      </c>
      <c r="M429" t="inlineStr">
        <is>
          <t>PRV1138</t>
        </is>
      </c>
      <c r="N429" t="n">
        <v>59.6</v>
      </c>
      <c r="O429" t="n">
        <v>177.4</v>
      </c>
      <c r="P429" t="inlineStr">
        <is>
          <t>AFIB</t>
        </is>
      </c>
      <c r="Q429" s="26" t="n">
        <v>40093</v>
      </c>
    </row>
    <row r="430">
      <c r="A430" t="inlineStr">
        <is>
          <t>PT13432</t>
        </is>
      </c>
      <c r="B430" t="inlineStr">
        <is>
          <t>02376749</t>
        </is>
      </c>
      <c r="C430" t="inlineStr">
        <is>
          <t>Peters</t>
        </is>
      </c>
      <c r="D430" t="inlineStr">
        <is>
          <t>Elijah</t>
        </is>
      </c>
      <c r="E430" t="inlineStr">
        <is>
          <t>M</t>
        </is>
      </c>
      <c r="F430" s="26" t="n">
        <v>41727</v>
      </c>
      <c r="G430" t="inlineStr">
        <is>
          <t>Ashby Falls</t>
        </is>
      </c>
      <c r="H430" t="inlineStr">
        <is>
          <t>45610</t>
        </is>
      </c>
      <c r="I430" t="inlineStr">
        <is>
          <t>(555) 639-8365</t>
        </is>
      </c>
      <c r="K430" t="inlineStr">
        <is>
          <t>Spanish</t>
        </is>
      </c>
      <c r="L430" t="inlineStr">
        <is>
          <t>PY03</t>
        </is>
      </c>
      <c r="M430" t="inlineStr">
        <is>
          <t>PRV1108</t>
        </is>
      </c>
      <c r="N430" t="n">
        <v>48.1</v>
      </c>
      <c r="O430" t="n">
        <v>51.7</v>
      </c>
      <c r="Q430" s="26" t="n">
        <v>43611</v>
      </c>
    </row>
    <row r="431">
      <c r="A431" t="inlineStr">
        <is>
          <t>PT13440</t>
        </is>
      </c>
      <c r="B431" t="inlineStr">
        <is>
          <t>03723826</t>
        </is>
      </c>
      <c r="C431" t="inlineStr">
        <is>
          <t>Brown</t>
        </is>
      </c>
      <c r="D431" t="inlineStr">
        <is>
          <t>Angela</t>
        </is>
      </c>
      <c r="E431" t="inlineStr">
        <is>
          <t>F</t>
        </is>
      </c>
      <c r="F431" s="26" t="n">
        <v>18908</v>
      </c>
      <c r="G431" t="inlineStr">
        <is>
          <t>Oak Glen</t>
        </is>
      </c>
      <c r="H431" t="inlineStr">
        <is>
          <t>45730</t>
        </is>
      </c>
      <c r="I431" t="inlineStr">
        <is>
          <t>(555) 536-4855</t>
        </is>
      </c>
      <c r="J431" t="inlineStr">
        <is>
          <t>angela.brown36@example.com</t>
        </is>
      </c>
      <c r="K431" t="inlineStr">
        <is>
          <t>English</t>
        </is>
      </c>
      <c r="L431" t="inlineStr">
        <is>
          <t>PY01</t>
        </is>
      </c>
      <c r="M431" t="inlineStr">
        <is>
          <t>PRV1136</t>
        </is>
      </c>
      <c r="N431" t="n">
        <v>61.2</v>
      </c>
      <c r="O431" t="n">
        <v>150.8</v>
      </c>
      <c r="P431" t="inlineStr">
        <is>
          <t>DM;AFIB</t>
        </is>
      </c>
      <c r="Q431" s="26" t="n">
        <v>41662</v>
      </c>
    </row>
    <row r="432">
      <c r="A432" t="inlineStr">
        <is>
          <t>PT13448</t>
        </is>
      </c>
      <c r="B432" t="inlineStr">
        <is>
          <t>07406679</t>
        </is>
      </c>
      <c r="C432" t="inlineStr">
        <is>
          <t>Baker</t>
        </is>
      </c>
      <c r="D432" t="inlineStr">
        <is>
          <t>Robert</t>
        </is>
      </c>
      <c r="E432" t="inlineStr">
        <is>
          <t>M</t>
        </is>
      </c>
      <c r="F432" s="26" t="n">
        <v>23288</v>
      </c>
      <c r="G432" t="inlineStr">
        <is>
          <t>Millbrook</t>
        </is>
      </c>
      <c r="H432" t="inlineStr">
        <is>
          <t>45530</t>
        </is>
      </c>
      <c r="I432" t="inlineStr">
        <is>
          <t>(555) 303-5406</t>
        </is>
      </c>
      <c r="J432" t="inlineStr">
        <is>
          <t>robert.baker61@example.com</t>
        </is>
      </c>
      <c r="K432" t="inlineStr">
        <is>
          <t>English</t>
        </is>
      </c>
      <c r="L432" t="inlineStr">
        <is>
          <t>PY06</t>
        </is>
      </c>
      <c r="M432" t="inlineStr">
        <is>
          <t>PRV1140</t>
        </is>
      </c>
      <c r="N432" t="n">
        <v>69.90000000000001</v>
      </c>
      <c r="O432" t="n">
        <v>197.6</v>
      </c>
      <c r="Q432" s="26" t="n">
        <v>44459</v>
      </c>
    </row>
    <row r="433">
      <c r="A433" t="inlineStr">
        <is>
          <t>PT13456</t>
        </is>
      </c>
      <c r="B433" t="inlineStr">
        <is>
          <t>07922079</t>
        </is>
      </c>
      <c r="C433" t="inlineStr">
        <is>
          <t>White</t>
        </is>
      </c>
      <c r="D433" t="inlineStr">
        <is>
          <t>Victoria</t>
        </is>
      </c>
      <c r="E433" t="inlineStr">
        <is>
          <t>F</t>
        </is>
      </c>
      <c r="F433" s="26" t="n">
        <v>26036</v>
      </c>
      <c r="G433" t="inlineStr">
        <is>
          <t>Millbrook</t>
        </is>
      </c>
      <c r="H433" t="inlineStr">
        <is>
          <t>45530</t>
        </is>
      </c>
      <c r="I433" t="inlineStr">
        <is>
          <t>(555) 892-3754</t>
        </is>
      </c>
      <c r="K433" t="inlineStr">
        <is>
          <t>English</t>
        </is>
      </c>
      <c r="L433" t="inlineStr">
        <is>
          <t>PY06</t>
        </is>
      </c>
      <c r="M433" t="inlineStr">
        <is>
          <t>PRV1130</t>
        </is>
      </c>
      <c r="N433" t="n">
        <v>61.2</v>
      </c>
      <c r="O433" t="n">
        <v>195.5</v>
      </c>
      <c r="P433" t="inlineStr">
        <is>
          <t>CKD;ASTHMA</t>
        </is>
      </c>
      <c r="Q433" s="26" t="n">
        <v>43758</v>
      </c>
    </row>
    <row r="434">
      <c r="A434" t="inlineStr">
        <is>
          <t>PT13464</t>
        </is>
      </c>
      <c r="B434" t="inlineStr">
        <is>
          <t>07683981</t>
        </is>
      </c>
      <c r="C434" t="inlineStr">
        <is>
          <t>Jordan</t>
        </is>
      </c>
      <c r="D434" t="inlineStr">
        <is>
          <t>Amina</t>
        </is>
      </c>
      <c r="E434" t="inlineStr">
        <is>
          <t>F</t>
        </is>
      </c>
      <c r="F434" s="26" t="n">
        <v>14350</v>
      </c>
      <c r="G434" t="inlineStr">
        <is>
          <t>Bluestone</t>
        </is>
      </c>
      <c r="H434" t="inlineStr">
        <is>
          <t>45503</t>
        </is>
      </c>
      <c r="I434" t="inlineStr">
        <is>
          <t>(555) 844-8268</t>
        </is>
      </c>
      <c r="K434" t="inlineStr">
        <is>
          <t>Vietnamese</t>
        </is>
      </c>
      <c r="L434" t="inlineStr">
        <is>
          <t>PY02</t>
        </is>
      </c>
      <c r="M434" t="inlineStr">
        <is>
          <t>PRV1138</t>
        </is>
      </c>
      <c r="N434" t="n">
        <v>62.2</v>
      </c>
      <c r="O434" t="n">
        <v>156</v>
      </c>
      <c r="P434" t="inlineStr">
        <is>
          <t>HTN;HF</t>
        </is>
      </c>
      <c r="Q434" s="26" t="n">
        <v>43471</v>
      </c>
    </row>
    <row r="435">
      <c r="A435" t="inlineStr">
        <is>
          <t>PT13472</t>
        </is>
      </c>
      <c r="B435" t="inlineStr">
        <is>
          <t>00077399</t>
        </is>
      </c>
      <c r="C435" t="inlineStr">
        <is>
          <t>Griffin</t>
        </is>
      </c>
      <c r="D435" t="inlineStr">
        <is>
          <t>Andrea</t>
        </is>
      </c>
      <c r="E435" t="inlineStr">
        <is>
          <t>F</t>
        </is>
      </c>
      <c r="F435" s="26" t="n">
        <v>42997</v>
      </c>
      <c r="G435" t="inlineStr">
        <is>
          <t>Cedar Ridge</t>
        </is>
      </c>
      <c r="H435" t="inlineStr">
        <is>
          <t>45720</t>
        </is>
      </c>
      <c r="I435" t="inlineStr">
        <is>
          <t>(555) 400-2848</t>
        </is>
      </c>
      <c r="K435" t="inlineStr">
        <is>
          <t>English</t>
        </is>
      </c>
      <c r="L435" t="inlineStr">
        <is>
          <t>PY03</t>
        </is>
      </c>
      <c r="M435" t="inlineStr">
        <is>
          <t>PRV1106</t>
        </is>
      </c>
      <c r="N435" t="n">
        <v>38.4</v>
      </c>
      <c r="O435" t="n">
        <v>43.8</v>
      </c>
      <c r="P435" t="inlineStr">
        <is>
          <t>ASTHMA</t>
        </is>
      </c>
      <c r="Q435" s="26" t="n">
        <v>44378</v>
      </c>
    </row>
    <row r="436">
      <c r="A436" t="inlineStr">
        <is>
          <t>PT13480</t>
        </is>
      </c>
      <c r="B436" t="inlineStr">
        <is>
          <t>00728448</t>
        </is>
      </c>
      <c r="C436" t="inlineStr">
        <is>
          <t>Sanchez</t>
        </is>
      </c>
      <c r="D436" t="inlineStr">
        <is>
          <t>Linda</t>
        </is>
      </c>
      <c r="E436" t="inlineStr">
        <is>
          <t>F</t>
        </is>
      </c>
      <c r="F436" s="26" t="n">
        <v>23060</v>
      </c>
      <c r="G436" t="inlineStr">
        <is>
          <t>Bluestone</t>
        </is>
      </c>
      <c r="H436" t="inlineStr">
        <is>
          <t>45501</t>
        </is>
      </c>
      <c r="I436" t="inlineStr">
        <is>
          <t>(555) 445-5504</t>
        </is>
      </c>
      <c r="J436" t="inlineStr">
        <is>
          <t>linda.sanchez53@example.com</t>
        </is>
      </c>
      <c r="K436" t="inlineStr">
        <is>
          <t>English</t>
        </is>
      </c>
      <c r="L436" t="inlineStr">
        <is>
          <t>PY06</t>
        </is>
      </c>
      <c r="M436" t="inlineStr">
        <is>
          <t>PRV1131</t>
        </is>
      </c>
      <c r="N436" t="n">
        <v>68.8</v>
      </c>
      <c r="O436" t="n">
        <v>169.9</v>
      </c>
      <c r="P436" t="inlineStr">
        <is>
          <t>PSYCH</t>
        </is>
      </c>
      <c r="Q436" s="26" t="n">
        <v>41559</v>
      </c>
    </row>
    <row r="437">
      <c r="A437" t="inlineStr">
        <is>
          <t>PT13488</t>
        </is>
      </c>
      <c r="B437" t="inlineStr">
        <is>
          <t>05493877</t>
        </is>
      </c>
      <c r="C437" t="inlineStr">
        <is>
          <t>Webb</t>
        </is>
      </c>
      <c r="D437" t="inlineStr">
        <is>
          <t>Billy</t>
        </is>
      </c>
      <c r="E437" t="inlineStr">
        <is>
          <t>M</t>
        </is>
      </c>
      <c r="F437" s="26" t="n">
        <v>24886</v>
      </c>
      <c r="G437" t="inlineStr">
        <is>
          <t>Lakeview Heights</t>
        </is>
      </c>
      <c r="H437" t="inlineStr">
        <is>
          <t>45510</t>
        </is>
      </c>
      <c r="I437" t="inlineStr">
        <is>
          <t>(555) 447-9811</t>
        </is>
      </c>
      <c r="J437" t="inlineStr">
        <is>
          <t>billy.webb24@example.com</t>
        </is>
      </c>
      <c r="K437" t="inlineStr">
        <is>
          <t>Spanish</t>
        </is>
      </c>
      <c r="L437" t="inlineStr">
        <is>
          <t>PY06</t>
        </is>
      </c>
      <c r="N437" t="n">
        <v>65.90000000000001</v>
      </c>
      <c r="O437" t="n">
        <v>205.6</v>
      </c>
      <c r="P437" t="inlineStr">
        <is>
          <t>HTN;DM</t>
        </is>
      </c>
      <c r="Q437" s="26" t="n">
        <v>44260</v>
      </c>
    </row>
    <row r="438">
      <c r="A438" t="inlineStr">
        <is>
          <t>PT13496</t>
        </is>
      </c>
      <c r="B438" t="inlineStr">
        <is>
          <t>01648849</t>
        </is>
      </c>
      <c r="C438" t="inlineStr">
        <is>
          <t>Brooks</t>
        </is>
      </c>
      <c r="D438" t="inlineStr">
        <is>
          <t>Heather</t>
        </is>
      </c>
      <c r="E438" t="inlineStr">
        <is>
          <t>F</t>
        </is>
      </c>
      <c r="F438" s="26" t="n">
        <v>42071</v>
      </c>
      <c r="G438" t="inlineStr">
        <is>
          <t>Lakeview Heights</t>
        </is>
      </c>
      <c r="H438" t="inlineStr">
        <is>
          <t>45510</t>
        </is>
      </c>
      <c r="I438" t="inlineStr">
        <is>
          <t>(555) 943-3304</t>
        </is>
      </c>
      <c r="K438" t="inlineStr">
        <is>
          <t>English</t>
        </is>
      </c>
      <c r="L438" t="inlineStr">
        <is>
          <t>PY04</t>
        </is>
      </c>
      <c r="M438" t="inlineStr">
        <is>
          <t>PRV1104</t>
        </is>
      </c>
      <c r="N438" t="n">
        <v>44.7</v>
      </c>
      <c r="O438" t="n">
        <v>55.3</v>
      </c>
      <c r="Q438" s="26" t="n">
        <v>44706</v>
      </c>
    </row>
    <row r="439">
      <c r="A439" t="inlineStr">
        <is>
          <t>PT13504</t>
        </is>
      </c>
      <c r="B439" t="inlineStr">
        <is>
          <t>04350772</t>
        </is>
      </c>
      <c r="C439" t="inlineStr">
        <is>
          <t>Hernandez</t>
        </is>
      </c>
      <c r="D439" t="inlineStr">
        <is>
          <t>Adam</t>
        </is>
      </c>
      <c r="E439" t="inlineStr">
        <is>
          <t>M</t>
        </is>
      </c>
      <c r="F439" s="26" t="n">
        <v>45811</v>
      </c>
      <c r="G439" t="inlineStr">
        <is>
          <t>Bluestone</t>
        </is>
      </c>
      <c r="H439" t="inlineStr">
        <is>
          <t>45501</t>
        </is>
      </c>
      <c r="I439" t="inlineStr">
        <is>
          <t>(555) 676-8427</t>
        </is>
      </c>
      <c r="K439" t="inlineStr">
        <is>
          <t>English</t>
        </is>
      </c>
      <c r="L439" t="inlineStr">
        <is>
          <t>PY05</t>
        </is>
      </c>
      <c r="M439" t="inlineStr">
        <is>
          <t>PRV1106</t>
        </is>
      </c>
      <c r="N439" t="n">
        <v>19</v>
      </c>
      <c r="O439" t="n">
        <v>9.699999999999999</v>
      </c>
      <c r="Q439" s="26" t="n">
        <v>45419</v>
      </c>
    </row>
    <row r="440">
      <c r="A440" t="inlineStr">
        <is>
          <t>PT13512</t>
        </is>
      </c>
      <c r="B440" t="inlineStr">
        <is>
          <t>09772711</t>
        </is>
      </c>
      <c r="C440" t="inlineStr">
        <is>
          <t>Gonzales</t>
        </is>
      </c>
      <c r="D440" t="inlineStr">
        <is>
          <t>Sharon</t>
        </is>
      </c>
      <c r="E440" t="inlineStr">
        <is>
          <t>F</t>
        </is>
      </c>
      <c r="F440" s="26" t="n">
        <v>39406</v>
      </c>
      <c r="G440" t="inlineStr">
        <is>
          <t>Ashby Falls</t>
        </is>
      </c>
      <c r="H440" t="inlineStr">
        <is>
          <t>45610</t>
        </is>
      </c>
      <c r="I440" t="inlineStr">
        <is>
          <t>(555) 569-5036</t>
        </is>
      </c>
      <c r="K440" t="inlineStr">
        <is>
          <t>English</t>
        </is>
      </c>
      <c r="L440" t="inlineStr">
        <is>
          <t>PY06</t>
        </is>
      </c>
      <c r="M440" t="inlineStr">
        <is>
          <t>PRV1130</t>
        </is>
      </c>
      <c r="N440" t="n">
        <v>63.4</v>
      </c>
      <c r="O440" t="n">
        <v>207.4</v>
      </c>
      <c r="Q440" s="26" t="n">
        <v>45266</v>
      </c>
    </row>
    <row r="441">
      <c r="A441" t="inlineStr">
        <is>
          <t>PT13520</t>
        </is>
      </c>
      <c r="B441" t="inlineStr">
        <is>
          <t>03503066</t>
        </is>
      </c>
      <c r="C441" t="inlineStr">
        <is>
          <t>Black</t>
        </is>
      </c>
      <c r="D441" t="inlineStr">
        <is>
          <t>Emily</t>
        </is>
      </c>
      <c r="E441" t="inlineStr">
        <is>
          <t>F</t>
        </is>
      </c>
      <c r="F441" s="26" t="n">
        <v>41128</v>
      </c>
      <c r="G441" t="inlineStr">
        <is>
          <t>Lakeview Heights</t>
        </is>
      </c>
      <c r="H441" t="inlineStr">
        <is>
          <t>45510</t>
        </is>
      </c>
      <c r="I441" t="inlineStr">
        <is>
          <t>(555) 413-7641</t>
        </is>
      </c>
      <c r="K441" t="inlineStr">
        <is>
          <t>English</t>
        </is>
      </c>
      <c r="L441" t="inlineStr">
        <is>
          <t>PY03</t>
        </is>
      </c>
      <c r="M441" t="inlineStr">
        <is>
          <t>PRV1108</t>
        </is>
      </c>
      <c r="N441" t="n">
        <v>64.09999999999999</v>
      </c>
      <c r="O441" t="n">
        <v>130.1</v>
      </c>
      <c r="Q441" s="26" t="n">
        <v>44704</v>
      </c>
    </row>
    <row r="442">
      <c r="A442" t="inlineStr">
        <is>
          <t>PT13528</t>
        </is>
      </c>
      <c r="B442" t="inlineStr">
        <is>
          <t>07498235</t>
        </is>
      </c>
      <c r="C442" t="inlineStr">
        <is>
          <t>Coleman</t>
        </is>
      </c>
      <c r="D442" t="inlineStr">
        <is>
          <t>Philip</t>
        </is>
      </c>
      <c r="E442" t="inlineStr">
        <is>
          <t>M</t>
        </is>
      </c>
      <c r="F442" s="26" t="n">
        <v>35276</v>
      </c>
      <c r="G442" t="inlineStr">
        <is>
          <t>Millbrook</t>
        </is>
      </c>
      <c r="H442" t="inlineStr">
        <is>
          <t>45530</t>
        </is>
      </c>
      <c r="I442" t="inlineStr">
        <is>
          <t>(555) 656-6403</t>
        </is>
      </c>
      <c r="J442" t="inlineStr">
        <is>
          <t>philip.coleman17@example.com</t>
        </is>
      </c>
      <c r="K442" t="inlineStr">
        <is>
          <t>English</t>
        </is>
      </c>
      <c r="L442" t="inlineStr">
        <is>
          <t>PY03</t>
        </is>
      </c>
      <c r="M442" t="inlineStr">
        <is>
          <t>PRV1129</t>
        </is>
      </c>
      <c r="N442" t="n">
        <v>71.8</v>
      </c>
      <c r="O442" t="n">
        <v>213</v>
      </c>
      <c r="Q442" s="26" t="n">
        <v>44227</v>
      </c>
    </row>
    <row r="443">
      <c r="A443" t="inlineStr">
        <is>
          <t>PT13536</t>
        </is>
      </c>
      <c r="B443" t="inlineStr">
        <is>
          <t>00817999</t>
        </is>
      </c>
      <c r="C443" t="inlineStr">
        <is>
          <t>Kim</t>
        </is>
      </c>
      <c r="D443" t="inlineStr">
        <is>
          <t>Brian</t>
        </is>
      </c>
      <c r="E443" t="inlineStr">
        <is>
          <t>M</t>
        </is>
      </c>
      <c r="F443" s="26" t="n">
        <v>19225</v>
      </c>
      <c r="G443" t="inlineStr">
        <is>
          <t>Cedar Ridge</t>
        </is>
      </c>
      <c r="H443" t="inlineStr">
        <is>
          <t>45720</t>
        </is>
      </c>
      <c r="I443" t="inlineStr">
        <is>
          <t>(555) 786-4257</t>
        </is>
      </c>
      <c r="J443" t="inlineStr">
        <is>
          <t>brian.kim24@example.com</t>
        </is>
      </c>
      <c r="K443" t="inlineStr">
        <is>
          <t>English</t>
        </is>
      </c>
      <c r="L443" t="inlineStr">
        <is>
          <t>PY02</t>
        </is>
      </c>
      <c r="M443" t="inlineStr">
        <is>
          <t>PRV1130</t>
        </is>
      </c>
      <c r="N443" t="n">
        <v>68.09999999999999</v>
      </c>
      <c r="O443" t="n">
        <v>171.3</v>
      </c>
      <c r="P443" t="inlineStr">
        <is>
          <t>HTN</t>
        </is>
      </c>
      <c r="Q443" s="26" t="n">
        <v>42385</v>
      </c>
    </row>
    <row r="444">
      <c r="A444" t="inlineStr">
        <is>
          <t>PT13544</t>
        </is>
      </c>
      <c r="B444" t="inlineStr">
        <is>
          <t>09881763</t>
        </is>
      </c>
      <c r="C444" t="inlineStr">
        <is>
          <t>Lee</t>
        </is>
      </c>
      <c r="D444" t="inlineStr">
        <is>
          <t>Madison</t>
        </is>
      </c>
      <c r="E444" t="inlineStr">
        <is>
          <t>F</t>
        </is>
      </c>
      <c r="F444" s="26" t="n">
        <v>34998</v>
      </c>
      <c r="G444" t="inlineStr">
        <is>
          <t>Bluestone</t>
        </is>
      </c>
      <c r="H444" t="inlineStr">
        <is>
          <t>45501</t>
        </is>
      </c>
      <c r="I444" t="inlineStr">
        <is>
          <t>(555) 440-7496</t>
        </is>
      </c>
      <c r="J444" t="inlineStr">
        <is>
          <t>madison.lee96@example.com</t>
        </is>
      </c>
      <c r="K444" t="inlineStr">
        <is>
          <t>English</t>
        </is>
      </c>
      <c r="L444" t="inlineStr">
        <is>
          <t>PY04</t>
        </is>
      </c>
      <c r="M444" t="inlineStr">
        <is>
          <t>PRV1125</t>
        </is>
      </c>
      <c r="N444" t="n">
        <v>63.2</v>
      </c>
      <c r="O444" t="n">
        <v>171.5</v>
      </c>
      <c r="P444" t="inlineStr">
        <is>
          <t>ASTHMA</t>
        </is>
      </c>
      <c r="Q444" s="26" t="n">
        <v>45105</v>
      </c>
    </row>
    <row r="445">
      <c r="A445" t="inlineStr">
        <is>
          <t>PT13552</t>
        </is>
      </c>
      <c r="B445" t="inlineStr">
        <is>
          <t>03840241</t>
        </is>
      </c>
      <c r="C445" t="inlineStr">
        <is>
          <t>Taylor</t>
        </is>
      </c>
      <c r="D445" t="inlineStr">
        <is>
          <t>Christina</t>
        </is>
      </c>
      <c r="E445" t="inlineStr">
        <is>
          <t>F</t>
        </is>
      </c>
      <c r="F445" s="26" t="n">
        <v>11496</v>
      </c>
      <c r="G445" t="inlineStr">
        <is>
          <t>Bluestone</t>
        </is>
      </c>
      <c r="H445" t="inlineStr">
        <is>
          <t>45503</t>
        </is>
      </c>
      <c r="I445" t="inlineStr">
        <is>
          <t>(555) 788-7031</t>
        </is>
      </c>
      <c r="J445" t="inlineStr">
        <is>
          <t>christina.taylor9@example.com</t>
        </is>
      </c>
      <c r="K445" t="inlineStr">
        <is>
          <t>English</t>
        </is>
      </c>
      <c r="L445" t="inlineStr">
        <is>
          <t>PY04</t>
        </is>
      </c>
      <c r="M445" t="inlineStr">
        <is>
          <t>PRV1135</t>
        </is>
      </c>
      <c r="N445" t="n">
        <v>61.6</v>
      </c>
      <c r="O445" t="n">
        <v>240.9</v>
      </c>
      <c r="P445" t="inlineStr">
        <is>
          <t>HTN;DM;COPD;AFIB;OA</t>
        </is>
      </c>
      <c r="Q445" s="26" t="n">
        <v>39456</v>
      </c>
    </row>
    <row r="446">
      <c r="A446" t="inlineStr">
        <is>
          <t>PT13560</t>
        </is>
      </c>
      <c r="B446" t="inlineStr">
        <is>
          <t>07141057</t>
        </is>
      </c>
      <c r="C446" t="inlineStr">
        <is>
          <t>Silva</t>
        </is>
      </c>
      <c r="D446" t="inlineStr">
        <is>
          <t>Kimberly</t>
        </is>
      </c>
      <c r="E446" t="inlineStr">
        <is>
          <t>F</t>
        </is>
      </c>
      <c r="F446" s="26" t="n">
        <v>11838</v>
      </c>
      <c r="G446" t="inlineStr">
        <is>
          <t>Cedar Ridge</t>
        </is>
      </c>
      <c r="H446" t="inlineStr">
        <is>
          <t>45720</t>
        </is>
      </c>
      <c r="I446" t="inlineStr">
        <is>
          <t>(555) 914-4001</t>
        </is>
      </c>
      <c r="K446" t="inlineStr">
        <is>
          <t>English</t>
        </is>
      </c>
      <c r="L446" t="inlineStr">
        <is>
          <t>PY02</t>
        </is>
      </c>
      <c r="M446" t="inlineStr">
        <is>
          <t>PRV1139</t>
        </is>
      </c>
      <c r="N446" t="n">
        <v>64.5</v>
      </c>
      <c r="O446" t="n">
        <v>210.5</v>
      </c>
      <c r="P446" t="inlineStr">
        <is>
          <t>HF</t>
        </is>
      </c>
      <c r="Q446" s="26" t="n">
        <v>43476</v>
      </c>
    </row>
    <row r="447">
      <c r="A447" t="inlineStr">
        <is>
          <t>PT13568</t>
        </is>
      </c>
      <c r="B447" t="inlineStr">
        <is>
          <t>02649593</t>
        </is>
      </c>
      <c r="C447" t="inlineStr">
        <is>
          <t>Anderson</t>
        </is>
      </c>
      <c r="D447" t="inlineStr">
        <is>
          <t>Kathryn</t>
        </is>
      </c>
      <c r="E447" t="inlineStr">
        <is>
          <t>F</t>
        </is>
      </c>
      <c r="F447" s="26" t="n">
        <v>43451</v>
      </c>
      <c r="G447" t="inlineStr">
        <is>
          <t>Pine Hollow</t>
        </is>
      </c>
      <c r="H447" t="inlineStr">
        <is>
          <t>45640</t>
        </is>
      </c>
      <c r="I447" t="inlineStr">
        <is>
          <t>(555) 754-1845</t>
        </is>
      </c>
      <c r="K447" t="inlineStr">
        <is>
          <t>Arabic</t>
        </is>
      </c>
      <c r="L447" t="inlineStr">
        <is>
          <t>PY07</t>
        </is>
      </c>
      <c r="M447" t="inlineStr">
        <is>
          <t>PRV1104</t>
        </is>
      </c>
      <c r="N447" t="n">
        <v>38.3</v>
      </c>
      <c r="O447" t="n">
        <v>40.2</v>
      </c>
      <c r="P447" t="inlineStr">
        <is>
          <t>SEIZURE</t>
        </is>
      </c>
      <c r="Q447" s="26" t="n">
        <v>44613</v>
      </c>
    </row>
    <row r="448">
      <c r="A448" t="inlineStr">
        <is>
          <t>PT13576</t>
        </is>
      </c>
      <c r="B448" t="inlineStr">
        <is>
          <t>07931340</t>
        </is>
      </c>
      <c r="C448" t="inlineStr">
        <is>
          <t>Robinson</t>
        </is>
      </c>
      <c r="D448" t="inlineStr">
        <is>
          <t>Sean</t>
        </is>
      </c>
      <c r="E448" t="inlineStr">
        <is>
          <t>M</t>
        </is>
      </c>
      <c r="F448" s="26" t="n">
        <v>36258</v>
      </c>
      <c r="G448" t="inlineStr">
        <is>
          <t>Bluestone</t>
        </is>
      </c>
      <c r="H448" t="inlineStr">
        <is>
          <t>45503</t>
        </is>
      </c>
      <c r="I448" t="inlineStr">
        <is>
          <t>(555) 420-0795</t>
        </is>
      </c>
      <c r="K448" t="inlineStr">
        <is>
          <t>English</t>
        </is>
      </c>
      <c r="L448" t="inlineStr">
        <is>
          <t>PY05</t>
        </is>
      </c>
      <c r="M448" t="inlineStr">
        <is>
          <t>PRV1127</t>
        </is>
      </c>
      <c r="N448" t="n">
        <v>70.09999999999999</v>
      </c>
      <c r="O448" t="n">
        <v>185.4</v>
      </c>
      <c r="Q448" s="26" t="n">
        <v>43212</v>
      </c>
    </row>
    <row r="449">
      <c r="A449" t="inlineStr">
        <is>
          <t>PT13584</t>
        </is>
      </c>
      <c r="B449" t="inlineStr">
        <is>
          <t>09284486</t>
        </is>
      </c>
      <c r="C449" t="inlineStr">
        <is>
          <t>Price</t>
        </is>
      </c>
      <c r="D449" t="inlineStr">
        <is>
          <t>Isabella</t>
        </is>
      </c>
      <c r="E449" t="inlineStr">
        <is>
          <t>F</t>
        </is>
      </c>
      <c r="F449" s="26" t="n">
        <v>28215</v>
      </c>
      <c r="G449" t="inlineStr">
        <is>
          <t>Ashby Falls</t>
        </is>
      </c>
      <c r="H449" t="inlineStr">
        <is>
          <t>45610</t>
        </is>
      </c>
      <c r="I449" t="inlineStr">
        <is>
          <t>(555) 204-8660</t>
        </is>
      </c>
      <c r="J449" t="inlineStr">
        <is>
          <t>isabella.price19@example.com</t>
        </is>
      </c>
      <c r="K449" t="inlineStr">
        <is>
          <t>English</t>
        </is>
      </c>
      <c r="L449" t="inlineStr">
        <is>
          <t>PY06</t>
        </is>
      </c>
      <c r="M449" t="inlineStr">
        <is>
          <t>PRV1135</t>
        </is>
      </c>
      <c r="N449" t="n">
        <v>63.5</v>
      </c>
      <c r="O449" t="n">
        <v>101.1</v>
      </c>
      <c r="Q449" s="26" t="n">
        <v>44163</v>
      </c>
    </row>
    <row r="450">
      <c r="A450" t="inlineStr">
        <is>
          <t>PT13592</t>
        </is>
      </c>
      <c r="B450" t="inlineStr">
        <is>
          <t>01451371</t>
        </is>
      </c>
      <c r="C450" t="inlineStr">
        <is>
          <t>Reed</t>
        </is>
      </c>
      <c r="D450" t="inlineStr">
        <is>
          <t>Ashley</t>
        </is>
      </c>
      <c r="E450" t="inlineStr">
        <is>
          <t>F</t>
        </is>
      </c>
      <c r="F450" s="26" t="n">
        <v>17530</v>
      </c>
      <c r="G450" t="inlineStr">
        <is>
          <t>Fairhaven</t>
        </is>
      </c>
      <c r="H450" t="inlineStr">
        <is>
          <t>45620</t>
        </is>
      </c>
      <c r="I450" t="inlineStr">
        <is>
          <t>(555) 985-8117</t>
        </is>
      </c>
      <c r="J450" t="inlineStr">
        <is>
          <t>ashley.reed96@example.com</t>
        </is>
      </c>
      <c r="K450" t="inlineStr">
        <is>
          <t>English</t>
        </is>
      </c>
      <c r="L450" t="inlineStr">
        <is>
          <t>PY01</t>
        </is>
      </c>
      <c r="M450" t="inlineStr">
        <is>
          <t>PRV1131</t>
        </is>
      </c>
      <c r="N450" t="n">
        <v>63.9</v>
      </c>
      <c r="O450" t="n">
        <v>138.2</v>
      </c>
      <c r="P450" t="inlineStr">
        <is>
          <t>DM</t>
        </is>
      </c>
      <c r="Q450" s="26" t="n">
        <v>39801</v>
      </c>
    </row>
    <row r="451">
      <c r="A451" t="inlineStr">
        <is>
          <t>PT13600</t>
        </is>
      </c>
      <c r="B451" t="inlineStr">
        <is>
          <t>00550533</t>
        </is>
      </c>
      <c r="C451" t="inlineStr">
        <is>
          <t>Chavez</t>
        </is>
      </c>
      <c r="D451" t="inlineStr">
        <is>
          <t>Ava</t>
        </is>
      </c>
      <c r="E451" t="inlineStr">
        <is>
          <t>F</t>
        </is>
      </c>
      <c r="F451" s="26" t="n">
        <v>18599</v>
      </c>
      <c r="G451" t="inlineStr">
        <is>
          <t>Bluestone</t>
        </is>
      </c>
      <c r="H451" t="inlineStr">
        <is>
          <t>45501</t>
        </is>
      </c>
      <c r="I451" t="inlineStr">
        <is>
          <t>(555) 322-2148</t>
        </is>
      </c>
      <c r="J451" t="inlineStr">
        <is>
          <t>ava.chavez94@example.com</t>
        </is>
      </c>
      <c r="K451" t="inlineStr">
        <is>
          <t>English</t>
        </is>
      </c>
      <c r="L451" t="inlineStr">
        <is>
          <t>PY02</t>
        </is>
      </c>
      <c r="N451" t="n">
        <v>62</v>
      </c>
      <c r="O451" t="n">
        <v>182.4</v>
      </c>
      <c r="P451" t="inlineStr">
        <is>
          <t>DM;CKD</t>
        </is>
      </c>
      <c r="Q451" s="26" t="n">
        <v>44780</v>
      </c>
    </row>
    <row r="452">
      <c r="A452" t="inlineStr">
        <is>
          <t>PT13608</t>
        </is>
      </c>
      <c r="B452" t="inlineStr">
        <is>
          <t>04676598</t>
        </is>
      </c>
      <c r="C452" t="inlineStr">
        <is>
          <t>Willis</t>
        </is>
      </c>
      <c r="D452" t="inlineStr">
        <is>
          <t>Tyler</t>
        </is>
      </c>
      <c r="E452" t="inlineStr">
        <is>
          <t>M</t>
        </is>
      </c>
      <c r="F452" s="26" t="n">
        <v>24063</v>
      </c>
      <c r="G452" t="inlineStr">
        <is>
          <t>Bluestone</t>
        </is>
      </c>
      <c r="H452" t="inlineStr">
        <is>
          <t>45501</t>
        </is>
      </c>
      <c r="I452" t="inlineStr">
        <is>
          <t>(555) 630-9670</t>
        </is>
      </c>
      <c r="K452" t="inlineStr">
        <is>
          <t>English</t>
        </is>
      </c>
      <c r="L452" t="inlineStr">
        <is>
          <t>PY06</t>
        </is>
      </c>
      <c r="M452" t="inlineStr">
        <is>
          <t>PRV1128</t>
        </is>
      </c>
      <c r="N452" t="n">
        <v>70.09999999999999</v>
      </c>
      <c r="O452" t="n">
        <v>241.6</v>
      </c>
      <c r="Q452" s="26" t="n">
        <v>40147</v>
      </c>
    </row>
    <row r="453">
      <c r="A453" t="inlineStr">
        <is>
          <t>PT13616</t>
        </is>
      </c>
      <c r="B453" t="inlineStr">
        <is>
          <t>08435661</t>
        </is>
      </c>
      <c r="C453" t="inlineStr">
        <is>
          <t>Carter</t>
        </is>
      </c>
      <c r="D453" t="inlineStr">
        <is>
          <t>Scott</t>
        </is>
      </c>
      <c r="E453" t="inlineStr">
        <is>
          <t>M</t>
        </is>
      </c>
      <c r="F453" s="26" t="n">
        <v>34899</v>
      </c>
      <c r="G453" t="inlineStr">
        <is>
          <t>Millbrook</t>
        </is>
      </c>
      <c r="H453" t="inlineStr">
        <is>
          <t>45530</t>
        </is>
      </c>
      <c r="I453" t="inlineStr">
        <is>
          <t>(555) 439-9799</t>
        </is>
      </c>
      <c r="K453" t="inlineStr">
        <is>
          <t>English</t>
        </is>
      </c>
      <c r="L453" t="inlineStr">
        <is>
          <t>PY03</t>
        </is>
      </c>
      <c r="M453" t="inlineStr">
        <is>
          <t>PRV1137</t>
        </is>
      </c>
      <c r="N453" t="n">
        <v>70.59999999999999</v>
      </c>
      <c r="O453" t="n">
        <v>279</v>
      </c>
      <c r="Q453" s="26" t="n">
        <v>43570</v>
      </c>
    </row>
    <row r="454">
      <c r="A454" t="inlineStr">
        <is>
          <t>PT13624</t>
        </is>
      </c>
      <c r="B454" t="inlineStr">
        <is>
          <t>01222255</t>
        </is>
      </c>
      <c r="C454" t="inlineStr">
        <is>
          <t>Rice</t>
        </is>
      </c>
      <c r="D454" t="inlineStr">
        <is>
          <t>Omar</t>
        </is>
      </c>
      <c r="E454" t="inlineStr">
        <is>
          <t>M</t>
        </is>
      </c>
      <c r="F454" s="26" t="n">
        <v>35446</v>
      </c>
      <c r="G454" t="inlineStr">
        <is>
          <t>Oak Glen</t>
        </is>
      </c>
      <c r="H454" t="inlineStr">
        <is>
          <t>45730</t>
        </is>
      </c>
      <c r="I454" t="inlineStr">
        <is>
          <t>(555) 335-8050</t>
        </is>
      </c>
      <c r="J454" t="inlineStr">
        <is>
          <t>omar.rice44@example.com</t>
        </is>
      </c>
      <c r="K454" t="inlineStr">
        <is>
          <t>English</t>
        </is>
      </c>
      <c r="L454" t="inlineStr">
        <is>
          <t>PY04</t>
        </is>
      </c>
      <c r="M454" t="inlineStr">
        <is>
          <t>PRV1124</t>
        </is>
      </c>
      <c r="N454" t="n">
        <v>68.59999999999999</v>
      </c>
      <c r="O454" t="n">
        <v>251.3</v>
      </c>
      <c r="P454" t="inlineStr">
        <is>
          <t>SEIZURE</t>
        </is>
      </c>
      <c r="Q454" s="26" t="n">
        <v>40881</v>
      </c>
    </row>
    <row r="455">
      <c r="A455" t="inlineStr">
        <is>
          <t>PT13632</t>
        </is>
      </c>
      <c r="B455" t="inlineStr">
        <is>
          <t>00723214</t>
        </is>
      </c>
      <c r="C455" t="inlineStr">
        <is>
          <t>Murphy</t>
        </is>
      </c>
      <c r="D455" t="inlineStr">
        <is>
          <t>Linh</t>
        </is>
      </c>
      <c r="E455" t="inlineStr">
        <is>
          <t>F</t>
        </is>
      </c>
      <c r="F455" s="26" t="n">
        <v>22096</v>
      </c>
      <c r="G455" t="inlineStr">
        <is>
          <t>Cedar Ridge</t>
        </is>
      </c>
      <c r="H455" t="inlineStr">
        <is>
          <t>45720</t>
        </is>
      </c>
      <c r="I455" t="inlineStr">
        <is>
          <t>(555) 578-3084</t>
        </is>
      </c>
      <c r="J455" t="inlineStr">
        <is>
          <t>linh.murphy79@example.com</t>
        </is>
      </c>
      <c r="K455" t="inlineStr">
        <is>
          <t>English</t>
        </is>
      </c>
      <c r="L455" t="inlineStr">
        <is>
          <t>PY02</t>
        </is>
      </c>
      <c r="M455" t="inlineStr">
        <is>
          <t>PRV1134</t>
        </is>
      </c>
      <c r="N455" t="n">
        <v>64.5</v>
      </c>
      <c r="O455" t="n">
        <v>139.2</v>
      </c>
      <c r="P455" t="inlineStr">
        <is>
          <t>COPD;OA</t>
        </is>
      </c>
      <c r="Q455" s="26" t="n">
        <v>41343</v>
      </c>
    </row>
    <row r="456">
      <c r="A456" t="inlineStr">
        <is>
          <t>PT13640</t>
        </is>
      </c>
      <c r="B456" t="inlineStr">
        <is>
          <t>02977013</t>
        </is>
      </c>
      <c r="C456" t="inlineStr">
        <is>
          <t>Abdi</t>
        </is>
      </c>
      <c r="D456" t="inlineStr">
        <is>
          <t>Adam</t>
        </is>
      </c>
      <c r="E456" t="inlineStr">
        <is>
          <t>M</t>
        </is>
      </c>
      <c r="F456" s="26" t="n">
        <v>38714</v>
      </c>
      <c r="G456" t="inlineStr">
        <is>
          <t>Bluestone</t>
        </is>
      </c>
      <c r="H456" t="inlineStr">
        <is>
          <t>45502</t>
        </is>
      </c>
      <c r="I456" t="inlineStr">
        <is>
          <t>(555) 514-8419</t>
        </is>
      </c>
      <c r="J456" t="inlineStr">
        <is>
          <t>adam.abdi73@example.com</t>
        </is>
      </c>
      <c r="K456" t="inlineStr">
        <is>
          <t>English</t>
        </is>
      </c>
      <c r="L456" t="inlineStr">
        <is>
          <t>PY05</t>
        </is>
      </c>
      <c r="M456" t="inlineStr">
        <is>
          <t>PRV1136</t>
        </is>
      </c>
      <c r="N456" t="n">
        <v>68.3</v>
      </c>
      <c r="O456" t="n">
        <v>165.1</v>
      </c>
      <c r="Q456" s="26" t="n">
        <v>42183</v>
      </c>
    </row>
    <row r="457">
      <c r="A457" t="inlineStr">
        <is>
          <t>PT13648</t>
        </is>
      </c>
      <c r="B457" t="inlineStr">
        <is>
          <t>06128568</t>
        </is>
      </c>
      <c r="C457" t="inlineStr">
        <is>
          <t>Martin</t>
        </is>
      </c>
      <c r="D457" t="inlineStr">
        <is>
          <t>Katherine</t>
        </is>
      </c>
      <c r="E457" t="inlineStr">
        <is>
          <t>F</t>
        </is>
      </c>
      <c r="F457" s="26" t="n">
        <v>16297</v>
      </c>
      <c r="G457" t="inlineStr">
        <is>
          <t>Bluestone</t>
        </is>
      </c>
      <c r="H457" t="inlineStr">
        <is>
          <t>45502</t>
        </is>
      </c>
      <c r="I457" t="inlineStr">
        <is>
          <t>(555) 414-1440</t>
        </is>
      </c>
      <c r="J457" t="inlineStr">
        <is>
          <t>katherine.martin54@example.com</t>
        </is>
      </c>
      <c r="K457" t="inlineStr">
        <is>
          <t>English</t>
        </is>
      </c>
      <c r="L457" t="inlineStr">
        <is>
          <t>PY02</t>
        </is>
      </c>
      <c r="M457" t="inlineStr">
        <is>
          <t>PRV1133</t>
        </is>
      </c>
      <c r="N457" t="n">
        <v>63</v>
      </c>
      <c r="O457" t="n">
        <v>128.1</v>
      </c>
      <c r="P457" t="inlineStr">
        <is>
          <t>HTN;DM;HF;OA</t>
        </is>
      </c>
      <c r="Q457" s="26" t="n">
        <v>41789</v>
      </c>
    </row>
    <row r="458">
      <c r="A458" t="inlineStr">
        <is>
          <t>PT13656</t>
        </is>
      </c>
      <c r="B458" t="inlineStr">
        <is>
          <t>08686972</t>
        </is>
      </c>
      <c r="C458" t="inlineStr">
        <is>
          <t>Vazquez</t>
        </is>
      </c>
      <c r="D458" t="inlineStr">
        <is>
          <t>Donna</t>
        </is>
      </c>
      <c r="E458" t="inlineStr">
        <is>
          <t>F</t>
        </is>
      </c>
      <c r="F458" s="26" t="n">
        <v>23617</v>
      </c>
      <c r="G458" t="inlineStr">
        <is>
          <t>Bluestone</t>
        </is>
      </c>
      <c r="H458" t="inlineStr">
        <is>
          <t>45501</t>
        </is>
      </c>
      <c r="I458" t="inlineStr">
        <is>
          <t>(555) 569-8228</t>
        </is>
      </c>
      <c r="K458" t="inlineStr">
        <is>
          <t>English</t>
        </is>
      </c>
      <c r="L458" t="inlineStr">
        <is>
          <t>PY05</t>
        </is>
      </c>
      <c r="M458" t="inlineStr">
        <is>
          <t>PRV1138</t>
        </is>
      </c>
      <c r="N458" t="n">
        <v>58.9</v>
      </c>
      <c r="O458" t="n">
        <v>186.9</v>
      </c>
      <c r="P458" t="inlineStr">
        <is>
          <t>DM;ASTHMA</t>
        </is>
      </c>
      <c r="Q458" s="26" t="n">
        <v>44373</v>
      </c>
    </row>
    <row r="459">
      <c r="A459" t="inlineStr">
        <is>
          <t>PT13664</t>
        </is>
      </c>
      <c r="B459" t="inlineStr">
        <is>
          <t>01111070</t>
        </is>
      </c>
      <c r="C459" t="inlineStr">
        <is>
          <t>Rice</t>
        </is>
      </c>
      <c r="D459" t="inlineStr">
        <is>
          <t>Wayne</t>
        </is>
      </c>
      <c r="E459" t="inlineStr">
        <is>
          <t>M</t>
        </is>
      </c>
      <c r="F459" s="26" t="n">
        <v>17460</v>
      </c>
      <c r="G459" t="inlineStr">
        <is>
          <t>Bluestone</t>
        </is>
      </c>
      <c r="H459" t="inlineStr">
        <is>
          <t>45502</t>
        </is>
      </c>
      <c r="I459" t="inlineStr">
        <is>
          <t>(555) 483-4494</t>
        </is>
      </c>
      <c r="J459" t="inlineStr">
        <is>
          <t>wayne.rice24@example.com</t>
        </is>
      </c>
      <c r="K459" t="inlineStr">
        <is>
          <t>English</t>
        </is>
      </c>
      <c r="L459" t="inlineStr">
        <is>
          <t>PY02</t>
        </is>
      </c>
      <c r="N459" t="n">
        <v>69.3</v>
      </c>
      <c r="O459" t="n">
        <v>150.7</v>
      </c>
      <c r="P459" t="inlineStr">
        <is>
          <t>HTN;DM</t>
        </is>
      </c>
      <c r="Q459" s="26" t="n">
        <v>41406</v>
      </c>
    </row>
    <row r="460">
      <c r="A460" t="inlineStr">
        <is>
          <t>PT13672</t>
        </is>
      </c>
      <c r="B460" t="inlineStr">
        <is>
          <t>06224529</t>
        </is>
      </c>
      <c r="C460" t="inlineStr">
        <is>
          <t>Myers</t>
        </is>
      </c>
      <c r="D460" t="inlineStr">
        <is>
          <t>Dylan</t>
        </is>
      </c>
      <c r="E460" t="inlineStr">
        <is>
          <t>M</t>
        </is>
      </c>
      <c r="F460" s="26" t="n">
        <v>22273</v>
      </c>
      <c r="G460" t="inlineStr">
        <is>
          <t>Granite Springs</t>
        </is>
      </c>
      <c r="H460" t="inlineStr">
        <is>
          <t>45750</t>
        </is>
      </c>
      <c r="I460" t="inlineStr">
        <is>
          <t>(555) 937-5894</t>
        </is>
      </c>
      <c r="K460" t="inlineStr">
        <is>
          <t>English</t>
        </is>
      </c>
      <c r="L460" t="inlineStr">
        <is>
          <t>PY02</t>
        </is>
      </c>
      <c r="M460" t="inlineStr">
        <is>
          <t>PRV1133</t>
        </is>
      </c>
      <c r="N460" t="n">
        <v>68.3</v>
      </c>
      <c r="O460" t="n">
        <v>176.8</v>
      </c>
      <c r="P460" t="inlineStr">
        <is>
          <t>HTN;ASTHMA;CANCER</t>
        </is>
      </c>
      <c r="Q460" s="26" t="n">
        <v>43069</v>
      </c>
    </row>
    <row r="461">
      <c r="A461" t="inlineStr">
        <is>
          <t>PT13680</t>
        </is>
      </c>
      <c r="B461" t="inlineStr">
        <is>
          <t>05506666</t>
        </is>
      </c>
      <c r="C461" t="inlineStr">
        <is>
          <t>Robinson</t>
        </is>
      </c>
      <c r="D461" t="inlineStr">
        <is>
          <t>Doris</t>
        </is>
      </c>
      <c r="E461" t="inlineStr">
        <is>
          <t>F</t>
        </is>
      </c>
      <c r="F461" s="26" t="n">
        <v>36338</v>
      </c>
      <c r="G461" t="inlineStr">
        <is>
          <t>Riverbend</t>
        </is>
      </c>
      <c r="H461" t="inlineStr">
        <is>
          <t>45545</t>
        </is>
      </c>
      <c r="I461" t="inlineStr">
        <is>
          <t>(555) 562-1700</t>
        </is>
      </c>
      <c r="J461" t="inlineStr">
        <is>
          <t>doris.robinson85@example.com</t>
        </is>
      </c>
      <c r="K461" t="inlineStr">
        <is>
          <t>English</t>
        </is>
      </c>
      <c r="L461" t="inlineStr">
        <is>
          <t>PY05</t>
        </is>
      </c>
      <c r="M461" t="inlineStr">
        <is>
          <t>PRV1134</t>
        </is>
      </c>
      <c r="N461" t="n">
        <v>67.3</v>
      </c>
      <c r="O461" t="n">
        <v>168.7</v>
      </c>
      <c r="P461" t="inlineStr">
        <is>
          <t>PSYCH</t>
        </is>
      </c>
      <c r="Q461" s="26" t="n">
        <v>43138</v>
      </c>
    </row>
    <row r="462">
      <c r="A462" t="inlineStr">
        <is>
          <t>PT13688</t>
        </is>
      </c>
      <c r="B462" t="inlineStr">
        <is>
          <t>08384268</t>
        </is>
      </c>
      <c r="C462" t="inlineStr">
        <is>
          <t>Webb</t>
        </is>
      </c>
      <c r="D462" t="inlineStr">
        <is>
          <t>Diana</t>
        </is>
      </c>
      <c r="E462" t="inlineStr">
        <is>
          <t>F</t>
        </is>
      </c>
      <c r="F462" s="26" t="n">
        <v>21763</v>
      </c>
      <c r="G462" t="inlineStr">
        <is>
          <t>Bluestone</t>
        </is>
      </c>
      <c r="H462" t="inlineStr">
        <is>
          <t>45501</t>
        </is>
      </c>
      <c r="I462" t="inlineStr">
        <is>
          <t>(555) 249-5294</t>
        </is>
      </c>
      <c r="J462" t="inlineStr">
        <is>
          <t>diana.webb36@example.com</t>
        </is>
      </c>
      <c r="K462" t="inlineStr">
        <is>
          <t>Spanish</t>
        </is>
      </c>
      <c r="L462" t="inlineStr">
        <is>
          <t>PY01</t>
        </is>
      </c>
      <c r="M462" t="inlineStr">
        <is>
          <t>PRV1137</t>
        </is>
      </c>
      <c r="N462" t="n">
        <v>66.3</v>
      </c>
      <c r="O462" t="n">
        <v>192.6</v>
      </c>
      <c r="P462" t="inlineStr">
        <is>
          <t>AFIB</t>
        </is>
      </c>
      <c r="Q462" s="26" t="n">
        <v>44910</v>
      </c>
    </row>
    <row r="463">
      <c r="A463" t="inlineStr">
        <is>
          <t>PT13696</t>
        </is>
      </c>
      <c r="B463" t="inlineStr">
        <is>
          <t>06114900</t>
        </is>
      </c>
      <c r="C463" t="inlineStr">
        <is>
          <t>Nichols</t>
        </is>
      </c>
      <c r="D463" t="inlineStr">
        <is>
          <t>Doris</t>
        </is>
      </c>
      <c r="E463" t="inlineStr">
        <is>
          <t>F</t>
        </is>
      </c>
      <c r="F463" s="26" t="n">
        <v>32794</v>
      </c>
      <c r="G463" t="inlineStr">
        <is>
          <t>Cedar Ridge</t>
        </is>
      </c>
      <c r="H463" t="inlineStr">
        <is>
          <t>45720</t>
        </is>
      </c>
      <c r="I463" t="inlineStr">
        <is>
          <t>(555) 768-4920</t>
        </is>
      </c>
      <c r="J463" t="inlineStr">
        <is>
          <t>doris.nichols7@example.com</t>
        </is>
      </c>
      <c r="K463" t="inlineStr">
        <is>
          <t>English</t>
        </is>
      </c>
      <c r="L463" t="inlineStr">
        <is>
          <t>PY05</t>
        </is>
      </c>
      <c r="M463" t="inlineStr">
        <is>
          <t>PRV1130</t>
        </is>
      </c>
      <c r="N463" t="n">
        <v>63.1</v>
      </c>
      <c r="O463" t="n">
        <v>199.2</v>
      </c>
      <c r="P463" t="inlineStr">
        <is>
          <t>DM</t>
        </is>
      </c>
      <c r="Q463" s="26" t="n">
        <v>39862</v>
      </c>
    </row>
    <row r="464">
      <c r="A464" t="inlineStr">
        <is>
          <t>PT13704</t>
        </is>
      </c>
      <c r="B464" t="inlineStr">
        <is>
          <t>09521556</t>
        </is>
      </c>
      <c r="C464" t="inlineStr">
        <is>
          <t>Bennett</t>
        </is>
      </c>
      <c r="D464" t="inlineStr">
        <is>
          <t>Jean</t>
        </is>
      </c>
      <c r="E464" t="inlineStr">
        <is>
          <t>F</t>
        </is>
      </c>
      <c r="F464" s="26" t="n">
        <v>20728</v>
      </c>
      <c r="G464" t="inlineStr">
        <is>
          <t>Bluestone</t>
        </is>
      </c>
      <c r="H464" t="inlineStr">
        <is>
          <t>45501</t>
        </is>
      </c>
      <c r="I464" t="inlineStr">
        <is>
          <t>(555) 537-1001</t>
        </is>
      </c>
      <c r="J464" t="inlineStr">
        <is>
          <t>jean.bennett92@example.com</t>
        </is>
      </c>
      <c r="K464" t="inlineStr">
        <is>
          <t>Somali</t>
        </is>
      </c>
      <c r="L464" t="inlineStr">
        <is>
          <t>PY01</t>
        </is>
      </c>
      <c r="M464" t="inlineStr">
        <is>
          <t>PRV1140</t>
        </is>
      </c>
      <c r="N464" t="n">
        <v>66.3</v>
      </c>
      <c r="O464" t="n">
        <v>214.6</v>
      </c>
      <c r="Q464" s="26" t="n">
        <v>44191</v>
      </c>
    </row>
    <row r="465">
      <c r="A465" t="inlineStr">
        <is>
          <t>PT13712</t>
        </is>
      </c>
      <c r="B465" t="inlineStr">
        <is>
          <t>09168291</t>
        </is>
      </c>
      <c r="C465" t="inlineStr">
        <is>
          <t>Berry</t>
        </is>
      </c>
      <c r="D465" t="inlineStr">
        <is>
          <t>Cynthia</t>
        </is>
      </c>
      <c r="E465" t="inlineStr">
        <is>
          <t>F</t>
        </is>
      </c>
      <c r="F465" s="26" t="n">
        <v>40703</v>
      </c>
      <c r="G465" t="inlineStr">
        <is>
          <t>Millbrook</t>
        </is>
      </c>
      <c r="H465" t="inlineStr">
        <is>
          <t>45530</t>
        </is>
      </c>
      <c r="I465" t="inlineStr">
        <is>
          <t>(555) 240-3367</t>
        </is>
      </c>
      <c r="K465" t="inlineStr">
        <is>
          <t>Spanish</t>
        </is>
      </c>
      <c r="L465" t="inlineStr">
        <is>
          <t>PY04</t>
        </is>
      </c>
      <c r="M465" t="inlineStr">
        <is>
          <t>PRV1106</t>
        </is>
      </c>
      <c r="N465" t="n">
        <v>56.6</v>
      </c>
      <c r="O465" t="n">
        <v>101.7</v>
      </c>
      <c r="Q465" s="26" t="n">
        <v>44532</v>
      </c>
    </row>
    <row r="466">
      <c r="A466" t="inlineStr">
        <is>
          <t>PT13720</t>
        </is>
      </c>
      <c r="B466" t="inlineStr">
        <is>
          <t>07931976</t>
        </is>
      </c>
      <c r="C466" t="inlineStr">
        <is>
          <t>Fisher</t>
        </is>
      </c>
      <c r="D466" t="inlineStr">
        <is>
          <t>Douglas</t>
        </is>
      </c>
      <c r="E466" t="inlineStr">
        <is>
          <t>M</t>
        </is>
      </c>
      <c r="F466" s="26" t="n">
        <v>20512</v>
      </c>
      <c r="G466" t="inlineStr">
        <is>
          <t>Bluestone</t>
        </is>
      </c>
      <c r="H466" t="inlineStr">
        <is>
          <t>45501</t>
        </is>
      </c>
      <c r="I466" t="inlineStr">
        <is>
          <t>(555) 278-5928</t>
        </is>
      </c>
      <c r="K466" t="inlineStr">
        <is>
          <t>English</t>
        </is>
      </c>
      <c r="L466" t="inlineStr">
        <is>
          <t>PY01</t>
        </is>
      </c>
      <c r="M466" t="inlineStr">
        <is>
          <t>PRV1136</t>
        </is>
      </c>
      <c r="N466" t="n">
        <v>62.4</v>
      </c>
      <c r="O466" t="n">
        <v>191.5</v>
      </c>
      <c r="Q466" s="26" t="n">
        <v>45129</v>
      </c>
    </row>
    <row r="467">
      <c r="A467" t="inlineStr">
        <is>
          <t>PT13728</t>
        </is>
      </c>
      <c r="B467" t="inlineStr">
        <is>
          <t>06479761</t>
        </is>
      </c>
      <c r="C467" t="inlineStr">
        <is>
          <t>Alvarado</t>
        </is>
      </c>
      <c r="D467" t="inlineStr">
        <is>
          <t>Camila</t>
        </is>
      </c>
      <c r="E467" t="inlineStr">
        <is>
          <t>F</t>
        </is>
      </c>
      <c r="F467" s="26" t="n">
        <v>27144</v>
      </c>
      <c r="G467" t="inlineStr">
        <is>
          <t>Bluestone</t>
        </is>
      </c>
      <c r="H467" t="inlineStr">
        <is>
          <t>45503</t>
        </is>
      </c>
      <c r="I467" t="inlineStr">
        <is>
          <t>(555) 295-7767</t>
        </is>
      </c>
      <c r="J467" t="inlineStr">
        <is>
          <t>camila.alvarado40@example.com</t>
        </is>
      </c>
      <c r="K467" t="inlineStr">
        <is>
          <t>English</t>
        </is>
      </c>
      <c r="L467" t="inlineStr">
        <is>
          <t>PY06</t>
        </is>
      </c>
      <c r="M467" t="inlineStr">
        <is>
          <t>PRV1136</t>
        </is>
      </c>
      <c r="N467" t="n">
        <v>64</v>
      </c>
      <c r="O467" t="n">
        <v>208.9</v>
      </c>
      <c r="Q467" s="26" t="n">
        <v>44627</v>
      </c>
    </row>
    <row r="468">
      <c r="A468" t="inlineStr">
        <is>
          <t>PT13736</t>
        </is>
      </c>
      <c r="B468" t="inlineStr">
        <is>
          <t>00130438</t>
        </is>
      </c>
      <c r="C468" t="inlineStr">
        <is>
          <t>Spencer</t>
        </is>
      </c>
      <c r="D468" t="inlineStr">
        <is>
          <t>Lisa</t>
        </is>
      </c>
      <c r="E468" t="inlineStr">
        <is>
          <t>F</t>
        </is>
      </c>
      <c r="F468" s="26" t="n">
        <v>34003</v>
      </c>
      <c r="G468" t="inlineStr">
        <is>
          <t>Bluestone</t>
        </is>
      </c>
      <c r="H468" t="inlineStr">
        <is>
          <t>45503</t>
        </is>
      </c>
      <c r="I468" t="inlineStr">
        <is>
          <t>(555) 878-8554</t>
        </is>
      </c>
      <c r="J468" t="inlineStr">
        <is>
          <t>lisa.spencer2@example.com</t>
        </is>
      </c>
      <c r="K468" t="inlineStr">
        <is>
          <t>English</t>
        </is>
      </c>
      <c r="L468" t="inlineStr">
        <is>
          <t>PY05</t>
        </is>
      </c>
      <c r="M468" t="inlineStr">
        <is>
          <t>PRV1126</t>
        </is>
      </c>
      <c r="N468" t="n">
        <v>66.2</v>
      </c>
      <c r="O468" t="n">
        <v>188.7</v>
      </c>
      <c r="Q468" s="26" t="n">
        <v>39943</v>
      </c>
    </row>
    <row r="469">
      <c r="A469" t="inlineStr">
        <is>
          <t>PT13744</t>
        </is>
      </c>
      <c r="B469" t="inlineStr">
        <is>
          <t>07783551</t>
        </is>
      </c>
      <c r="C469" t="inlineStr">
        <is>
          <t>Campbell</t>
        </is>
      </c>
      <c r="D469" t="inlineStr">
        <is>
          <t>Beverly</t>
        </is>
      </c>
      <c r="E469" t="inlineStr">
        <is>
          <t>F</t>
        </is>
      </c>
      <c r="F469" s="26" t="n">
        <v>20404</v>
      </c>
      <c r="G469" t="inlineStr">
        <is>
          <t>Bluestone</t>
        </is>
      </c>
      <c r="H469" t="inlineStr">
        <is>
          <t>45501</t>
        </is>
      </c>
      <c r="I469" t="inlineStr">
        <is>
          <t>(555) 411-3950</t>
        </is>
      </c>
      <c r="J469" t="inlineStr">
        <is>
          <t>beverly.campbell83@example.com</t>
        </is>
      </c>
      <c r="K469" t="inlineStr">
        <is>
          <t>English</t>
        </is>
      </c>
      <c r="L469" t="inlineStr">
        <is>
          <t>PY01</t>
        </is>
      </c>
      <c r="M469" t="inlineStr">
        <is>
          <t>PRV1133</t>
        </is>
      </c>
      <c r="N469" t="n">
        <v>64.40000000000001</v>
      </c>
      <c r="O469" t="n">
        <v>158.3</v>
      </c>
      <c r="P469" t="inlineStr">
        <is>
          <t>HTN;CKD;OA</t>
        </is>
      </c>
      <c r="Q469" s="26" t="n">
        <v>43705</v>
      </c>
    </row>
    <row r="470">
      <c r="A470" t="inlineStr">
        <is>
          <t>PT13752</t>
        </is>
      </c>
      <c r="B470" t="inlineStr">
        <is>
          <t>07817686</t>
        </is>
      </c>
      <c r="C470" t="inlineStr">
        <is>
          <t>Morgan</t>
        </is>
      </c>
      <c r="D470" t="inlineStr">
        <is>
          <t>Donna</t>
        </is>
      </c>
      <c r="E470" t="inlineStr">
        <is>
          <t>F</t>
        </is>
      </c>
      <c r="F470" s="26" t="n">
        <v>43492</v>
      </c>
      <c r="G470" t="inlineStr">
        <is>
          <t>Riverbend</t>
        </is>
      </c>
      <c r="H470" t="inlineStr">
        <is>
          <t>45545</t>
        </is>
      </c>
      <c r="I470" t="inlineStr">
        <is>
          <t>(555) 753-2142</t>
        </is>
      </c>
      <c r="K470" t="inlineStr">
        <is>
          <t>Somali</t>
        </is>
      </c>
      <c r="L470" t="inlineStr">
        <is>
          <t>PY03</t>
        </is>
      </c>
      <c r="M470" t="inlineStr">
        <is>
          <t>PRV1107</t>
        </is>
      </c>
      <c r="N470" t="n">
        <v>36.8</v>
      </c>
      <c r="O470" t="n">
        <v>35.6</v>
      </c>
      <c r="Q470" s="26" t="n">
        <v>44210</v>
      </c>
    </row>
    <row r="471">
      <c r="A471" t="inlineStr">
        <is>
          <t>PT13760</t>
        </is>
      </c>
      <c r="B471" t="inlineStr">
        <is>
          <t>03487997</t>
        </is>
      </c>
      <c r="C471" t="inlineStr">
        <is>
          <t>Jones</t>
        </is>
      </c>
      <c r="D471" t="inlineStr">
        <is>
          <t>Ethan</t>
        </is>
      </c>
      <c r="E471" t="inlineStr">
        <is>
          <t>M</t>
        </is>
      </c>
      <c r="F471" s="26" t="n">
        <v>25787</v>
      </c>
      <c r="G471" t="inlineStr">
        <is>
          <t>Oak Glen</t>
        </is>
      </c>
      <c r="H471" t="inlineStr">
        <is>
          <t>45730</t>
        </is>
      </c>
      <c r="I471" t="inlineStr">
        <is>
          <t>(555) 489-8865</t>
        </is>
      </c>
      <c r="J471" t="inlineStr">
        <is>
          <t>ethan.jones15@example.com</t>
        </is>
      </c>
      <c r="K471" t="inlineStr">
        <is>
          <t>English</t>
        </is>
      </c>
      <c r="L471" t="inlineStr">
        <is>
          <t>PY05</t>
        </is>
      </c>
      <c r="M471" t="inlineStr">
        <is>
          <t>PRV1125</t>
        </is>
      </c>
      <c r="N471" t="n">
        <v>74.09999999999999</v>
      </c>
      <c r="O471" t="n">
        <v>154.2</v>
      </c>
      <c r="P471" t="inlineStr">
        <is>
          <t>CKD</t>
        </is>
      </c>
      <c r="Q471" s="26" t="n">
        <v>39620</v>
      </c>
    </row>
    <row r="472">
      <c r="A472" t="inlineStr">
        <is>
          <t>PT13768</t>
        </is>
      </c>
      <c r="B472" t="inlineStr">
        <is>
          <t>07274384</t>
        </is>
      </c>
      <c r="C472" t="inlineStr">
        <is>
          <t>Kowalski</t>
        </is>
      </c>
      <c r="D472" t="inlineStr">
        <is>
          <t>Joe</t>
        </is>
      </c>
      <c r="E472" t="inlineStr">
        <is>
          <t>M</t>
        </is>
      </c>
      <c r="F472" s="26" t="n">
        <v>23063</v>
      </c>
      <c r="G472" t="inlineStr">
        <is>
          <t>Granite Springs</t>
        </is>
      </c>
      <c r="H472" t="inlineStr">
        <is>
          <t>45750</t>
        </is>
      </c>
      <c r="I472" t="inlineStr">
        <is>
          <t>(555) 824-8386</t>
        </is>
      </c>
      <c r="J472" t="inlineStr">
        <is>
          <t>joe.kowalski21@example.com</t>
        </is>
      </c>
      <c r="K472" t="inlineStr">
        <is>
          <t>English</t>
        </is>
      </c>
      <c r="L472" t="inlineStr">
        <is>
          <t>PY03</t>
        </is>
      </c>
      <c r="M472" t="inlineStr">
        <is>
          <t>PRV1131</t>
        </is>
      </c>
      <c r="N472" t="n">
        <v>69.59999999999999</v>
      </c>
      <c r="O472" t="n">
        <v>171.3</v>
      </c>
      <c r="P472" t="inlineStr">
        <is>
          <t>HTN;CANCER</t>
        </is>
      </c>
      <c r="Q472" s="26" t="n">
        <v>44383</v>
      </c>
    </row>
    <row r="473">
      <c r="A473" t="inlineStr">
        <is>
          <t>PT13776</t>
        </is>
      </c>
      <c r="B473" t="inlineStr">
        <is>
          <t>02299698</t>
        </is>
      </c>
      <c r="C473" t="inlineStr">
        <is>
          <t>Morris</t>
        </is>
      </c>
      <c r="D473" t="inlineStr">
        <is>
          <t>Lisa</t>
        </is>
      </c>
      <c r="E473" t="inlineStr">
        <is>
          <t>F</t>
        </is>
      </c>
      <c r="F473" s="26" t="n">
        <v>35470</v>
      </c>
      <c r="G473" t="inlineStr">
        <is>
          <t>Bluestone</t>
        </is>
      </c>
      <c r="H473" t="inlineStr">
        <is>
          <t>45501</t>
        </is>
      </c>
      <c r="I473" t="inlineStr">
        <is>
          <t>(555) 949-0290</t>
        </is>
      </c>
      <c r="J473" t="inlineStr">
        <is>
          <t>lisa.morris81@example.com</t>
        </is>
      </c>
      <c r="K473" t="inlineStr">
        <is>
          <t>English</t>
        </is>
      </c>
      <c r="L473" t="inlineStr">
        <is>
          <t>PY03</t>
        </is>
      </c>
      <c r="M473" t="inlineStr">
        <is>
          <t>PRV1127</t>
        </is>
      </c>
      <c r="N473" t="n">
        <v>67.5</v>
      </c>
      <c r="O473" t="n">
        <v>174.5</v>
      </c>
      <c r="Q473" s="26" t="n">
        <v>41041</v>
      </c>
    </row>
    <row r="474">
      <c r="A474" t="inlineStr">
        <is>
          <t>PT13784</t>
        </is>
      </c>
      <c r="B474" t="inlineStr">
        <is>
          <t>08555513</t>
        </is>
      </c>
      <c r="C474" t="inlineStr">
        <is>
          <t>Abdi</t>
        </is>
      </c>
      <c r="D474" t="inlineStr">
        <is>
          <t>Joshua</t>
        </is>
      </c>
      <c r="E474" t="inlineStr">
        <is>
          <t>M</t>
        </is>
      </c>
      <c r="F474" s="26" t="n">
        <v>21408</v>
      </c>
      <c r="G474" t="inlineStr">
        <is>
          <t>Fairhaven</t>
        </is>
      </c>
      <c r="H474" t="inlineStr">
        <is>
          <t>45620</t>
        </is>
      </c>
      <c r="I474" t="inlineStr">
        <is>
          <t>(555) 668-2543</t>
        </is>
      </c>
      <c r="J474" t="inlineStr">
        <is>
          <t>joshua.abdi78@example.com</t>
        </is>
      </c>
      <c r="K474" t="inlineStr">
        <is>
          <t>English</t>
        </is>
      </c>
      <c r="L474" t="inlineStr">
        <is>
          <t>PY01</t>
        </is>
      </c>
      <c r="M474" t="inlineStr">
        <is>
          <t>PRV1138</t>
        </is>
      </c>
      <c r="N474" t="n">
        <v>73.90000000000001</v>
      </c>
      <c r="O474" t="n">
        <v>319.2</v>
      </c>
      <c r="P474" t="inlineStr">
        <is>
          <t>HTN;DM</t>
        </is>
      </c>
      <c r="Q474" s="26" t="n">
        <v>45216</v>
      </c>
    </row>
    <row r="475">
      <c r="A475" t="inlineStr">
        <is>
          <t>PT13792</t>
        </is>
      </c>
      <c r="B475" t="inlineStr">
        <is>
          <t>09589624</t>
        </is>
      </c>
      <c r="C475" t="inlineStr">
        <is>
          <t>Cole</t>
        </is>
      </c>
      <c r="D475" t="inlineStr">
        <is>
          <t>Roy</t>
        </is>
      </c>
      <c r="E475" t="inlineStr">
        <is>
          <t>M</t>
        </is>
      </c>
      <c r="F475" s="26" t="n">
        <v>19352</v>
      </c>
      <c r="G475" t="inlineStr">
        <is>
          <t>Bluestone</t>
        </is>
      </c>
      <c r="H475" t="inlineStr">
        <is>
          <t>45502</t>
        </is>
      </c>
      <c r="I475" t="inlineStr">
        <is>
          <t>(555) 347-6799</t>
        </is>
      </c>
      <c r="J475" t="inlineStr">
        <is>
          <t>roy.cole28@example.com</t>
        </is>
      </c>
      <c r="K475" t="inlineStr">
        <is>
          <t>English</t>
        </is>
      </c>
      <c r="L475" t="inlineStr">
        <is>
          <t>PY01</t>
        </is>
      </c>
      <c r="M475" t="inlineStr">
        <is>
          <t>PRV1128</t>
        </is>
      </c>
      <c r="N475" t="n">
        <v>68.8</v>
      </c>
      <c r="O475" t="n">
        <v>277.9</v>
      </c>
      <c r="P475" t="inlineStr">
        <is>
          <t>DM;PSYCH</t>
        </is>
      </c>
      <c r="Q475" s="26" t="n">
        <v>44695</v>
      </c>
    </row>
    <row r="476">
      <c r="A476" t="inlineStr">
        <is>
          <t>PT13800</t>
        </is>
      </c>
      <c r="B476" t="inlineStr">
        <is>
          <t>07686930</t>
        </is>
      </c>
      <c r="C476" t="inlineStr">
        <is>
          <t>Ryan</t>
        </is>
      </c>
      <c r="D476" t="inlineStr">
        <is>
          <t>Marie</t>
        </is>
      </c>
      <c r="E476" t="inlineStr">
        <is>
          <t>F</t>
        </is>
      </c>
      <c r="F476" s="26" t="n">
        <v>20013</v>
      </c>
      <c r="G476" t="inlineStr">
        <is>
          <t>Bluestone</t>
        </is>
      </c>
      <c r="H476" t="inlineStr">
        <is>
          <t>45501</t>
        </is>
      </c>
      <c r="I476" t="inlineStr">
        <is>
          <t>(555) 735-5039</t>
        </is>
      </c>
      <c r="K476" t="inlineStr">
        <is>
          <t>English</t>
        </is>
      </c>
      <c r="L476" t="inlineStr">
        <is>
          <t>PY02</t>
        </is>
      </c>
      <c r="M476" t="inlineStr">
        <is>
          <t>PRV1126</t>
        </is>
      </c>
      <c r="N476" t="n">
        <v>64.40000000000001</v>
      </c>
      <c r="O476" t="n">
        <v>174.8</v>
      </c>
      <c r="P476" t="inlineStr">
        <is>
          <t>DM;CKD</t>
        </is>
      </c>
      <c r="Q476" s="26" t="n">
        <v>39521</v>
      </c>
    </row>
    <row r="477">
      <c r="A477" t="inlineStr">
        <is>
          <t>PT13808</t>
        </is>
      </c>
      <c r="B477" t="inlineStr">
        <is>
          <t>03815530</t>
        </is>
      </c>
      <c r="C477" t="inlineStr">
        <is>
          <t>Ryan</t>
        </is>
      </c>
      <c r="D477" t="inlineStr">
        <is>
          <t>Susan</t>
        </is>
      </c>
      <c r="E477" t="inlineStr">
        <is>
          <t>F</t>
        </is>
      </c>
      <c r="F477" s="26" t="n">
        <v>17842</v>
      </c>
      <c r="G477" t="inlineStr">
        <is>
          <t>Bluestone</t>
        </is>
      </c>
      <c r="H477" t="inlineStr">
        <is>
          <t>45501</t>
        </is>
      </c>
      <c r="I477" t="inlineStr">
        <is>
          <t>(555) 714-3981</t>
        </is>
      </c>
      <c r="K477" t="inlineStr">
        <is>
          <t>English</t>
        </is>
      </c>
      <c r="L477" t="inlineStr">
        <is>
          <t>PY01</t>
        </is>
      </c>
      <c r="M477" t="inlineStr">
        <is>
          <t>PRV1132</t>
        </is>
      </c>
      <c r="N477" t="n">
        <v>63.1</v>
      </c>
      <c r="O477" t="n">
        <v>135.3</v>
      </c>
      <c r="P477" t="inlineStr">
        <is>
          <t>HTN</t>
        </is>
      </c>
      <c r="Q477" s="26" t="n">
        <v>40245</v>
      </c>
    </row>
    <row r="478">
      <c r="A478" t="inlineStr">
        <is>
          <t>PT13816</t>
        </is>
      </c>
      <c r="B478" t="inlineStr">
        <is>
          <t>03258821</t>
        </is>
      </c>
      <c r="C478" t="inlineStr">
        <is>
          <t>Taylor</t>
        </is>
      </c>
      <c r="D478" t="inlineStr">
        <is>
          <t>Douglas</t>
        </is>
      </c>
      <c r="E478" t="inlineStr">
        <is>
          <t>M</t>
        </is>
      </c>
      <c r="F478" s="26" t="n">
        <v>22029</v>
      </c>
      <c r="G478" t="inlineStr">
        <is>
          <t>Cedar Ridge</t>
        </is>
      </c>
      <c r="H478" t="inlineStr">
        <is>
          <t>45720</t>
        </is>
      </c>
      <c r="I478" t="inlineStr">
        <is>
          <t>(555) 713-8987</t>
        </is>
      </c>
      <c r="J478" t="inlineStr">
        <is>
          <t>douglas.taylor35@example.com</t>
        </is>
      </c>
      <c r="K478" t="inlineStr">
        <is>
          <t>English</t>
        </is>
      </c>
      <c r="L478" t="inlineStr">
        <is>
          <t>PY02</t>
        </is>
      </c>
      <c r="M478" t="inlineStr">
        <is>
          <t>PRV1140</t>
        </is>
      </c>
      <c r="N478" t="n">
        <v>68.2</v>
      </c>
      <c r="O478" t="n">
        <v>109.2</v>
      </c>
      <c r="Q478" s="26" t="n">
        <v>41933</v>
      </c>
    </row>
    <row r="479">
      <c r="A479" t="inlineStr">
        <is>
          <t>PT13824</t>
        </is>
      </c>
      <c r="B479" t="inlineStr">
        <is>
          <t>00440347</t>
        </is>
      </c>
      <c r="C479" t="inlineStr">
        <is>
          <t>Miller</t>
        </is>
      </c>
      <c r="D479" t="inlineStr">
        <is>
          <t>Aaron</t>
        </is>
      </c>
      <c r="E479" t="inlineStr">
        <is>
          <t>M</t>
        </is>
      </c>
      <c r="F479" s="26" t="n">
        <v>19214</v>
      </c>
      <c r="G479" t="inlineStr">
        <is>
          <t>Bluestone</t>
        </is>
      </c>
      <c r="H479" t="inlineStr">
        <is>
          <t>45502</t>
        </is>
      </c>
      <c r="I479" t="inlineStr">
        <is>
          <t>(555) 363-0844</t>
        </is>
      </c>
      <c r="J479" t="inlineStr">
        <is>
          <t>aaron.miller27@example.com</t>
        </is>
      </c>
      <c r="K479" t="inlineStr">
        <is>
          <t>English</t>
        </is>
      </c>
      <c r="L479" t="inlineStr">
        <is>
          <t>PY01</t>
        </is>
      </c>
      <c r="M479" t="inlineStr">
        <is>
          <t>PRV1135</t>
        </is>
      </c>
      <c r="N479" t="n">
        <v>61.6</v>
      </c>
      <c r="O479" t="n">
        <v>89.09999999999999</v>
      </c>
      <c r="P479" t="inlineStr">
        <is>
          <t>HTN;DM</t>
        </is>
      </c>
      <c r="Q479" s="26" t="n">
        <v>41143</v>
      </c>
    </row>
    <row r="480">
      <c r="A480" t="inlineStr">
        <is>
          <t>PT13832</t>
        </is>
      </c>
      <c r="B480" t="inlineStr">
        <is>
          <t>04718077</t>
        </is>
      </c>
      <c r="C480" t="inlineStr">
        <is>
          <t>Munoz</t>
        </is>
      </c>
      <c r="D480" t="inlineStr">
        <is>
          <t>Anna</t>
        </is>
      </c>
      <c r="E480" t="inlineStr">
        <is>
          <t>F</t>
        </is>
      </c>
      <c r="F480" s="26" t="n">
        <v>19118</v>
      </c>
      <c r="G480" t="inlineStr">
        <is>
          <t>Millbrook</t>
        </is>
      </c>
      <c r="H480" t="inlineStr">
        <is>
          <t>45530</t>
        </is>
      </c>
      <c r="I480" t="inlineStr">
        <is>
          <t>(555) 356-1239</t>
        </is>
      </c>
      <c r="K480" t="inlineStr">
        <is>
          <t>English</t>
        </is>
      </c>
      <c r="L480" t="inlineStr">
        <is>
          <t>PY01</t>
        </is>
      </c>
      <c r="M480" t="inlineStr">
        <is>
          <t>PRV1137</t>
        </is>
      </c>
      <c r="N480" t="n">
        <v>61.8</v>
      </c>
      <c r="O480" t="n">
        <v>147.4</v>
      </c>
      <c r="P480" t="inlineStr">
        <is>
          <t>HTN;CKD</t>
        </is>
      </c>
      <c r="Q480" s="26" t="n">
        <v>44447</v>
      </c>
    </row>
    <row r="481">
      <c r="A481" t="inlineStr">
        <is>
          <t>PT13840</t>
        </is>
      </c>
      <c r="B481" t="inlineStr">
        <is>
          <t>08807872</t>
        </is>
      </c>
      <c r="C481" t="inlineStr">
        <is>
          <t>Abbott</t>
        </is>
      </c>
      <c r="D481" t="inlineStr">
        <is>
          <t>Elizabeth</t>
        </is>
      </c>
      <c r="E481" t="inlineStr">
        <is>
          <t>F</t>
        </is>
      </c>
      <c r="F481" s="26" t="n">
        <v>35436</v>
      </c>
      <c r="G481" t="inlineStr">
        <is>
          <t>Bluestone</t>
        </is>
      </c>
      <c r="H481" t="inlineStr">
        <is>
          <t>45501</t>
        </is>
      </c>
      <c r="I481" t="inlineStr">
        <is>
          <t>(555) 808-7445</t>
        </is>
      </c>
      <c r="J481" t="inlineStr">
        <is>
          <t>elizabeth.abbott56@example.com</t>
        </is>
      </c>
      <c r="K481" t="inlineStr">
        <is>
          <t>English</t>
        </is>
      </c>
      <c r="L481" t="inlineStr">
        <is>
          <t>PY04</t>
        </is>
      </c>
      <c r="M481" t="inlineStr">
        <is>
          <t>PRV1140</t>
        </is>
      </c>
      <c r="N481" t="n">
        <v>64.7</v>
      </c>
      <c r="O481" t="n">
        <v>169.8</v>
      </c>
      <c r="Q481" s="26" t="n">
        <v>45466</v>
      </c>
    </row>
    <row r="482">
      <c r="A482" t="inlineStr">
        <is>
          <t>PT13848</t>
        </is>
      </c>
      <c r="B482" t="inlineStr">
        <is>
          <t>04221032</t>
        </is>
      </c>
      <c r="C482" t="inlineStr">
        <is>
          <t>Harrison</t>
        </is>
      </c>
      <c r="D482" t="inlineStr">
        <is>
          <t>Diane</t>
        </is>
      </c>
      <c r="E482" t="inlineStr">
        <is>
          <t>F</t>
        </is>
      </c>
      <c r="F482" s="26" t="n">
        <v>17851</v>
      </c>
      <c r="G482" t="inlineStr">
        <is>
          <t>Bluestone</t>
        </is>
      </c>
      <c r="H482" t="inlineStr">
        <is>
          <t>45501</t>
        </is>
      </c>
      <c r="I482" t="inlineStr">
        <is>
          <t>(555) 916-7052</t>
        </is>
      </c>
      <c r="K482" t="inlineStr">
        <is>
          <t>English</t>
        </is>
      </c>
      <c r="L482" t="inlineStr">
        <is>
          <t>PY01</t>
        </is>
      </c>
      <c r="M482" t="inlineStr">
        <is>
          <t>PRV1124</t>
        </is>
      </c>
      <c r="N482" t="n">
        <v>61.1</v>
      </c>
      <c r="O482" t="n">
        <v>173.6</v>
      </c>
      <c r="Q482" s="26" t="n">
        <v>43030</v>
      </c>
    </row>
    <row r="483">
      <c r="A483" t="inlineStr">
        <is>
          <t>PT13856</t>
        </is>
      </c>
      <c r="B483" t="inlineStr">
        <is>
          <t>01006974</t>
        </is>
      </c>
      <c r="C483" t="inlineStr">
        <is>
          <t>Mendoza</t>
        </is>
      </c>
      <c r="D483" t="inlineStr">
        <is>
          <t>Barbara</t>
        </is>
      </c>
      <c r="E483" t="inlineStr">
        <is>
          <t>F</t>
        </is>
      </c>
      <c r="F483" s="26" t="n">
        <v>33313</v>
      </c>
      <c r="G483" t="inlineStr">
        <is>
          <t>Pine Hollow</t>
        </is>
      </c>
      <c r="H483" t="inlineStr">
        <is>
          <t>45640</t>
        </is>
      </c>
      <c r="I483" t="inlineStr">
        <is>
          <t>(555) 781-8351</t>
        </is>
      </c>
      <c r="J483" t="inlineStr">
        <is>
          <t>barbara.mendoza22@example.com</t>
        </is>
      </c>
      <c r="K483" t="inlineStr">
        <is>
          <t>English</t>
        </is>
      </c>
      <c r="L483" t="inlineStr">
        <is>
          <t>PY04</t>
        </is>
      </c>
      <c r="M483" t="inlineStr">
        <is>
          <t>PRV1135</t>
        </is>
      </c>
      <c r="N483" t="n">
        <v>61.3</v>
      </c>
      <c r="O483" t="n">
        <v>101.6</v>
      </c>
      <c r="Q483" s="26" t="n">
        <v>41935</v>
      </c>
    </row>
    <row r="484">
      <c r="A484" t="inlineStr">
        <is>
          <t>PT13864</t>
        </is>
      </c>
      <c r="B484" t="inlineStr">
        <is>
          <t>03536309</t>
        </is>
      </c>
      <c r="C484" t="inlineStr">
        <is>
          <t>Knight</t>
        </is>
      </c>
      <c r="D484" t="inlineStr">
        <is>
          <t>Samuel</t>
        </is>
      </c>
      <c r="E484" t="inlineStr">
        <is>
          <t>M</t>
        </is>
      </c>
      <c r="F484" s="26" t="n">
        <v>18034</v>
      </c>
      <c r="G484" t="inlineStr">
        <is>
          <t>Riverbend</t>
        </is>
      </c>
      <c r="H484" t="inlineStr">
        <is>
          <t>45545</t>
        </is>
      </c>
      <c r="I484" t="inlineStr">
        <is>
          <t>(555) 432-5143</t>
        </is>
      </c>
      <c r="J484" t="inlineStr">
        <is>
          <t>samuel.knight21@example.com</t>
        </is>
      </c>
      <c r="K484" t="inlineStr">
        <is>
          <t>English</t>
        </is>
      </c>
      <c r="L484" t="inlineStr">
        <is>
          <t>PY02</t>
        </is>
      </c>
      <c r="M484" t="inlineStr">
        <is>
          <t>PRV1129</t>
        </is>
      </c>
      <c r="N484" t="n">
        <v>70.09999999999999</v>
      </c>
      <c r="O484" t="n">
        <v>210.5</v>
      </c>
      <c r="Q484" s="26" t="n">
        <v>44020</v>
      </c>
    </row>
    <row r="485">
      <c r="A485" t="inlineStr">
        <is>
          <t>PT13872</t>
        </is>
      </c>
      <c r="B485" t="inlineStr">
        <is>
          <t>07775501</t>
        </is>
      </c>
      <c r="C485" t="inlineStr">
        <is>
          <t>Ford</t>
        </is>
      </c>
      <c r="D485" t="inlineStr">
        <is>
          <t>Julie</t>
        </is>
      </c>
      <c r="E485" t="inlineStr">
        <is>
          <t>F</t>
        </is>
      </c>
      <c r="F485" s="26" t="n">
        <v>17246</v>
      </c>
      <c r="G485" t="inlineStr">
        <is>
          <t>Bluestone</t>
        </is>
      </c>
      <c r="H485" t="inlineStr">
        <is>
          <t>45503</t>
        </is>
      </c>
      <c r="I485" t="inlineStr">
        <is>
          <t>(555) 876-3762</t>
        </is>
      </c>
      <c r="K485" t="inlineStr">
        <is>
          <t>English</t>
        </is>
      </c>
      <c r="L485" t="inlineStr">
        <is>
          <t>PY02</t>
        </is>
      </c>
      <c r="M485" t="inlineStr">
        <is>
          <t>PRV1125</t>
        </is>
      </c>
      <c r="N485" t="n">
        <v>67.40000000000001</v>
      </c>
      <c r="O485" t="n">
        <v>187.5</v>
      </c>
      <c r="Q485" s="26" t="n">
        <v>44534</v>
      </c>
    </row>
    <row r="486">
      <c r="A486" t="inlineStr">
        <is>
          <t>PT13880</t>
        </is>
      </c>
      <c r="B486" t="inlineStr">
        <is>
          <t>04897542</t>
        </is>
      </c>
      <c r="C486" t="inlineStr">
        <is>
          <t>Hunter</t>
        </is>
      </c>
      <c r="D486" t="inlineStr">
        <is>
          <t>Austin</t>
        </is>
      </c>
      <c r="E486" t="inlineStr">
        <is>
          <t>M</t>
        </is>
      </c>
      <c r="F486" s="26" t="n">
        <v>21079</v>
      </c>
      <c r="G486" t="inlineStr">
        <is>
          <t>Bluestone</t>
        </is>
      </c>
      <c r="H486" t="inlineStr">
        <is>
          <t>45502</t>
        </is>
      </c>
      <c r="I486" t="inlineStr">
        <is>
          <t>(555) 570-6678</t>
        </is>
      </c>
      <c r="J486" t="inlineStr">
        <is>
          <t>austin.hunter80@example.com</t>
        </is>
      </c>
      <c r="K486" t="inlineStr">
        <is>
          <t>English</t>
        </is>
      </c>
      <c r="L486" t="inlineStr">
        <is>
          <t>PY02</t>
        </is>
      </c>
      <c r="M486" t="inlineStr">
        <is>
          <t>PRV1127</t>
        </is>
      </c>
      <c r="N486" t="n">
        <v>69.90000000000001</v>
      </c>
      <c r="O486" t="n">
        <v>209.5</v>
      </c>
      <c r="P486" t="inlineStr">
        <is>
          <t>DM;AFIB</t>
        </is>
      </c>
      <c r="Q486" s="26" t="n">
        <v>43161</v>
      </c>
    </row>
    <row r="487">
      <c r="A487" t="inlineStr">
        <is>
          <t>PT13888</t>
        </is>
      </c>
      <c r="B487" t="inlineStr">
        <is>
          <t>01620878</t>
        </is>
      </c>
      <c r="C487" t="inlineStr">
        <is>
          <t>Brooks</t>
        </is>
      </c>
      <c r="D487" t="inlineStr">
        <is>
          <t>William</t>
        </is>
      </c>
      <c r="E487" t="inlineStr">
        <is>
          <t>M</t>
        </is>
      </c>
      <c r="F487" s="26" t="n">
        <v>30020</v>
      </c>
      <c r="G487" t="inlineStr">
        <is>
          <t>Fairhaven</t>
        </is>
      </c>
      <c r="H487" t="inlineStr">
        <is>
          <t>45620</t>
        </is>
      </c>
      <c r="I487" t="inlineStr">
        <is>
          <t>(555) 271-7032</t>
        </is>
      </c>
      <c r="J487" t="inlineStr">
        <is>
          <t>william.brooks81@example.com</t>
        </is>
      </c>
      <c r="K487" t="inlineStr">
        <is>
          <t>English</t>
        </is>
      </c>
      <c r="L487" t="inlineStr">
        <is>
          <t>PY04</t>
        </is>
      </c>
      <c r="M487" t="inlineStr">
        <is>
          <t>PRV1133</t>
        </is>
      </c>
      <c r="N487" t="n">
        <v>68.7</v>
      </c>
      <c r="O487" t="n">
        <v>215.7</v>
      </c>
      <c r="Q487" s="26" t="n">
        <v>40790</v>
      </c>
    </row>
    <row r="488">
      <c r="A488" t="inlineStr">
        <is>
          <t>PT13896</t>
        </is>
      </c>
      <c r="B488" t="inlineStr">
        <is>
          <t>03435753</t>
        </is>
      </c>
      <c r="C488" t="inlineStr">
        <is>
          <t>Carter</t>
        </is>
      </c>
      <c r="D488" t="inlineStr">
        <is>
          <t>Amber</t>
        </is>
      </c>
      <c r="E488" t="inlineStr">
        <is>
          <t>F</t>
        </is>
      </c>
      <c r="F488" s="26" t="n">
        <v>38316</v>
      </c>
      <c r="G488" t="inlineStr">
        <is>
          <t>Pine Hollow</t>
        </is>
      </c>
      <c r="H488" t="inlineStr">
        <is>
          <t>45640</t>
        </is>
      </c>
      <c r="I488" t="inlineStr">
        <is>
          <t>(555) 361-4751</t>
        </is>
      </c>
      <c r="J488" t="inlineStr">
        <is>
          <t>amber.carter94@example.com</t>
        </is>
      </c>
      <c r="K488" t="inlineStr">
        <is>
          <t>Spanish</t>
        </is>
      </c>
      <c r="L488" t="inlineStr">
        <is>
          <t>PY05</t>
        </is>
      </c>
      <c r="M488" t="inlineStr">
        <is>
          <t>PRV1131</t>
        </is>
      </c>
      <c r="N488" t="n">
        <v>58.5</v>
      </c>
      <c r="O488" t="n">
        <v>104</v>
      </c>
      <c r="Q488" s="26" t="n">
        <v>39464</v>
      </c>
    </row>
    <row r="489">
      <c r="A489" t="inlineStr">
        <is>
          <t>PT13904</t>
        </is>
      </c>
      <c r="B489" t="inlineStr">
        <is>
          <t>04912952</t>
        </is>
      </c>
      <c r="C489" t="inlineStr">
        <is>
          <t>Kelly</t>
        </is>
      </c>
      <c r="D489" t="inlineStr">
        <is>
          <t>Gary</t>
        </is>
      </c>
      <c r="E489" t="inlineStr">
        <is>
          <t>M</t>
        </is>
      </c>
      <c r="F489" s="26" t="n">
        <v>20516</v>
      </c>
      <c r="G489" t="inlineStr">
        <is>
          <t>Bluestone</t>
        </is>
      </c>
      <c r="H489" t="inlineStr">
        <is>
          <t>45502</t>
        </is>
      </c>
      <c r="I489" t="inlineStr">
        <is>
          <t>(555) 758-5142</t>
        </is>
      </c>
      <c r="J489" t="inlineStr">
        <is>
          <t>gary.kelly50@example.com</t>
        </is>
      </c>
      <c r="K489" t="inlineStr">
        <is>
          <t>English</t>
        </is>
      </c>
      <c r="L489" t="inlineStr">
        <is>
          <t>PY02</t>
        </is>
      </c>
      <c r="M489" t="inlineStr">
        <is>
          <t>PRV1134</t>
        </is>
      </c>
      <c r="N489" t="n">
        <v>65</v>
      </c>
      <c r="O489" t="n">
        <v>202.1</v>
      </c>
      <c r="P489" t="inlineStr">
        <is>
          <t>HTN</t>
        </is>
      </c>
      <c r="Q489" s="26" t="n">
        <v>44732</v>
      </c>
    </row>
    <row r="490">
      <c r="A490" t="inlineStr">
        <is>
          <t>PT13912</t>
        </is>
      </c>
      <c r="B490" t="inlineStr">
        <is>
          <t>04908347</t>
        </is>
      </c>
      <c r="C490" t="inlineStr">
        <is>
          <t>Osei</t>
        </is>
      </c>
      <c r="D490" t="inlineStr">
        <is>
          <t>Walter</t>
        </is>
      </c>
      <c r="E490" t="inlineStr">
        <is>
          <t>M</t>
        </is>
      </c>
      <c r="F490" s="26" t="n">
        <v>43264</v>
      </c>
      <c r="G490" t="inlineStr">
        <is>
          <t>Millbrook</t>
        </is>
      </c>
      <c r="H490" t="inlineStr">
        <is>
          <t>45530</t>
        </is>
      </c>
      <c r="I490" t="inlineStr">
        <is>
          <t>(555) 417-5165</t>
        </is>
      </c>
      <c r="K490" t="inlineStr">
        <is>
          <t>English</t>
        </is>
      </c>
      <c r="L490" t="inlineStr">
        <is>
          <t>PY03</t>
        </is>
      </c>
      <c r="M490" t="inlineStr">
        <is>
          <t>PRV1108</t>
        </is>
      </c>
      <c r="N490" t="n">
        <v>35.1</v>
      </c>
      <c r="O490" t="n">
        <v>29.4</v>
      </c>
      <c r="Q490" s="26" t="n">
        <v>44950</v>
      </c>
    </row>
    <row r="491">
      <c r="A491" t="inlineStr">
        <is>
          <t>PT13920</t>
        </is>
      </c>
      <c r="B491" t="inlineStr">
        <is>
          <t>09847804</t>
        </is>
      </c>
      <c r="C491" t="inlineStr">
        <is>
          <t>Myers</t>
        </is>
      </c>
      <c r="D491" t="inlineStr">
        <is>
          <t>Samuel</t>
        </is>
      </c>
      <c r="E491" t="inlineStr">
        <is>
          <t>M</t>
        </is>
      </c>
      <c r="F491" s="26" t="n">
        <v>18677</v>
      </c>
      <c r="G491" t="inlineStr">
        <is>
          <t>Bluestone</t>
        </is>
      </c>
      <c r="H491" t="inlineStr">
        <is>
          <t>45502</t>
        </is>
      </c>
      <c r="I491" t="inlineStr">
        <is>
          <t>(555) 965-5585</t>
        </is>
      </c>
      <c r="K491" t="inlineStr">
        <is>
          <t>English</t>
        </is>
      </c>
      <c r="L491" t="inlineStr">
        <is>
          <t>PY01</t>
        </is>
      </c>
      <c r="M491" t="inlineStr">
        <is>
          <t>PRV1133</t>
        </is>
      </c>
      <c r="N491" t="n">
        <v>67.5</v>
      </c>
      <c r="O491" t="n">
        <v>107</v>
      </c>
      <c r="Q491" s="26" t="n">
        <v>39932</v>
      </c>
    </row>
    <row r="492">
      <c r="A492" t="inlineStr">
        <is>
          <t>PT13928</t>
        </is>
      </c>
      <c r="B492" t="inlineStr">
        <is>
          <t>07654920</t>
        </is>
      </c>
      <c r="C492" t="inlineStr">
        <is>
          <t>James</t>
        </is>
      </c>
      <c r="D492" t="inlineStr">
        <is>
          <t>Paul</t>
        </is>
      </c>
      <c r="E492" t="inlineStr">
        <is>
          <t>M</t>
        </is>
      </c>
      <c r="F492" s="26" t="n">
        <v>20972</v>
      </c>
      <c r="G492" t="inlineStr">
        <is>
          <t>Ashby Falls</t>
        </is>
      </c>
      <c r="H492" t="inlineStr">
        <is>
          <t>45610</t>
        </is>
      </c>
      <c r="I492" t="inlineStr">
        <is>
          <t>(555) 736-2824</t>
        </is>
      </c>
      <c r="K492" t="inlineStr">
        <is>
          <t>English</t>
        </is>
      </c>
      <c r="L492" t="inlineStr">
        <is>
          <t>PY01</t>
        </is>
      </c>
      <c r="N492" t="n">
        <v>70.09999999999999</v>
      </c>
      <c r="O492" t="n">
        <v>242.2</v>
      </c>
      <c r="Q492" s="26" t="n">
        <v>42579</v>
      </c>
    </row>
    <row r="493">
      <c r="A493" t="inlineStr">
        <is>
          <t>PT13936</t>
        </is>
      </c>
      <c r="B493" t="inlineStr">
        <is>
          <t>06086810</t>
        </is>
      </c>
      <c r="C493" t="inlineStr">
        <is>
          <t>Owens</t>
        </is>
      </c>
      <c r="D493" t="inlineStr">
        <is>
          <t>Janet</t>
        </is>
      </c>
      <c r="E493" t="inlineStr">
        <is>
          <t>F</t>
        </is>
      </c>
      <c r="F493" s="26" t="n">
        <v>14129</v>
      </c>
      <c r="G493" t="inlineStr">
        <is>
          <t>Bluestone</t>
        </is>
      </c>
      <c r="H493" t="inlineStr">
        <is>
          <t>45501</t>
        </is>
      </c>
      <c r="I493" t="inlineStr">
        <is>
          <t>(555) 294-0650</t>
        </is>
      </c>
      <c r="K493" t="inlineStr">
        <is>
          <t>English</t>
        </is>
      </c>
      <c r="L493" t="inlineStr">
        <is>
          <t>PY01</t>
        </is>
      </c>
      <c r="M493" t="inlineStr">
        <is>
          <t>PRV1133</t>
        </is>
      </c>
      <c r="N493" t="n">
        <v>64.5</v>
      </c>
      <c r="O493" t="n">
        <v>157.8</v>
      </c>
      <c r="P493" t="inlineStr">
        <is>
          <t>DM;COPD;CKD;OA</t>
        </is>
      </c>
      <c r="Q493" s="26" t="n">
        <v>39832</v>
      </c>
    </row>
    <row r="494">
      <c r="A494" t="inlineStr">
        <is>
          <t>PT13944</t>
        </is>
      </c>
      <c r="B494" t="inlineStr">
        <is>
          <t>06332611</t>
        </is>
      </c>
      <c r="C494" t="inlineStr">
        <is>
          <t>Stewart</t>
        </is>
      </c>
      <c r="D494" t="inlineStr">
        <is>
          <t>Jason</t>
        </is>
      </c>
      <c r="E494" t="inlineStr">
        <is>
          <t>M</t>
        </is>
      </c>
      <c r="F494" s="26" t="n">
        <v>10583</v>
      </c>
      <c r="G494" t="inlineStr">
        <is>
          <t>Bluestone</t>
        </is>
      </c>
      <c r="H494" t="inlineStr">
        <is>
          <t>45501</t>
        </is>
      </c>
      <c r="I494" t="inlineStr">
        <is>
          <t>(555) 309-4745</t>
        </is>
      </c>
      <c r="J494" t="inlineStr">
        <is>
          <t>jason.stewart37@example.com</t>
        </is>
      </c>
      <c r="K494" t="inlineStr">
        <is>
          <t>Spanish</t>
        </is>
      </c>
      <c r="L494" t="inlineStr">
        <is>
          <t>PY01</t>
        </is>
      </c>
      <c r="N494" t="n">
        <v>68.40000000000001</v>
      </c>
      <c r="O494" t="n">
        <v>186.3</v>
      </c>
      <c r="Q494" s="26" t="n">
        <v>44817</v>
      </c>
    </row>
    <row r="495">
      <c r="A495" t="inlineStr">
        <is>
          <t>PT13952</t>
        </is>
      </c>
      <c r="B495" t="inlineStr">
        <is>
          <t>03744613</t>
        </is>
      </c>
      <c r="C495" t="inlineStr">
        <is>
          <t>Reed</t>
        </is>
      </c>
      <c r="D495" t="inlineStr">
        <is>
          <t>Billy</t>
        </is>
      </c>
      <c r="E495" t="inlineStr">
        <is>
          <t>M</t>
        </is>
      </c>
      <c r="F495" s="26" t="n">
        <v>41142</v>
      </c>
      <c r="G495" t="inlineStr">
        <is>
          <t>Ashby Falls</t>
        </is>
      </c>
      <c r="H495" t="inlineStr">
        <is>
          <t>45610</t>
        </is>
      </c>
      <c r="I495" t="inlineStr">
        <is>
          <t>(555) 680-3294</t>
        </is>
      </c>
      <c r="K495" t="inlineStr">
        <is>
          <t>English</t>
        </is>
      </c>
      <c r="L495" t="inlineStr">
        <is>
          <t>PY04</t>
        </is>
      </c>
      <c r="M495" t="inlineStr">
        <is>
          <t>PRV1104</t>
        </is>
      </c>
      <c r="N495" t="n">
        <v>59</v>
      </c>
      <c r="O495" t="n">
        <v>93</v>
      </c>
      <c r="Q495" s="26" t="n">
        <v>41832</v>
      </c>
    </row>
    <row r="496">
      <c r="A496" t="inlineStr">
        <is>
          <t>PT13960</t>
        </is>
      </c>
      <c r="B496" t="inlineStr">
        <is>
          <t>08051325</t>
        </is>
      </c>
      <c r="C496" t="inlineStr">
        <is>
          <t>Hawkins</t>
        </is>
      </c>
      <c r="D496" t="inlineStr">
        <is>
          <t>Sara</t>
        </is>
      </c>
      <c r="E496" t="inlineStr">
        <is>
          <t>F</t>
        </is>
      </c>
      <c r="F496" s="26" t="n">
        <v>21132</v>
      </c>
      <c r="G496" t="inlineStr">
        <is>
          <t>Bluestone</t>
        </is>
      </c>
      <c r="H496" t="inlineStr">
        <is>
          <t>45501</t>
        </is>
      </c>
      <c r="I496" t="inlineStr">
        <is>
          <t>(555) 955-2451</t>
        </is>
      </c>
      <c r="J496" t="inlineStr">
        <is>
          <t>sara.hawkins92@example.com</t>
        </is>
      </c>
      <c r="K496" t="inlineStr">
        <is>
          <t>English</t>
        </is>
      </c>
      <c r="L496" t="inlineStr">
        <is>
          <t>PY01</t>
        </is>
      </c>
      <c r="M496" t="inlineStr">
        <is>
          <t>PRV1130</t>
        </is>
      </c>
      <c r="N496" t="n">
        <v>67.2</v>
      </c>
      <c r="O496" t="n">
        <v>105.9</v>
      </c>
      <c r="P496" t="inlineStr">
        <is>
          <t>HTN;ASTHMA</t>
        </is>
      </c>
      <c r="Q496" s="26" t="n">
        <v>40478</v>
      </c>
    </row>
    <row r="497">
      <c r="A497" t="inlineStr">
        <is>
          <t>PT13968</t>
        </is>
      </c>
      <c r="B497" t="inlineStr">
        <is>
          <t>06336542</t>
        </is>
      </c>
      <c r="C497" t="inlineStr">
        <is>
          <t>Jackson</t>
        </is>
      </c>
      <c r="D497" t="inlineStr">
        <is>
          <t>Edward</t>
        </is>
      </c>
      <c r="E497" t="inlineStr">
        <is>
          <t>M</t>
        </is>
      </c>
      <c r="F497" s="26" t="n">
        <v>17768</v>
      </c>
      <c r="G497" t="inlineStr">
        <is>
          <t>Oak Glen</t>
        </is>
      </c>
      <c r="H497" t="inlineStr">
        <is>
          <t>45730</t>
        </is>
      </c>
      <c r="I497" t="inlineStr">
        <is>
          <t>(555) 784-0250</t>
        </is>
      </c>
      <c r="K497" t="inlineStr">
        <is>
          <t>English</t>
        </is>
      </c>
      <c r="L497" t="inlineStr">
        <is>
          <t>PY01</t>
        </is>
      </c>
      <c r="M497" t="inlineStr">
        <is>
          <t>PRV1132</t>
        </is>
      </c>
      <c r="N497" t="n">
        <v>66.2</v>
      </c>
      <c r="O497" t="n">
        <v>157.3</v>
      </c>
      <c r="Q497" s="26" t="n">
        <v>45423</v>
      </c>
    </row>
    <row r="498">
      <c r="A498" t="inlineStr">
        <is>
          <t>PT13976</t>
        </is>
      </c>
      <c r="B498" t="inlineStr">
        <is>
          <t>01493716</t>
        </is>
      </c>
      <c r="C498" t="inlineStr">
        <is>
          <t>Freeman</t>
        </is>
      </c>
      <c r="D498" t="inlineStr">
        <is>
          <t>Steven</t>
        </is>
      </c>
      <c r="E498" t="inlineStr">
        <is>
          <t>M</t>
        </is>
      </c>
      <c r="F498" s="26" t="n">
        <v>20850</v>
      </c>
      <c r="G498" t="inlineStr">
        <is>
          <t>Fairhaven</t>
        </is>
      </c>
      <c r="H498" t="inlineStr">
        <is>
          <t>45620</t>
        </is>
      </c>
      <c r="I498" t="inlineStr">
        <is>
          <t>(555) 605-7907</t>
        </is>
      </c>
      <c r="J498" t="inlineStr">
        <is>
          <t>steven.freeman25@example.com</t>
        </is>
      </c>
      <c r="K498" t="inlineStr">
        <is>
          <t>English</t>
        </is>
      </c>
      <c r="L498" t="inlineStr">
        <is>
          <t>PY01</t>
        </is>
      </c>
      <c r="M498" t="inlineStr">
        <is>
          <t>PRV1124</t>
        </is>
      </c>
      <c r="N498" t="n">
        <v>69.7</v>
      </c>
      <c r="O498" t="n">
        <v>208.8</v>
      </c>
      <c r="P498" t="inlineStr">
        <is>
          <t>ASTHMA;OA</t>
        </is>
      </c>
      <c r="Q498" s="26" t="n">
        <v>45478</v>
      </c>
    </row>
    <row r="499">
      <c r="A499" t="inlineStr">
        <is>
          <t>PT13984</t>
        </is>
      </c>
      <c r="B499" t="inlineStr">
        <is>
          <t>04907099</t>
        </is>
      </c>
      <c r="C499" t="inlineStr">
        <is>
          <t>Miller</t>
        </is>
      </c>
      <c r="D499" t="inlineStr">
        <is>
          <t>Adam</t>
        </is>
      </c>
      <c r="E499" t="inlineStr">
        <is>
          <t>M</t>
        </is>
      </c>
      <c r="F499" s="26" t="n">
        <v>21660</v>
      </c>
      <c r="G499" t="inlineStr">
        <is>
          <t>Ashby Falls</t>
        </is>
      </c>
      <c r="H499" t="inlineStr">
        <is>
          <t>45610</t>
        </is>
      </c>
      <c r="I499" t="inlineStr">
        <is>
          <t>(555) 334-4680</t>
        </is>
      </c>
      <c r="K499" t="inlineStr">
        <is>
          <t>English</t>
        </is>
      </c>
      <c r="L499" t="inlineStr">
        <is>
          <t>PY01</t>
        </is>
      </c>
      <c r="M499" t="inlineStr">
        <is>
          <t>PRV1129</t>
        </is>
      </c>
      <c r="N499" t="n">
        <v>71.8</v>
      </c>
      <c r="O499" t="n">
        <v>248.7</v>
      </c>
      <c r="P499" t="inlineStr">
        <is>
          <t>ASTHMA</t>
        </is>
      </c>
      <c r="Q499" s="26" t="n">
        <v>43424</v>
      </c>
    </row>
    <row r="500">
      <c r="A500" t="inlineStr">
        <is>
          <t>PT13992</t>
        </is>
      </c>
      <c r="B500" t="inlineStr">
        <is>
          <t>08354619</t>
        </is>
      </c>
      <c r="C500" t="inlineStr">
        <is>
          <t>Cunningham</t>
        </is>
      </c>
      <c r="D500" t="inlineStr">
        <is>
          <t>Ahmed</t>
        </is>
      </c>
      <c r="E500" t="inlineStr">
        <is>
          <t>M</t>
        </is>
      </c>
      <c r="F500" s="26" t="n">
        <v>39460</v>
      </c>
      <c r="G500" t="inlineStr">
        <is>
          <t>Fairhaven</t>
        </is>
      </c>
      <c r="H500" t="inlineStr">
        <is>
          <t>45620</t>
        </is>
      </c>
      <c r="I500" t="inlineStr">
        <is>
          <t>(555) 967-5405</t>
        </is>
      </c>
      <c r="J500" t="inlineStr">
        <is>
          <t>ahmed.cunningham67@example.com</t>
        </is>
      </c>
      <c r="K500" t="inlineStr">
        <is>
          <t>Spanish</t>
        </is>
      </c>
      <c r="L500" t="inlineStr">
        <is>
          <t>PY03</t>
        </is>
      </c>
      <c r="M500" t="inlineStr">
        <is>
          <t>PRV1107</t>
        </is>
      </c>
      <c r="N500" t="n">
        <v>69.2</v>
      </c>
      <c r="O500" t="n">
        <v>178.3</v>
      </c>
      <c r="Q500" s="26" t="n">
        <v>43028</v>
      </c>
    </row>
    <row r="501">
      <c r="A501" t="inlineStr">
        <is>
          <t>PT14000</t>
        </is>
      </c>
      <c r="B501" t="inlineStr">
        <is>
          <t>08201359</t>
        </is>
      </c>
      <c r="C501" t="inlineStr">
        <is>
          <t>Walker</t>
        </is>
      </c>
      <c r="D501" t="inlineStr">
        <is>
          <t>Brenda</t>
        </is>
      </c>
      <c r="E501" t="inlineStr">
        <is>
          <t>F</t>
        </is>
      </c>
      <c r="F501" s="26" t="n">
        <v>11783</v>
      </c>
      <c r="G501" t="inlineStr">
        <is>
          <t>Lakeview Heights</t>
        </is>
      </c>
      <c r="H501" t="inlineStr">
        <is>
          <t>45510</t>
        </is>
      </c>
      <c r="I501" t="inlineStr">
        <is>
          <t>(555) 699-4222</t>
        </is>
      </c>
      <c r="J501" t="inlineStr">
        <is>
          <t>brenda.walker93@example.com</t>
        </is>
      </c>
      <c r="K501" t="inlineStr">
        <is>
          <t>English</t>
        </is>
      </c>
      <c r="L501" t="inlineStr">
        <is>
          <t>PY02</t>
        </is>
      </c>
      <c r="N501" t="n">
        <v>61.3</v>
      </c>
      <c r="O501" t="n">
        <v>125.4</v>
      </c>
      <c r="P501" t="inlineStr">
        <is>
          <t>HTN;HF</t>
        </is>
      </c>
      <c r="Q501" s="26" t="n">
        <v>44004</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9"/>
  <sheetViews>
    <sheetView tabSelected="0" workbookViewId="0">
      <pane ySplit="1" topLeftCell="A2" activePane="bottomLeft" state="frozen"/>
      <selection pane="bottomLeft" activeCell="A1" sqref="A1"/>
    </sheetView>
  </sheetViews>
  <sheetFormatPr baseColWidth="8" defaultRowHeight="15"/>
  <cols>
    <col width="9" customWidth="1" min="1" max="1"/>
    <col width="32" customWidth="1" min="2" max="2"/>
    <col width="22" customWidth="1" min="3" max="3"/>
  </cols>
  <sheetData>
    <row r="1">
      <c r="A1" s="25" t="inlineStr">
        <is>
          <t>PayerID</t>
        </is>
      </c>
      <c r="B1" s="25" t="inlineStr">
        <is>
          <t>PayerName</t>
        </is>
      </c>
      <c r="C1" s="25" t="inlineStr">
        <is>
          <t>PayerType</t>
        </is>
      </c>
    </row>
    <row r="2">
      <c r="A2" t="inlineStr">
        <is>
          <t>PY01</t>
        </is>
      </c>
      <c r="B2" t="inlineStr">
        <is>
          <t>Medicare</t>
        </is>
      </c>
      <c r="C2" t="inlineStr">
        <is>
          <t>Government</t>
        </is>
      </c>
    </row>
    <row r="3">
      <c r="A3" t="inlineStr">
        <is>
          <t>PY02</t>
        </is>
      </c>
      <c r="B3" t="inlineStr">
        <is>
          <t>Silverline Medicare Advantage</t>
        </is>
      </c>
      <c r="C3" t="inlineStr">
        <is>
          <t>Medicare Advantage</t>
        </is>
      </c>
    </row>
    <row r="4">
      <c r="A4" t="inlineStr">
        <is>
          <t>PY03</t>
        </is>
      </c>
      <c r="B4" t="inlineStr">
        <is>
          <t>State Medicaid</t>
        </is>
      </c>
      <c r="C4" t="inlineStr">
        <is>
          <t>Government</t>
        </is>
      </c>
    </row>
    <row r="5">
      <c r="A5" t="inlineStr">
        <is>
          <t>PY04</t>
        </is>
      </c>
      <c r="B5" t="inlineStr">
        <is>
          <t>Keystone Health Partners</t>
        </is>
      </c>
      <c r="C5" t="inlineStr">
        <is>
          <t>Commercial</t>
        </is>
      </c>
    </row>
    <row r="6">
      <c r="A6" t="inlineStr">
        <is>
          <t>PY05</t>
        </is>
      </c>
      <c r="B6" t="inlineStr">
        <is>
          <t>Evergreen Mutual Insurance</t>
        </is>
      </c>
      <c r="C6" t="inlineStr">
        <is>
          <t>Commercial</t>
        </is>
      </c>
    </row>
    <row r="7">
      <c r="A7" t="inlineStr">
        <is>
          <t>PY06</t>
        </is>
      </c>
      <c r="B7" t="inlineStr">
        <is>
          <t>Summit Choice PPO</t>
        </is>
      </c>
      <c r="C7" t="inlineStr">
        <is>
          <t>Commercial</t>
        </is>
      </c>
    </row>
    <row r="8">
      <c r="A8" t="inlineStr">
        <is>
          <t>PY07</t>
        </is>
      </c>
      <c r="B8" t="inlineStr">
        <is>
          <t>Self-Pay</t>
        </is>
      </c>
      <c r="C8" t="inlineStr">
        <is>
          <t>Self-Pay</t>
        </is>
      </c>
    </row>
    <row r="9">
      <c r="A9" t="inlineStr">
        <is>
          <t>PY08</t>
        </is>
      </c>
      <c r="B9" t="inlineStr">
        <is>
          <t>Workers' Compensation</t>
        </is>
      </c>
      <c r="C9" t="inlineStr">
        <is>
          <t>Workers' Comp</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BF9000"/>
    <outlinePr summaryBelow="1" summaryRight="1"/>
    <pageSetUpPr fitToPage="1"/>
  </sheetPr>
  <dimension ref="A1:E9"/>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2" t="inlineStr">
        <is>
          <t>Lesson 1.1 · Bonus: Data-quality scavenger hunt</t>
        </is>
      </c>
    </row>
    <row r="2" ht="64" customHeight="1">
      <c r="A2" s="13" t="inlineStr">
        <is>
          <t>The population-health team is starting a blood-pressure outreach program and will build its mailing list from this patient index. Before the letters go out, the data steward asks you to check four facts. Set up the Patients sheet first: if you froze panes earlier, choose View → Freeze Panes → Unfreeze Panes. Then press Ctrl+Home (Mac: Control+Home), click B2, and choose View → Freeze Panes → Freeze Panes so the headers and the PatientID column stay in view. Also turn on Minimum and Maximum in the status bar. You'll look everything up on the Patients sheet and type your answers on the Bonus sheet, without a single formula.</t>
        </is>
      </c>
    </row>
    <row r="3" ht="34" customHeight="1">
      <c r="A3" s="14" t="inlineStr">
        <is>
          <t>Type a formula or value in each yellow cell. The Check column turns green when your answer matches. Stuck? Read the hint, then the lesson guide. Answers: right-click a sheet tab → Unhide… → 'Bonus Key'.</t>
        </is>
      </c>
    </row>
    <row r="4">
      <c r="A4" s="15">
        <f>"Score: "&amp;COUNTIF(E6:E9,"✔*")&amp;" of 4 auto-checked tasks correct"</f>
        <v/>
      </c>
    </row>
    <row r="5">
      <c r="A5" s="16" t="inlineStr">
        <is>
          <t>#</t>
        </is>
      </c>
      <c r="B5" s="16" t="inlineStr">
        <is>
          <t>Task</t>
        </is>
      </c>
      <c r="C5" s="16" t="inlineStr">
        <is>
          <t>Hint</t>
        </is>
      </c>
      <c r="D5" s="16" t="inlineStr">
        <is>
          <t>Your Answer</t>
        </is>
      </c>
      <c r="E5" s="16" t="inlineStr">
        <is>
          <t>Check</t>
        </is>
      </c>
    </row>
    <row r="6" ht="51" customHeight="1">
      <c r="A6" s="17" t="inlineStr">
        <is>
          <t>B1</t>
        </is>
      </c>
      <c r="B6" s="18" t="inlineStr">
        <is>
          <t>Each outreach letter is signed by the patient's primary care provider (PCP), and a blank PCPProviderID means no PCP is on file. Use Go To (F5 or Ctrl+G, Mac: Control+G) to select M2:M501. How many of the 500 patients have no PCP?</t>
        </is>
      </c>
      <c r="C6" s="19" t="inlineStr">
        <is>
          <t>The status bar counts filled cells, but you want the empty ones</t>
        </is>
      </c>
      <c r="D6" s="22" t="n"/>
      <c r="E6" s="21">
        <f>IF(IFERROR(D6="",FALSE),"",IF(IFERROR(AND(ISNUMBER(D6),OR(ABS(D6-'Bonus Key'!$C$5)&lt;=0.0001)),FALSE),"✔ Correct","✘ Not yet"))</f>
        <v/>
      </c>
    </row>
    <row r="7" ht="81" customHeight="1">
      <c r="A7" s="17" t="inlineStr">
        <is>
          <t>B2</t>
        </is>
      </c>
      <c r="B7" s="18" t="inlineStr">
        <is>
          <t>The program targets every patient with hypertension, coded HTN. Click a single cell such as A1, so Find searches the whole sheet rather than the column you just selected. Press Ctrl+F (Mac: Control+F), click Options &gt;&gt; and make sure Match entire cell contents is OFF, then Find All for HTN. How many patients have HTN anywhere in their ChronicConditions list?</t>
        </is>
      </c>
      <c r="C7" s="19" t="inlineStr">
        <is>
          <t>Partial matches count: 'HTN;DM' contains HTN</t>
        </is>
      </c>
      <c r="D7" s="22" t="n"/>
      <c r="E7" s="21">
        <f>IF(IFERROR(D7="",FALSE),"",IF(IFERROR(AND(ISNUMBER(D7),OR(ABS(D7-'Bonus Key'!$C$6)&lt;=0.0001)),FALSE),"✔ Correct","✘ Not yet"))</f>
        <v/>
      </c>
    </row>
    <row r="8" ht="51" customHeight="1">
      <c r="A8" s="17" t="inlineStr">
        <is>
          <t>B3</t>
        </is>
      </c>
      <c r="B8" s="18" t="inlineStr">
        <is>
          <t>Patients whose only condition is hypertension will get a shorter letter. Turn ON Match entire cell contents and Find All for HTN again. How many patients have hypertension as their ONLY recorded chronic condition?</t>
        </is>
      </c>
      <c r="C8" s="19" t="inlineStr">
        <is>
          <t>Match entire cell contents finds cells that are exactly HTN</t>
        </is>
      </c>
      <c r="D8" s="22" t="n"/>
      <c r="E8" s="21">
        <f>IF(IFERROR(D8="",FALSE),"",IF(IFERROR(AND(ISNUMBER(D8),OR(ABS(D8-'Bonus Key'!$C$7)&lt;=0.0001)),FALSE),"✔ Correct","✘ Not yet"))</f>
        <v/>
      </c>
    </row>
    <row r="9" ht="66" customHeight="1">
      <c r="A9" s="17" t="inlineStr">
        <is>
          <t>B4</t>
        </is>
      </c>
      <c r="B9" s="18" t="inlineStr">
        <is>
          <t>Finally, the steward wants to confirm that the largest weight on file is real and not a typo. Which patient is the heaviest? Select O2:O501, read Maximum on the status bar, then use Find to locate that weight and read the PatientID in the frozen column A. Type the PatientID.</t>
        </is>
      </c>
      <c r="C9" s="19" t="inlineStr">
        <is>
          <t>Status bar Maximum, then Ctrl+F for that number</t>
        </is>
      </c>
      <c r="D9" s="20" t="n"/>
      <c r="E9" s="21">
        <f>IF(IFERROR(D9="",FALSE),"",IF(IFERROR(OR(LOWER(TRIM(D9&amp;""))=LOWER(TRIM('Bonus Key'!$C$8&amp;""))),FALSE),"✔ Correct","✘ Not yet"))</f>
        <v/>
      </c>
    </row>
  </sheetData>
  <mergeCells count="3">
    <mergeCell ref="A2:E2"/>
    <mergeCell ref="A4:C4"/>
    <mergeCell ref="A3:E3"/>
  </mergeCells>
  <conditionalFormatting sqref="E6:E9">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tabColor rgb="00C00000"/>
    <outlinePr summaryBelow="1" summaryRight="1"/>
    <pageSetUpPr fitToPage="1"/>
  </sheetPr>
  <dimension ref="A1:F16"/>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27" t="inlineStr">
        <is>
          <t>🔑 Answer Key — Lesson 1.1</t>
        </is>
      </c>
    </row>
    <row r="2" ht="32" customHeight="1">
      <c r="A2" s="28" t="inlineStr">
        <is>
          <t>Spoiler alert: try every task before reading this sheet. Column C is the value the Check column compares against. Column D is a sample solution, and column E recalculates a formula for it live, proving the answer.</t>
        </is>
      </c>
    </row>
    <row r="4">
      <c r="A4" s="29" t="inlineStr">
        <is>
          <t>#</t>
        </is>
      </c>
      <c r="B4" s="29" t="inlineStr">
        <is>
          <t>Task</t>
        </is>
      </c>
      <c r="C4" s="29" t="inlineStr">
        <is>
          <t>Answer</t>
        </is>
      </c>
      <c r="D4" s="29" t="inlineStr">
        <is>
          <t>Sample solution</t>
        </is>
      </c>
      <c r="E4" s="29" t="inlineStr">
        <is>
          <t>Live result</t>
        </is>
      </c>
      <c r="F4" s="29" t="inlineStr">
        <is>
          <t>Explanation</t>
        </is>
      </c>
    </row>
    <row r="5" ht="81" customHeight="1">
      <c r="A5" s="17" t="inlineStr">
        <is>
          <t>1</t>
        </is>
      </c>
      <c r="B5" s="18" t="inlineStr">
        <is>
          <t>On the Patients sheet, click in the Name Box (the box at the left end of the formula bar), type C347, and press Enter. What last name is in that cell?</t>
        </is>
      </c>
      <c r="C5" s="30" t="inlineStr">
        <is>
          <t>Coleman</t>
        </is>
      </c>
      <c r="D5" s="31" t="inlineStr">
        <is>
          <t>1. Click the Name Box, type C347, press Enter.
2. Read the cell (or the formula bar).</t>
        </is>
      </c>
      <c r="E5" cm="1" s="18">
        <f t="array" ref="E5">Patients!C347</f>
        <v/>
      </c>
      <c r="F5" s="18" t="inlineStr">
        <is>
          <t>The Name Box always shows the address of the active cell, and it works in reverse too: type an address, press Enter, and Excel takes you there. That's faster than scrolling 345 rows. Column C holds LastName, so C347 is the last name of the patient in row 347.</t>
        </is>
      </c>
    </row>
    <row r="6" ht="111" customHeight="1">
      <c r="A6" s="17" t="inlineStr">
        <is>
          <t>2</t>
        </is>
      </c>
      <c r="B6" s="18" t="inlineStr">
        <is>
          <t>What is the address of the bottom-right cell of the patient data? From A1, press Ctrl+↓ to find the last row, go back with Ctrl+↑, then press Ctrl+→ to find the last column. Type the address as column letter + row number (like B12).</t>
        </is>
      </c>
      <c r="C6" s="30" t="inlineStr">
        <is>
          <t>Q501</t>
        </is>
      </c>
      <c r="D6" s="31" t="inlineStr">
        <is>
          <t>1. Click A1 and press Ctrl+↓: the active cell becomes A501.
2. Press Ctrl+↑ to return to A1, then Ctrl+→: the active cell becomes Q1.
3. Combine them: Q501. Press Ctrl+End (Mac: Control+End, or Control+Fn+→) to confirm. It jumps straight there.</t>
        </is>
      </c>
      <c r="E6" cm="1" s="18">
        <f t="array" ref="E6">ADDRESS(COUNTA(Patients!A:A),COUNTA(Patients!1:1),4)</f>
        <v/>
      </c>
      <c r="F6" s="18" t="inlineStr">
        <is>
          <t>Ctrl+arrow jumps to the edge of the block of filled cells. Column A and row 1 have no gaps, so the jumps land on the true last row (501: 500 patients plus the header row) and the true last column (Q). Ctrl+End goes straight to the last used cell, Q501. The hidden column I doesn't change the answer, because hiding a column doesn't remove it.</t>
        </is>
      </c>
    </row>
    <row r="7" ht="66" customHeight="1">
      <c r="A7" s="17" t="inlineStr">
        <is>
          <t>3</t>
        </is>
      </c>
      <c r="B7" s="18" t="inlineStr">
        <is>
          <t>Use the Name Box to go to cell A600, which is in an empty row below the data, then press Ctrl+→. Excel races across the empty row to the very last column of the worksheet. What is the address of the cell you land on?</t>
        </is>
      </c>
      <c r="C7" s="30" t="inlineStr">
        <is>
          <t>XFD600</t>
        </is>
      </c>
      <c r="D7" s="31" t="inlineStr">
        <is>
          <t>1. Type A600 in the Name Box and press Enter.
2. Press Ctrl+→. The Name Box shows XFD600.
3. Press Ctrl+← to come back to column A.</t>
        </is>
      </c>
      <c r="E7" cm="1" s="18">
        <f t="array" ref="E7">ADDRESS(600,COLUMNS(Patients!1:1),4)</f>
        <v/>
      </c>
      <c r="F7" s="18" t="inlineStr">
        <is>
          <t>When the row is empty, Ctrl+→ has no data to stop at, so it goes to the edge of the sheet: column XFD, the 16,384th column. Ctrl+↓ in an empty column goes to row 1,048,576. Every modern worksheet has exactly 1,048,576 rows × 16,384 columns.</t>
        </is>
      </c>
    </row>
    <row r="8" ht="81" customHeight="1">
      <c r="A8" s="17" t="inlineStr">
        <is>
          <t>4</t>
        </is>
      </c>
      <c r="B8" s="18" t="inlineStr">
        <is>
          <t>Click M1 (the PCPProviderID header) and press Ctrl+↓ once. On which row number does Excel stop?</t>
        </is>
      </c>
      <c r="C8" s="30" t="n">
        <v>34</v>
      </c>
      <c r="D8" s="31" t="inlineStr">
        <is>
          <t>1. Click M1 (or type M1 in the Name Box).
2. Press Ctrl+↓. The Name Box shows M34.</t>
        </is>
      </c>
      <c r="E8" cm="1" s="18">
        <f t="array" ref="E8">MATCH(TRUE,ISBLANK(Patients!M2:M501),0)</f>
        <v/>
      </c>
      <c r="F8" s="18" t="inlineStr">
        <is>
          <t>M35 is empty because that patient has no primary care provider on file. Ctrl+↓ stops at the last filled cell before the gap, M34, even though the data continues to row 501. Never assume Ctrl+↓ found the bottom of a column with blanks. Check the row number, or press Ctrl+↓ again to keep jumping.</t>
        </is>
      </c>
    </row>
    <row r="9" ht="111" customHeight="1">
      <c r="A9" s="17" t="inlineStr">
        <is>
          <t>5</t>
        </is>
      </c>
      <c r="B9" s="18" t="inlineStr">
        <is>
          <t>Select the Email data cells J2:J501: type J2:J501 in the Name Box and press Enter. How many patients have an email address on file? Read Count on the status bar.</t>
        </is>
      </c>
      <c r="C9" s="30" t="n">
        <v>298</v>
      </c>
      <c r="D9" s="31" t="inlineStr">
        <is>
          <t>1. Type J2:J501 in the Name Box and press Enter.
2. Read Count on the status bar.</t>
        </is>
      </c>
      <c r="E9" cm="1" s="18">
        <f t="array" ref="E9">COUNTA(Patients!J2:J501)</f>
        <v/>
      </c>
      <c r="F9" s="18" t="inlineStr">
        <is>
          <t>The status bar's Count counts every non-empty cell, text included, so it counts the email addresses and skips the blanks. Typing the range in the Name Box selects exactly 500 cells. Ctrl+Shift+↓ from J2 would be a trap, because the Email column has gaps: it would select only J2:J3. In a Table you can also click any Email cell and press Ctrl+Space (Mac: Control+Space) to select just that column's data.</t>
        </is>
      </c>
    </row>
    <row r="10" ht="81" customHeight="1">
      <c r="A10" s="17" t="inlineStr">
        <is>
          <t>6</t>
        </is>
      </c>
      <c r="B10" s="18" t="inlineStr">
        <is>
          <t>Select the WeightLb values O2:O501 with Go To: press F5 or Ctrl+G (Mac: Control+G), type O2:O501, and press Enter. What is the average weight in pounds? Round to 1 decimal place.</t>
        </is>
      </c>
      <c r="C10" s="32" t="n">
        <v>167.8</v>
      </c>
      <c r="D10" s="31" t="inlineStr">
        <is>
          <t>1. Press F5 (or Ctrl+G), type O2:O501 in Reference, press Enter.
2. Read Average on the status bar and round it to 1 decimal place.</t>
        </is>
      </c>
      <c r="E10" cm="1" s="33">
        <f t="array" ref="E10">ROUND(AVERAGE(Patients!O2:O501),1)</f>
        <v/>
      </c>
      <c r="F10" s="18" t="inlineStr">
        <is>
          <t>Go To selects any range you type, however large. The status bar's Average is 167.8442, which rounds to 167.8. The average is pulled down by children in the list: the lightest patient weighs 9.7 lb, which is a baby and not a typo. Always glance at Minimum and Maximum before trusting an average.</t>
        </is>
      </c>
    </row>
    <row r="11" ht="111" customHeight="1">
      <c r="A11" s="17" t="inlineStr">
        <is>
          <t>7</t>
        </is>
      </c>
      <c r="B11" s="18" t="inlineStr">
        <is>
          <t>Turn on Minimum in the status bar: right-click the status bar and tick Minimum. Then click cell F2 (the first DOB) and press Ctrl+Shift+↓ to select every date of birth. What is the date of birth of the oldest patient? Type it as month/day/year, the way the status bar shows it. (If your computer uses day/month dates, type the month as a word instead, such as 15 Mar 1950.)</t>
        </is>
      </c>
      <c r="C11" s="34" t="n">
        <v>9534</v>
      </c>
      <c r="D11" s="31" t="inlineStr">
        <is>
          <t>1. Right-click the status bar and tick Minimum (and Maximum while you're there).
2. Click cell F2 and press Ctrl+Shift+↓ to select F2:F501.
3. Read Minimum on the status bar.</t>
        </is>
      </c>
      <c r="E11" cm="1" s="35">
        <f t="array" ref="E11">MIN(Patients!F2:F501)</f>
        <v/>
      </c>
      <c r="F11" s="18" t="inlineStr">
        <is>
          <t>Excel stores dates as numbers that grow by 1 each day, so the earliest date is the smallest number and Minimum finds it. The status bar shows it as a date because the cells are formatted as dates. (If you see a plain number such as 9534 instead, that's the date's serial number, and the check accepts it.) Ctrl+Shift+↓ is safe here because the DOB column has no blanks.</t>
        </is>
      </c>
    </row>
    <row r="12" ht="141" customHeight="1">
      <c r="A12" s="17" t="inlineStr">
        <is>
          <t>8</t>
        </is>
      </c>
      <c r="B12" s="18" t="inlineStr">
        <is>
          <t>How many patients live in Millbrook? On the Patients sheet, click a single cell such as A1 so Find searches the whole sheet. Then press Ctrl+F (Mac: Control+F), type Millbrook, click Find All, and read the count at the bottom of the dialog.</t>
        </is>
      </c>
      <c r="C12" s="30" t="n">
        <v>31</v>
      </c>
      <c r="D12" s="31" t="inlineStr">
        <is>
          <t>1. Click A1 (one cell, so Find searches the whole sheet).
2. Press Ctrl+F, type Millbrook, and click Find All.
3. Read '… cell(s) found' at the bottom of the dialog.</t>
        </is>
      </c>
      <c r="E12" cm="1" s="18">
        <f t="array" ref="E12">COUNTIF(Patients!A1:Q501,"*Millbrook*")</f>
        <v/>
      </c>
      <c r="F12" s="18" t="inlineStr">
        <is>
          <t>Find All lists every matching cell on the sheet and counts them. That's a count of patients here only because the word Millbrook appears in the City column and nowhere else. If a search term could also appear inside other text, such as an email address, turn on Match entire cell contents under Options. Clicking a single cell first matters too. When several cells are selected, Find searches only inside the selection, so with the DOB column still selected from the previous task, Find All would report nothing.</t>
        </is>
      </c>
    </row>
    <row r="13" ht="111" customHeight="1">
      <c r="A13" s="17" t="inlineStr">
        <is>
          <t>9</t>
        </is>
      </c>
      <c r="B13" s="18" t="inlineStr">
        <is>
          <t>Column I is hidden (the column letters jump from H to J). Unhide it, then click cell A1 and use Ctrl+F (Mac: Control+F) to find patient PT12376. What is that patient's phone number?</t>
        </is>
      </c>
      <c r="C13" s="30" t="inlineStr">
        <is>
          <t>(555) 740-8462</t>
        </is>
      </c>
      <c r="D13" s="31" t="inlineStr">
        <is>
          <t>1. Click the H column header, Shift+click the J header, then right-click → Unhide.
2. Click A1, press Ctrl+F, type PT12376, click Find Next, then close the dialog.
3. Read column I on row 298.</t>
        </is>
      </c>
      <c r="E13" cm="1" s="18">
        <f t="array" ref="E13">Patients!I298</f>
        <v/>
      </c>
      <c r="F13" s="18" t="inlineStr">
        <is>
          <t>You can't click a hidden column, so you select the columns on both sides of it (H and J) and choose Unhide. Click A1 before you search, because while those three columns are selected, Find looks only inside them. The patient is on row 298. Hiding never deletes data: the phone numbers were there all along, so a hidden column is not a safe place for confidential data.</t>
        </is>
      </c>
    </row>
    <row r="14" ht="111" customHeight="1">
      <c r="A14" s="17" t="inlineStr">
        <is>
          <t>10</t>
        </is>
      </c>
      <c r="B14" s="18" t="inlineStr">
        <is>
          <t>Patient PT13312 has a PrimaryPayerID in column L. The payer names are on the Payers sheet, which is hidden. Unhide it (right-click any sheet tab → Unhide…) and type the name of this patient's payer.</t>
        </is>
      </c>
      <c r="C14" s="30" t="inlineStr">
        <is>
          <t>Summit Choice PPO</t>
        </is>
      </c>
      <c r="D14" s="31" t="inlineStr">
        <is>
          <t>1. On the Patients sheet, click A1, press Ctrl+F, and find PT13312: row 415, payer ID PY06.
2. Right-click any sheet tab → Unhide… → Payers → OK.
3. On the Payers sheet, PY06 is Summit Choice PPO.</t>
        </is>
      </c>
      <c r="E14" cm="1" s="18">
        <f t="array" ref="E14">INDEX(Payers!$B$2:$B$9,MATCH(Patients!L415,Payers!$A$2:$A$9,0))</f>
        <v/>
      </c>
      <c r="F14" s="18" t="inlineStr">
        <is>
          <t>Hidden sheets don't show a tab, so the only clue is the Unhide… command becoming available. This is the same move you'll use to open the Answer Key in every lesson. Small lookup lists like this one are often hidden to keep a workbook tidy, and in Lesson 2.6 you'll learn to pull names from them automatically with a lookup formula.</t>
        </is>
      </c>
    </row>
    <row r="15" ht="81" customHeight="1">
      <c r="A15" s="17" t="inlineStr">
        <is>
          <t>11</t>
        </is>
      </c>
      <c r="B15" s="18" t="inlineStr">
        <is>
          <t>How many worksheets does this workbook contain in total, hidden ones included? Count the tabs you can see, then right-click a tab → Unhide… to see what's still hidden. Look, but don't unhide the answer keys yet!</t>
        </is>
      </c>
      <c r="C15" s="30" t="n">
        <v>7</v>
      </c>
      <c r="D15" s="31" t="inlineStr">
        <is>
          <t>1. Count the visible tabs: Start Here, Practice, Patients, Payers (now unhidden), Bonus.
2. Right-click a tab → Unhide…: the list shows Answer Key and Bonus Key. Click Cancel.
3. 5 + 2 = 7.</t>
        </is>
      </c>
      <c r="E15" cm="1" s="18">
        <f t="array" ref="E15">_xlfn.SHEETS()</f>
        <v/>
      </c>
      <c r="F15" s="18" t="inlineStr">
        <is>
          <t>A workbook is the file, and each worksheet is one tab inside it. This file has 7 worksheets, and 2 of them are still hidden: the Answer Key and the Bonus Key. The total is the same whether or not you unhid Payers first, because hiding a sheet doesn't remove it.</t>
        </is>
      </c>
    </row>
    <row r="16" ht="81" customHeight="1">
      <c r="A16" s="17" t="inlineStr">
        <is>
          <t>12</t>
        </is>
      </c>
      <c r="B16" s="18" t="inlineStr">
        <is>
          <t>You want row 1 (the headers) and columns A:B (PatientID and MRN) to stay on screen while you scroll. Which cell must you select before choosing View → Freeze Panes → Freeze Panes? Type its address.</t>
        </is>
      </c>
      <c r="C16" s="30" t="inlineStr">
        <is>
          <t>C2</t>
        </is>
      </c>
      <c r="D16" s="31" t="inlineStr">
        <is>
          <t>1. Click C2.
2. View → Freeze Panes → Freeze Panes.
3. Scroll down and right: row 1 and columns A:B stay put. (View → Freeze Panes → Unfreeze Panes undoes it.)</t>
        </is>
      </c>
      <c r="E16" s="17" t="inlineStr">
        <is>
          <t>—</t>
        </is>
      </c>
      <c r="F16" s="18" t="inlineStr">
        <is>
          <t>Freeze Panes freezes the rows above the active cell and the columns to its left. To keep 1 row and 2 columns, select the cell just below row 1 and just right of column B: C2. Selecting B2 would keep row 1 but only column A, and A2 would freeze only row 1, which is the same as Freeze Top Row.</t>
        </is>
      </c>
    </row>
  </sheetData>
  <mergeCells count="1">
    <mergeCell ref="A2:F2"/>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F8"/>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27" t="inlineStr">
        <is>
          <t>🔑 Bonus Key — Lesson 1.1</t>
        </is>
      </c>
    </row>
    <row r="2" ht="32" customHeight="1">
      <c r="A2" s="28" t="inlineStr">
        <is>
          <t>Spoiler alert: try every task before reading this sheet. Column C is the value the Check column compares against. Column D is a sample solution, and column E recalculates a formula for it live, proving the answer.</t>
        </is>
      </c>
    </row>
    <row r="4">
      <c r="A4" s="29" t="inlineStr">
        <is>
          <t>#</t>
        </is>
      </c>
      <c r="B4" s="29" t="inlineStr">
        <is>
          <t>Task</t>
        </is>
      </c>
      <c r="C4" s="29" t="inlineStr">
        <is>
          <t>Answer</t>
        </is>
      </c>
      <c r="D4" s="29" t="inlineStr">
        <is>
          <t>Sample solution</t>
        </is>
      </c>
      <c r="E4" s="29" t="inlineStr">
        <is>
          <t>Live result</t>
        </is>
      </c>
      <c r="F4" s="29" t="inlineStr">
        <is>
          <t>Explanation</t>
        </is>
      </c>
    </row>
    <row r="5" ht="111" customHeight="1">
      <c r="A5" s="17" t="inlineStr">
        <is>
          <t>B1</t>
        </is>
      </c>
      <c r="B5" s="18" t="inlineStr">
        <is>
          <t>Each outreach letter is signed by the patient's primary care provider (PCP), and a blank PCPProviderID means no PCP is on file. Use Go To (F5 or Ctrl+G, Mac: Control+G) to select M2:M501. How many of the 500 patients have no PCP?</t>
        </is>
      </c>
      <c r="C5" s="30" t="n">
        <v>31</v>
      </c>
      <c r="D5" s="31" t="inlineStr">
        <is>
          <t>1. Press F5, type M2:M501, press Enter.
2. The status bar shows Count: 469.
3. 500 − 469 = 31.</t>
        </is>
      </c>
      <c r="E5" cm="1" s="18">
        <f t="array" ref="E5">COUNTBLANK(Patients!M2:M501)</f>
        <v/>
      </c>
      <c r="F5" s="18" t="inlineStr">
        <is>
          <t>Count only counts non-empty cells, so it tells you how many patients do have a PCP (469). The range M2:M501 covers rows 2 to 501, which is 500 cells, so 500 − 469 leaves 31 blanks. Any of those patients who have hypertension need a PCP assigned before a letter can go out. (If you select by dragging instead, the Name Box shows the size of the selection while you drag, such as 500R x 1C.)</t>
        </is>
      </c>
    </row>
    <row r="6" ht="111" customHeight="1">
      <c r="A6" s="17" t="inlineStr">
        <is>
          <t>B2</t>
        </is>
      </c>
      <c r="B6" s="18" t="inlineStr">
        <is>
          <t>The program targets every patient with hypertension, coded HTN. Click a single cell such as A1, so Find searches the whole sheet rather than the column you just selected. Press Ctrl+F (Mac: Control+F), click Options &gt;&gt; and make sure Match entire cell contents is OFF, then Find All for HTN. How many patients have HTN anywhere in their ChronicConditions list?</t>
        </is>
      </c>
      <c r="C6" s="30" t="n">
        <v>144</v>
      </c>
      <c r="D6" s="31" t="inlineStr">
        <is>
          <t>1. Click A1, then Ctrl+F → Options &gt;&gt; → untick Match entire cell contents.
2. Type HTN and click Find All.
3. Read the count at the bottom of the dialog.</t>
        </is>
      </c>
      <c r="E6" cm="1" s="18">
        <f t="array" ref="E6">COUNTIF(Patients!A1:Q501,"*HTN*")</f>
        <v/>
      </c>
      <c r="F6" s="18" t="inlineStr">
        <is>
          <t>By default Find matches text anywhere inside a cell, so it finds HTN on its own and also inside lists like HTN;DM and HTN;HF. No other column contains the letters HTN, so every hit is a patient with hypertension.</t>
        </is>
      </c>
    </row>
    <row r="7" ht="96" customHeight="1">
      <c r="A7" s="17" t="inlineStr">
        <is>
          <t>B3</t>
        </is>
      </c>
      <c r="B7" s="18" t="inlineStr">
        <is>
          <t>Patients whose only condition is hypertension will get a shorter letter. Turn ON Match entire cell contents and Find All for HTN again. How many patients have hypertension as their ONLY recorded chronic condition?</t>
        </is>
      </c>
      <c r="C7" s="30" t="n">
        <v>48</v>
      </c>
      <c r="D7" s="31" t="inlineStr">
        <is>
          <t>1. In the Find dialog, tick Match entire cell contents.
2. Find All for HTN.
3. Read the count.</t>
        </is>
      </c>
      <c r="E7" cm="1" s="18">
        <f t="array" ref="E7">COUNTIF(Patients!A1:Q501,"HTN")</f>
        <v/>
      </c>
      <c r="F7" s="18" t="inlineStr">
        <is>
          <t>With Match entire cell contents on, a cell must equal HTN exactly, so HTN;DM no longer counts. The gap between the two answers (144 − 48 = 96) is the number of hypertensive patients with at least one other condition. When you finish this challenge, turn the option off again, because Find keeps your settings until you close Excel.</t>
        </is>
      </c>
    </row>
    <row r="8" ht="141" customHeight="1">
      <c r="A8" s="17" t="inlineStr">
        <is>
          <t>B4</t>
        </is>
      </c>
      <c r="B8" s="18" t="inlineStr">
        <is>
          <t>Finally, the steward wants to confirm that the largest weight on file is real and not a typo. Which patient is the heaviest? Select O2:O501, read Maximum on the status bar, then use Find to locate that weight and read the PatientID in the frozen column A. Type the PatientID.</t>
        </is>
      </c>
      <c r="C8" s="30" t="inlineStr">
        <is>
          <t>PT13784</t>
        </is>
      </c>
      <c r="D8" s="31" t="inlineStr">
        <is>
          <t>1. Select O2:O501 (Name Box or Go To) and read Maximum: 319.2.
2. With the weights still selected, press Ctrl+F → Find what: 319.2 → Find Next. (Match entire cell contents can be on or off here, because no other cell on the sheet contains 319.2.)
3. Excel selects O474. The frozen column A shows PT13784.</t>
        </is>
      </c>
      <c r="E8" cm="1" s="18">
        <f t="array" ref="E8">INDEX(Patients!A2:A501,MATCH(MAX(Patients!O2:O501),Patients!O2:O501,0))</f>
        <v/>
      </c>
      <c r="F8" s="18" t="inlineStr">
        <is>
          <t>The status bar tells you what the largest value is but not where it is. Find tells you where, and leaving the weights selected helps, because Find then searches only inside the selection. Because panes are frozen at B2, column A stays on screen when Find scrolls over to the WeightLb column, so you can read the ID without losing your place. Teams use this check to plan bariatric beds and lift equipment, and it's also how you'd spot a typo such as 3192 lb.</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1.1 — The Excel Interface &amp; Navigation</dc:title>
  <dcterms:created xsi:type="dcterms:W3CDTF">2026-10-02T18:49:01Z</dcterms:created>
  <dcterms:modified xsi:type="dcterms:W3CDTF">2026-10-02T18:49:01Z</dcterms:modified>
</cp:coreProperties>
</file>
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xl/metadata.xml" ContentType="application/vnd.openxmlformats-officedocument.spreadsheetml.sheetMetadata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Practice" sheetId="2" state="visible" r:id="rId2"/>
    <sheet name="Census" sheetId="3" state="visible" r:id="rId3"/>
    <sheet name="Supplies" sheetId="4" state="visible" r:id="rId4"/>
    <sheet name="Bonus" sheetId="5" state="visible" r:id="rId5"/>
    <sheet name="Answer Key" sheetId="6" state="hidden" r:id="rId6"/>
    <sheet name="Bonus Key" sheetId="7" state="hidden" r:id="rId7"/>
  </sheets>
  <definedNames/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0.0%"/>
    <numFmt numFmtId="167" formatCode="0.0"/>
  </numFmts>
  <fonts count="17">
    <font>
      <name val="Calibri"/>
      <family val="2"/>
      <color theme="1"/>
      <sz val="11"/>
      <scheme val="minor"/>
    </font>
    <font>
      <b val="1"/>
    </font>
    <font>
      <b val="1"/>
      <color rgb="00000000"/>
    </font>
    <font>
      <b val="1"/>
      <color rgb="007B2C2C"/>
      <sz val="16"/>
    </font>
    <font>
      <i val="1"/>
      <color rgb="00595959"/>
    </font>
    <font>
      <b val="1"/>
      <color rgb="00FFFFFF"/>
    </font>
    <font>
      <name val="Consolas"/>
      <sz val="10"/>
    </font>
    <font>
      <b val="1"/>
      <color rgb="001F4E79"/>
      <sz val="16"/>
    </font>
    <font>
      <color rgb="00404040"/>
      <sz val="11"/>
    </font>
    <font>
      <i val="1"/>
      <color rgb="00404040"/>
      <sz val="11"/>
    </font>
    <font>
      <i val="1"/>
      <color rgb="007F7F7F"/>
    </font>
    <font>
      <i val="1"/>
      <color rgb="00404040"/>
    </font>
    <font>
      <b val="1"/>
      <color rgb="00375623"/>
      <sz val="12"/>
    </font>
    <font>
      <b val="1"/>
      <color rgb="002E75B6"/>
      <sz val="12"/>
    </font>
    <font>
      <b val="1"/>
      <color rgb="001F4E79"/>
      <sz val="22"/>
    </font>
    <font>
      <b val="1"/>
      <color rgb="00FFFFFF"/>
      <sz val="13"/>
    </font>
    <font/>
  </fonts>
  <fills count="9">
    <fill>
      <patternFill/>
    </fill>
    <fill>
      <patternFill patternType="gray125"/>
    </fill>
    <fill>
      <patternFill patternType="solid">
        <fgColor rgb="00FFD966"/>
      </patternFill>
    </fill>
    <fill>
      <patternFill patternType="solid">
        <fgColor rgb="00FFF2CC"/>
      </patternFill>
    </fill>
    <fill>
      <patternFill patternType="solid">
        <fgColor rgb="007B2C2C"/>
      </patternFill>
    </fill>
    <fill>
      <patternFill patternType="solid">
        <fgColor rgb="001F4E79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9000"/>
      </left>
      <right style="thin">
        <color rgb="00BF9000"/>
      </right>
      <top style="thin">
        <color rgb="00BF9000"/>
      </top>
      <bottom style="thin">
        <color rgb="00BF9000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4" fillId="0" borderId="0" pivotButton="0" quotePrefix="0" xfId="0"/>
    <xf numFmtId="0" fontId="15" fillId="5" borderId="0" pivotButton="0" quotePrefix="0" xfId="0"/>
    <xf numFmtId="0" fontId="0" fillId="5" borderId="0" pivotButton="0" quotePrefix="0" xfId="0"/>
    <xf numFmtId="0" fontId="1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6" borderId="0" applyAlignment="1" pivotButton="0" quotePrefix="0" xfId="0">
      <alignment vertical="top" wrapText="1"/>
    </xf>
    <xf numFmtId="0" fontId="1" fillId="7" borderId="0" applyAlignment="1" pivotButton="0" quotePrefix="0" xfId="0">
      <alignment vertical="top" wrapText="1"/>
    </xf>
    <xf numFmtId="0" fontId="1" fillId="8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2" fillId="0" borderId="0" pivotButton="0" quotePrefix="0" xfId="0"/>
    <xf numFmtId="0" fontId="5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0" fillId="3" borderId="2" applyAlignment="1" pivotButton="0" quotePrefix="0" xfId="0">
      <alignment horizontal="right" vertical="top"/>
    </xf>
    <xf numFmtId="0" fontId="1" fillId="0" borderId="1" applyAlignment="1" pivotButton="0" quotePrefix="0" xfId="0">
      <alignment vertical="top"/>
    </xf>
    <xf numFmtId="2" fontId="0" fillId="3" borderId="2" applyAlignment="1" pivotButton="0" quotePrefix="0" xfId="0">
      <alignment horizontal="right" vertical="top"/>
    </xf>
    <xf numFmtId="166" fontId="0" fillId="3" borderId="2" applyAlignment="1" pivotButton="0" quotePrefix="0" xfId="0">
      <alignment horizontal="right" vertical="top"/>
    </xf>
    <xf numFmtId="0" fontId="11" fillId="6" borderId="1" applyAlignment="1" pivotButton="0" quotePrefix="0" xfId="0">
      <alignment horizontal="right" vertical="top"/>
    </xf>
    <xf numFmtId="167" fontId="0" fillId="3" borderId="2" applyAlignment="1" pivotButton="0" quotePrefix="0" xfId="0">
      <alignment horizontal="right" vertical="top"/>
    </xf>
    <xf numFmtId="4" fontId="11" fillId="6" borderId="1" applyAlignment="1" pivotButton="0" quotePrefix="0" xfId="0">
      <alignment horizontal="right" vertical="top"/>
    </xf>
    <xf numFmtId="0" fontId="1" fillId="0" borderId="0" pivotButton="0" quotePrefix="0" xfId="0"/>
    <xf numFmtId="0" fontId="2" fillId="2" borderId="0" pivotButton="0" quotePrefix="0" xfId="0"/>
    <xf numFmtId="165" fontId="0" fillId="0" borderId="0" pivotButton="0" quotePrefix="0" xfId="0"/>
    <xf numFmtId="166" fontId="0" fillId="3" borderId="0" pivotButton="0" quotePrefix="0" xfId="0"/>
    <xf numFmtId="4" fontId="0" fillId="0" borderId="0" pivotButton="0" quotePrefix="0" xfId="0"/>
    <xf numFmtId="4" fontId="0" fillId="3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4" borderId="1" pivotButton="0" quotePrefix="0" xfId="0"/>
    <xf numFmtId="0" fontId="1" fillId="0" borderId="1" applyAlignment="1" pivotButton="0" quotePrefix="0" xfId="0">
      <alignment vertical="top" wrapText="1"/>
    </xf>
    <xf numFmtId="0" fontId="6" fillId="0" borderId="1" applyAlignment="1" pivotButton="0" quotePrefix="1" xfId="0">
      <alignment vertical="top" wrapText="1"/>
    </xf>
    <xf numFmtId="0" fontId="0" fillId="0" borderId="1" applyAlignment="1" pivotButton="0" quotePrefix="0" xfId="0">
      <alignment vertical="top"/>
    </xf>
    <xf numFmtId="2" fontId="1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/>
    </xf>
    <xf numFmtId="166" fontId="1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/>
    </xf>
    <xf numFmtId="167" fontId="1" fillId="0" borderId="1" applyAlignment="1" pivotButton="0" quotePrefix="0" xfId="0">
      <alignment vertical="top" wrapText="1"/>
    </xf>
    <xf numFmtId="167" fontId="0" fillId="0" borderId="1" applyAlignment="1" pivotButton="0" quotePrefix="0" xfId="0">
      <alignment vertical="top"/>
    </xf>
    <xf numFmtId="4" fontId="1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/>
    </xf>
  </cellXfs>
  <cellStyles count="1">
    <cellStyle name="Normal" xfId="0" builtinId="0" hidden="0"/>
  </cellStyles>
  <dxfs count="2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Relationship Id="rIdXlcMeta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id="1" name="tblCensus" displayName="tblCensus" ref="A1:G91" headerRowCount="1">
  <autoFilter ref="A1:G91"/>
  <tableColumns count="7">
    <tableColumn id="1" name="CensusDate"/>
    <tableColumn id="2" name="StaffedBeds"/>
    <tableColumn id="3" name="Admissions"/>
    <tableColumn id="4" name="Discharges"/>
    <tableColumn id="5" name="MidnightCensus"/>
    <tableColumn id="6" name="Notes"/>
    <tableColumn id="7" name="Occupancy"/>
  </tableColumns>
  <tableStyleInfo name="TableStyleMedium2" showRowStripes="1"/>
</table>
</file>

<file path=xl/tables/table2.xml><?xml version="1.0" encoding="utf-8"?>
<table xmlns="http://schemas.openxmlformats.org/spreadsheetml/2006/main" id="2" name="tblSupplies" displayName="tblSupplies" ref="A1:G15" headerRowCount="1">
  <autoFilter ref="A1:G15"/>
  <tableColumns count="7">
    <tableColumn id="1" name="SKU"/>
    <tableColumn id="2" name="ItemDescription"/>
    <tableColumn id="3" name="Category"/>
    <tableColumn id="4" name="UnitOfMeasure"/>
    <tableColumn id="5" name="UnitCost"/>
    <tableColumn id="6" name="QtyOnHand"/>
    <tableColumn id="7" name="StockValu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B2:C30"/>
  <sheetViews>
    <sheetView tabSelected="1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5" customWidth="1" min="3" max="3"/>
  </cols>
  <sheetData>
    <row r="2">
      <c r="B2" s="1" t="inlineStr">
        <is>
          <t>Lesson 1.4</t>
        </is>
      </c>
    </row>
    <row r="3">
      <c r="B3" s="2" t="inlineStr">
        <is>
          <t>Your First Formulas &amp; Functions</t>
        </is>
      </c>
    </row>
    <row r="4">
      <c r="B4" s="3" t="inlineStr">
        <is>
          <t>Beginner  ·  about 45 minutes  ·  Bluestone Health System (fictional)</t>
        </is>
      </c>
    </row>
    <row r="6">
      <c r="B6" s="4" t="inlineStr">
        <is>
          <t>What you'll learn</t>
        </is>
      </c>
      <c r="C6" s="5" t="n"/>
    </row>
    <row r="7" ht="18" customHeight="1">
      <c r="B7" s="6" t="inlineStr">
        <is>
          <t>•</t>
        </is>
      </c>
      <c r="C7" s="7" t="inlineStr">
        <is>
          <t>Write formulas with operators and the correct order of operations</t>
        </is>
      </c>
    </row>
    <row r="8" ht="18" customHeight="1">
      <c r="B8" s="6" t="inlineStr">
        <is>
          <t>•</t>
        </is>
      </c>
      <c r="C8" s="7" t="inlineStr">
        <is>
          <t>Use SUM, AVERAGE, MIN, MAX, COUNT, COUNTA, and COUNTBLANK</t>
        </is>
      </c>
    </row>
    <row r="9" ht="18" customHeight="1">
      <c r="B9" s="6" t="inlineStr">
        <is>
          <t>•</t>
        </is>
      </c>
      <c r="C9" s="7" t="inlineStr">
        <is>
          <t>Calculate rates and percentages such as bed occupancy</t>
        </is>
      </c>
    </row>
    <row r="10" ht="18" customHeight="1">
      <c r="B10" s="6" t="inlineStr">
        <is>
          <t>•</t>
        </is>
      </c>
      <c r="C10" s="7" t="inlineStr">
        <is>
          <t>Copy formulas down a column and read common errors (#DIV/0!, #NAME?, #VALUE!)</t>
        </is>
      </c>
    </row>
    <row r="11" ht="18" customHeight="1">
      <c r="B11" s="6" t="inlineStr">
        <is>
          <t>•</t>
        </is>
      </c>
      <c r="C11" s="7" t="inlineStr">
        <is>
          <t>Round results with ROUND</t>
        </is>
      </c>
    </row>
    <row r="13">
      <c r="B13" s="4" t="inlineStr">
        <is>
          <t>How to use this workbook</t>
        </is>
      </c>
      <c r="C13" s="5" t="n"/>
    </row>
    <row r="14" ht="33" customHeight="1">
      <c r="B14" s="8" t="inlineStr">
        <is>
          <t>1. Read the guide</t>
        </is>
      </c>
      <c r="C14" s="7" t="inlineStr">
        <is>
          <t>The lesson guide (README) explains each skill with examples: https://github.com/lmansf/learn-excel/tree/main/01-foundations/04-basic-formulas</t>
        </is>
      </c>
    </row>
    <row r="15" ht="18" customHeight="1">
      <c r="B15" s="8" t="inlineStr">
        <is>
          <t>2. Practice</t>
        </is>
      </c>
      <c r="C15" s="7" t="inlineStr">
        <is>
          <t>Go to the 'Practice' sheet. Type a formula or value into each yellow cell.</t>
        </is>
      </c>
    </row>
    <row r="16" ht="33" customHeight="1">
      <c r="B16" s="8" t="inlineStr">
        <is>
          <t>3. Check yourself</t>
        </is>
      </c>
      <c r="C16" s="7" t="inlineStr">
        <is>
          <t>The Check column shows ✔ Correct (green) or ✘ Not yet (red). Tasks marked 'See key' are checked by comparing with the answer key.</t>
        </is>
      </c>
    </row>
    <row r="17" ht="18" customHeight="1">
      <c r="B17" s="8" t="inlineStr">
        <is>
          <t>4. Bonus</t>
        </is>
      </c>
      <c r="C17" s="7" t="inlineStr">
        <is>
          <t>Finished? Try the harder 'Bonus' sheet.</t>
        </is>
      </c>
    </row>
    <row r="18" ht="33" customHeight="1">
      <c r="B18" s="8" t="inlineStr">
        <is>
          <t>5. Answers</t>
        </is>
      </c>
      <c r="C18" s="7" t="inlineStr">
        <is>
          <t>The 'Answer Key' and 'Bonus Key' sheets are hidden. Right-click any sheet tab → Unhide… → pick one → OK. (Try first!)</t>
        </is>
      </c>
    </row>
    <row r="20">
      <c r="B20" s="4" t="inlineStr">
        <is>
          <t>Color legend</t>
        </is>
      </c>
      <c r="C20" s="5" t="n"/>
    </row>
    <row r="21" ht="18" customHeight="1">
      <c r="B21" s="9" t="inlineStr">
        <is>
          <t>Yellow cell</t>
        </is>
      </c>
      <c r="C21" s="7" t="inlineStr">
        <is>
          <t>Your answer goes here.</t>
        </is>
      </c>
    </row>
    <row r="22" ht="18" customHeight="1">
      <c r="B22" s="10" t="inlineStr">
        <is>
          <t>Gray cell</t>
        </is>
      </c>
      <c r="C22" s="7" t="inlineStr">
        <is>
          <t>Pre-filled summary formula — it reads the work you did on another sheet.</t>
        </is>
      </c>
    </row>
    <row r="23" ht="18" customHeight="1">
      <c r="B23" s="11" t="inlineStr">
        <is>
          <t>✔ Correct</t>
        </is>
      </c>
      <c r="C23" s="7" t="inlineStr">
        <is>
          <t>Your answer matches the key.</t>
        </is>
      </c>
    </row>
    <row r="24" ht="18" customHeight="1">
      <c r="B24" s="12" t="inlineStr">
        <is>
          <t>✘ Not yet</t>
        </is>
      </c>
      <c r="C24" s="7" t="inlineStr">
        <is>
          <t>Not matching yet — check the hint and try again.</t>
        </is>
      </c>
    </row>
    <row r="26">
      <c r="B26" s="4" t="inlineStr">
        <is>
          <t>Sheets in this workbook</t>
        </is>
      </c>
      <c r="C26" s="5" t="n"/>
    </row>
    <row r="27" ht="18" customHeight="1">
      <c r="B27" s="8" t="inlineStr">
        <is>
          <t>Census</t>
        </is>
      </c>
      <c r="C27" s="7" t="inlineStr">
        <is>
          <t>Data: 90 rows — Excel Table 'tblCensus'</t>
        </is>
      </c>
    </row>
    <row r="28" ht="18" customHeight="1">
      <c r="B28" s="8" t="inlineStr">
        <is>
          <t>Supplies</t>
        </is>
      </c>
      <c r="C28" s="7" t="inlineStr">
        <is>
          <t>Data: 14 rows — Excel Table 'tblSupplies'</t>
        </is>
      </c>
    </row>
    <row r="29" ht="33" customHeight="1">
      <c r="B29" s="8" t="inlineStr">
        <is>
          <t>About the data</t>
        </is>
      </c>
      <c r="C29" s="7" t="inlineStr">
        <is>
          <t>Daily census for Medical-Surgical 4 West at Bluestone Memorial Hospital, Jan–Mar 2025 (90 days), plus the unit's supply room stock.</t>
        </is>
      </c>
    </row>
    <row r="30" ht="18" customHeight="1">
      <c r="B30" s="8" t="inlineStr">
        <is>
          <t>Disclaimer</t>
        </is>
      </c>
      <c r="C30" s="7" t="inlineStr">
        <is>
          <t>All people, places, and numbers are synthetic and fictional. Not clinical guidance.</t>
        </is>
      </c>
    </row>
  </sheetData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E18"/>
  <sheetViews>
    <sheetView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72" customWidth="1" min="2" max="2"/>
    <col width="38" customWidth="1" min="3" max="3"/>
    <col width="22" customWidth="1" min="4" max="4"/>
    <col width="14" customWidth="1" min="5" max="5"/>
  </cols>
  <sheetData>
    <row r="1">
      <c r="A1" s="13" t="inlineStr">
        <is>
          <t>Lesson 1.4 · Practice</t>
        </is>
      </c>
    </row>
    <row r="2" ht="34" customHeight="1">
      <c r="A2" s="14" t="inlineStr">
        <is>
          <t>All tasks use the Census sheet (4 West, Q1 2025) unless they say otherwise. Use cell ranges like Census!C2:C91 — or click and drag to select them while typing a formula.</t>
        </is>
      </c>
    </row>
    <row r="3" ht="34" customHeight="1">
      <c r="A3" s="15" t="inlineStr">
        <is>
          <t>Type a formula or value in each yellow cell. The Check column turns green when your answer matches. Stuck? Read the hint, then the lesson guide. Answers: right-click a sheet tab → Unhide… → 'Answer Key'.</t>
        </is>
      </c>
    </row>
    <row r="4">
      <c r="A4" s="16">
        <f>"Score: "&amp;COUNTIF(E6:E18,"✔*")&amp;" of 13 auto-checked tasks correct"</f>
        <v/>
      </c>
    </row>
    <row r="5">
      <c r="A5" s="17" t="inlineStr">
        <is>
          <t>#</t>
        </is>
      </c>
      <c r="B5" s="17" t="inlineStr">
        <is>
          <t>Task</t>
        </is>
      </c>
      <c r="C5" s="17" t="inlineStr">
        <is>
          <t>Hint</t>
        </is>
      </c>
      <c r="D5" s="17" t="inlineStr">
        <is>
          <t>Your Answer</t>
        </is>
      </c>
      <c r="E5" s="17" t="inlineStr">
        <is>
          <t>Check</t>
        </is>
      </c>
    </row>
    <row r="6" ht="36" customHeight="1">
      <c r="A6" s="18" t="inlineStr">
        <is>
          <t>1</t>
        </is>
      </c>
      <c r="B6" s="19" t="inlineStr">
        <is>
          <t>How many patients were admitted to 4 West during the quarter (total of the Admissions column)?</t>
        </is>
      </c>
      <c r="C6" s="20" t="inlineStr">
        <is>
          <t>SUM</t>
        </is>
      </c>
      <c r="D6" s="21" t="n"/>
      <c r="E6" s="22">
        <f>IF(IFERROR(D6="",FALSE),"",IF(IFERROR(AND(ISNUMBER(D6),OR(ABS(D6-'Answer Key'!$C$5)&lt;=0.0001)),FALSE),"✔ Correct","✘ Not yet"))</f>
        <v/>
      </c>
    </row>
    <row r="7" ht="36" customHeight="1">
      <c r="A7" s="18" t="inlineStr">
        <is>
          <t>2</t>
        </is>
      </c>
      <c r="B7" s="19" t="inlineStr">
        <is>
          <t>What was the average midnight census? (Keep full precision — the check accepts 2 decimal places.)</t>
        </is>
      </c>
      <c r="C7" s="20" t="inlineStr">
        <is>
          <t>AVERAGE</t>
        </is>
      </c>
      <c r="D7" s="23" t="n"/>
      <c r="E7" s="22">
        <f>IF(IFERROR(D7="",FALSE),"",IF(IFERROR(AND(ISNUMBER(D7),OR(ABS(D7-'Answer Key'!$C$6)&lt;=0.0051)),FALSE),"✔ Correct","✘ Not yet"))</f>
        <v/>
      </c>
    </row>
    <row r="8" ht="30" customHeight="1">
      <c r="A8" s="18" t="inlineStr">
        <is>
          <t>3</t>
        </is>
      </c>
      <c r="B8" s="19" t="inlineStr">
        <is>
          <t>What was the highest midnight census on any day?</t>
        </is>
      </c>
      <c r="C8" s="20" t="inlineStr">
        <is>
          <t>MAX</t>
        </is>
      </c>
      <c r="D8" s="21" t="n"/>
      <c r="E8" s="22">
        <f>IF(IFERROR(D8="",FALSE),"",IF(IFERROR(AND(ISNUMBER(D8),OR(ABS(D8-'Answer Key'!$C$7)&lt;=0.0001)),FALSE),"✔ Correct","✘ Not yet"))</f>
        <v/>
      </c>
    </row>
    <row r="9" ht="30" customHeight="1">
      <c r="A9" s="18" t="inlineStr">
        <is>
          <t>4</t>
        </is>
      </c>
      <c r="B9" s="19" t="inlineStr">
        <is>
          <t>What was the lowest midnight census on any day?</t>
        </is>
      </c>
      <c r="C9" s="20" t="inlineStr">
        <is>
          <t>MIN</t>
        </is>
      </c>
      <c r="D9" s="21" t="n"/>
      <c r="E9" s="22">
        <f>IF(IFERROR(D9="",FALSE),"",IF(IFERROR(AND(ISNUMBER(D9),OR(ABS(D9-'Answer Key'!$C$8)&lt;=0.0001)),FALSE),"✔ Correct","✘ Not yet"))</f>
        <v/>
      </c>
    </row>
    <row r="10" ht="36" customHeight="1">
      <c r="A10" s="18" t="inlineStr">
        <is>
          <t>5</t>
        </is>
      </c>
      <c r="B10" s="19" t="inlineStr">
        <is>
          <t>How many days of census data are there? Count the dates in the CensusDate column.</t>
        </is>
      </c>
      <c r="C10" s="20" t="inlineStr">
        <is>
          <t>COUNT counts numbers — and dates are numbers</t>
        </is>
      </c>
      <c r="D10" s="21" t="n"/>
      <c r="E10" s="22">
        <f>IF(IFERROR(D10="",FALSE),"",IF(IFERROR(AND(ISNUMBER(D10),OR(ABS(D10-'Answer Key'!$C$9)&lt;=0.0001)),FALSE),"✔ Correct","✘ Not yet"))</f>
        <v/>
      </c>
    </row>
    <row r="11" ht="30" customHeight="1">
      <c r="A11" s="18" t="inlineStr">
        <is>
          <t>6</t>
        </is>
      </c>
      <c r="B11" s="19" t="inlineStr">
        <is>
          <t>On how many days did the charge nurse write a note?</t>
        </is>
      </c>
      <c r="C11" s="20" t="inlineStr">
        <is>
          <t>COUNTA counts anything that isn't empty</t>
        </is>
      </c>
      <c r="D11" s="21" t="n"/>
      <c r="E11" s="22">
        <f>IF(IFERROR(D11="",FALSE),"",IF(IFERROR(AND(ISNUMBER(D11),OR(ABS(D11-'Answer Key'!$C$10)&lt;=0.0001)),FALSE),"✔ Correct","✘ Not yet"))</f>
        <v/>
      </c>
    </row>
    <row r="12" ht="30" customHeight="1">
      <c r="A12" s="18" t="inlineStr">
        <is>
          <t>7</t>
        </is>
      </c>
      <c r="B12" s="19" t="inlineStr">
        <is>
          <t>On how many days was the Notes cell left empty?</t>
        </is>
      </c>
      <c r="C12" s="20" t="inlineStr">
        <is>
          <t>COUNTBLANK</t>
        </is>
      </c>
      <c r="D12" s="21" t="n"/>
      <c r="E12" s="22">
        <f>IF(IFERROR(D12="",FALSE),"",IF(IFERROR(AND(ISNUMBER(D12),OR(ABS(D12-'Answer Key'!$C$11)&lt;=0.0001)),FALSE),"✔ Correct","✘ Not yet"))</f>
        <v/>
      </c>
    </row>
    <row r="13" ht="36" customHeight="1">
      <c r="A13" s="18" t="inlineStr">
        <is>
          <t>8</t>
        </is>
      </c>
      <c r="B13" s="19" t="inlineStr">
        <is>
          <t>Patient days = the sum of every day's midnight census. How many patient days did 4 West provide in Q1?</t>
        </is>
      </c>
      <c r="C13" s="20" t="inlineStr">
        <is>
          <t>It's a SUM</t>
        </is>
      </c>
      <c r="D13" s="21" t="n"/>
      <c r="E13" s="22">
        <f>IF(IFERROR(D13="",FALSE),"",IF(IFERROR(AND(ISNUMBER(D13),OR(ABS(D13-'Answer Key'!$C$12)&lt;=0.0001)),FALSE),"✔ Correct","✘ Not yet"))</f>
        <v/>
      </c>
    </row>
    <row r="14" ht="36" customHeight="1">
      <c r="A14" s="18" t="inlineStr">
        <is>
          <t>9</t>
        </is>
      </c>
      <c r="B14" s="19" t="inlineStr">
        <is>
          <t>What was the unit's occupancy rate for the whole quarter? Divide total patient days by total staffed-bed days. Enter it as a percentage.</t>
        </is>
      </c>
      <c r="C14" s="20" t="inlineStr">
        <is>
          <t>SUM(…)/SUM(…), then format as %</t>
        </is>
      </c>
      <c r="D14" s="24" t="n"/>
      <c r="E14" s="22">
        <f>IF(IFERROR(D14="",FALSE),"",IF(IFERROR(AND(ISNUMBER(D14),OR(ABS(D14-'Answer Key'!$C$13)&lt;=0.00051,ABS(D14-'Answer Key'!$C$13*100)&lt;=0.051000000000000004)),FALSE),"✔ Correct","✘ Not yet"))</f>
        <v/>
      </c>
    </row>
    <row r="15" ht="66" customHeight="1">
      <c r="A15" s="18" t="inlineStr">
        <is>
          <t>10</t>
        </is>
      </c>
      <c r="B15" s="19" t="inlineStr">
        <is>
          <t>In the Census sheet, fill the yellow Occupancy column with a formula for each day (MidnightCensus ÷ StaffedBeds). The gray cell counts the days your column shows 100% or more. (Type it in G2, then double-click the fill handle to copy it down.)</t>
        </is>
      </c>
      <c r="C15" s="20" t="inlineStr">
        <is>
          <t>Relative references shift down as you copy</t>
        </is>
      </c>
      <c r="D15" cm="1" s="25">
        <f t="array" ref="D15">IF(COUNT(Census!G2:G91)=0,"",COUNTIF(Census!G2:G91,"&gt;=1"))</f>
        <v/>
      </c>
      <c r="E15" s="22">
        <f>IF(IFERROR(D15="",FALSE),"",IF(IFERROR(AND(ISNUMBER(D15),OR(ABS(D15-'Answer Key'!$C$14)&lt;=0.0001)),FALSE),"✔ Correct","✘ Not yet"))</f>
        <v/>
      </c>
    </row>
    <row r="16" ht="36" customHeight="1">
      <c r="A16" s="18" t="inlineStr">
        <is>
          <t>11</t>
        </is>
      </c>
      <c r="B16" s="19" t="inlineStr">
        <is>
          <t>Average length of stay (ALOS) = patient days ÷ discharges. Calculate it for the quarter, rounded to 1 decimal place with ROUND.</t>
        </is>
      </c>
      <c r="C16" s="20" t="inlineStr">
        <is>
          <t>ROUND(number, 1)</t>
        </is>
      </c>
      <c r="D16" s="26" t="n"/>
      <c r="E16" s="22">
        <f>IF(IFERROR(D16="",FALSE),"",IF(IFERROR(AND(ISNUMBER(D16),OR(ABS(D16-'Answer Key'!$C$15)&lt;=0.0001)),FALSE),"✔ Correct","✘ Not yet"))</f>
        <v/>
      </c>
    </row>
    <row r="17" ht="36" customHeight="1">
      <c r="A17" s="18" t="inlineStr">
        <is>
          <t>12</t>
        </is>
      </c>
      <c r="B17" s="19" t="inlineStr">
        <is>
          <t>Without typing it into Excel first, what does =(30-6)/4+2^3 return? Then type it to confirm.</t>
        </is>
      </c>
      <c r="C17" s="20" t="inlineStr">
        <is>
          <t>Parentheses → exponents → × ÷ → + −</t>
        </is>
      </c>
      <c r="D17" s="21" t="n"/>
      <c r="E17" s="22">
        <f>IF(IFERROR(D17="",FALSE),"",IF(IFERROR(AND(ISNUMBER(D17),OR(ABS(D17-'Answer Key'!$C$16)&lt;=0.0051)),FALSE),"✔ Correct","✘ Not yet"))</f>
        <v/>
      </c>
    </row>
    <row r="18" ht="51" customHeight="1">
      <c r="A18" s="18" t="inlineStr">
        <is>
          <t>13</t>
        </is>
      </c>
      <c r="B18" s="19" t="inlineStr">
        <is>
          <t>Switch to the Supplies sheet. Fill the yellow StockValue column with UnitCost × QtyOnHand for every item. The gray cell totals your column — what is the total value of 4 West's supply room?</t>
        </is>
      </c>
      <c r="C18" s="20" t="inlineStr">
        <is>
          <t>Multiply with *; copy down</t>
        </is>
      </c>
      <c r="D18" cm="1" s="27">
        <f t="array" ref="D18">IF(COUNT(Supplies!G2:G15)=0,"",SUM(Supplies!G2:G15))</f>
        <v/>
      </c>
      <c r="E18" s="22">
        <f>IF(IFERROR(D18="",FALSE),"",IF(IFERROR(AND(ISNUMBER(D18),OR(ABS(D18-'Answer Key'!$C$17)&lt;=0.0051)),FALSE),"✔ Correct","✘ Not yet"))</f>
        <v/>
      </c>
    </row>
  </sheetData>
  <mergeCells count="3">
    <mergeCell ref="A2:E2"/>
    <mergeCell ref="A4:C4"/>
    <mergeCell ref="A3:E3"/>
  </mergeCells>
  <conditionalFormatting sqref="E6:E18">
    <cfRule type="expression" priority="1" dxfId="0">
      <formula>LEFT(E6,1)="✔"</formula>
    </cfRule>
    <cfRule type="expression" priority="2" dxfId="1">
      <formula>LEFT(E6,1)="✘"</formula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1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6" customWidth="1" min="5" max="5"/>
    <col width="38" customWidth="1" min="6" max="6"/>
    <col width="12" customWidth="1" min="7" max="7"/>
  </cols>
  <sheetData>
    <row r="1">
      <c r="A1" s="28" t="inlineStr">
        <is>
          <t>CensusDate</t>
        </is>
      </c>
      <c r="B1" s="28" t="inlineStr">
        <is>
          <t>StaffedBeds</t>
        </is>
      </c>
      <c r="C1" s="28" t="inlineStr">
        <is>
          <t>Admissions</t>
        </is>
      </c>
      <c r="D1" s="28" t="inlineStr">
        <is>
          <t>Discharges</t>
        </is>
      </c>
      <c r="E1" s="28" t="inlineStr">
        <is>
          <t>MidnightCensus</t>
        </is>
      </c>
      <c r="F1" s="28" t="inlineStr">
        <is>
          <t>Notes</t>
        </is>
      </c>
      <c r="G1" s="29" t="inlineStr">
        <is>
          <t>Occupancy</t>
        </is>
      </c>
    </row>
    <row r="2">
      <c r="A2" s="30" t="n">
        <v>45658</v>
      </c>
      <c r="B2" t="n">
        <v>36</v>
      </c>
      <c r="C2" t="n">
        <v>6</v>
      </c>
      <c r="D2" t="n">
        <v>7</v>
      </c>
      <c r="E2" t="n">
        <v>33</v>
      </c>
      <c r="G2" s="31" t="n"/>
    </row>
    <row r="3">
      <c r="A3" s="30" t="n">
        <v>45659</v>
      </c>
      <c r="B3" t="n">
        <v>36</v>
      </c>
      <c r="C3" t="n">
        <v>14</v>
      </c>
      <c r="D3" t="n">
        <v>12</v>
      </c>
      <c r="E3" t="n">
        <v>35</v>
      </c>
      <c r="G3" s="31" t="n"/>
    </row>
    <row r="4">
      <c r="A4" s="30" t="n">
        <v>45660</v>
      </c>
      <c r="B4" t="n">
        <v>36</v>
      </c>
      <c r="C4" t="n">
        <v>8</v>
      </c>
      <c r="D4" t="n">
        <v>10</v>
      </c>
      <c r="E4" t="n">
        <v>33</v>
      </c>
      <c r="G4" s="31" t="n"/>
    </row>
    <row r="5">
      <c r="A5" s="30" t="n">
        <v>45661</v>
      </c>
      <c r="B5" t="n">
        <v>36</v>
      </c>
      <c r="C5" t="n">
        <v>5</v>
      </c>
      <c r="D5" t="n">
        <v>7</v>
      </c>
      <c r="E5" t="n">
        <v>31</v>
      </c>
      <c r="G5" s="31" t="n"/>
    </row>
    <row r="6">
      <c r="A6" s="30" t="n">
        <v>45662</v>
      </c>
      <c r="B6" t="n">
        <v>36</v>
      </c>
      <c r="C6" t="n">
        <v>3</v>
      </c>
      <c r="D6" t="n">
        <v>2</v>
      </c>
      <c r="E6" t="n">
        <v>32</v>
      </c>
      <c r="F6" t="inlineStr">
        <is>
          <t>1 RN call-off; covered by float pool</t>
        </is>
      </c>
      <c r="G6" s="31" t="n"/>
    </row>
    <row r="7">
      <c r="A7" s="30" t="n">
        <v>45663</v>
      </c>
      <c r="B7" t="n">
        <v>36</v>
      </c>
      <c r="C7" t="n">
        <v>8</v>
      </c>
      <c r="D7" t="n">
        <v>7</v>
      </c>
      <c r="E7" t="n">
        <v>33</v>
      </c>
      <c r="G7" s="31" t="n"/>
    </row>
    <row r="8">
      <c r="A8" s="30" t="n">
        <v>45664</v>
      </c>
      <c r="B8" t="n">
        <v>36</v>
      </c>
      <c r="C8" t="n">
        <v>12</v>
      </c>
      <c r="D8" t="n">
        <v>10</v>
      </c>
      <c r="E8" t="n">
        <v>35</v>
      </c>
      <c r="G8" s="31" t="n"/>
    </row>
    <row r="9">
      <c r="A9" s="30" t="n">
        <v>45665</v>
      </c>
      <c r="B9" t="n">
        <v>36</v>
      </c>
      <c r="C9" t="n">
        <v>4</v>
      </c>
      <c r="D9" t="n">
        <v>4</v>
      </c>
      <c r="E9" t="n">
        <v>35</v>
      </c>
      <c r="F9" t="inlineStr">
        <is>
          <t>Isolation room deep-clean</t>
        </is>
      </c>
      <c r="G9" s="31" t="n"/>
    </row>
    <row r="10">
      <c r="A10" s="30" t="n">
        <v>45666</v>
      </c>
      <c r="B10" t="n">
        <v>36</v>
      </c>
      <c r="C10" t="n">
        <v>15</v>
      </c>
      <c r="D10" t="n">
        <v>15</v>
      </c>
      <c r="E10" t="n">
        <v>35</v>
      </c>
      <c r="G10" s="31" t="n"/>
    </row>
    <row r="11">
      <c r="A11" s="30" t="n">
        <v>45667</v>
      </c>
      <c r="B11" t="n">
        <v>36</v>
      </c>
      <c r="C11" t="n">
        <v>10</v>
      </c>
      <c r="D11" t="n">
        <v>10</v>
      </c>
      <c r="E11" t="n">
        <v>35</v>
      </c>
      <c r="G11" s="31" t="n"/>
    </row>
    <row r="12">
      <c r="A12" s="30" t="n">
        <v>45668</v>
      </c>
      <c r="B12" t="n">
        <v>36</v>
      </c>
      <c r="C12" t="n">
        <v>10</v>
      </c>
      <c r="D12" t="n">
        <v>10</v>
      </c>
      <c r="E12" t="n">
        <v>35</v>
      </c>
      <c r="G12" s="31" t="n"/>
    </row>
    <row r="13">
      <c r="A13" s="30" t="n">
        <v>45669</v>
      </c>
      <c r="B13" t="n">
        <v>36</v>
      </c>
      <c r="C13" t="n">
        <v>8</v>
      </c>
      <c r="D13" t="n">
        <v>8</v>
      </c>
      <c r="E13" t="n">
        <v>35</v>
      </c>
      <c r="G13" s="31" t="n"/>
    </row>
    <row r="14">
      <c r="A14" s="30" t="n">
        <v>45670</v>
      </c>
      <c r="B14" t="n">
        <v>36</v>
      </c>
      <c r="C14" t="n">
        <v>17</v>
      </c>
      <c r="D14" t="n">
        <v>17</v>
      </c>
      <c r="E14" t="n">
        <v>35</v>
      </c>
      <c r="G14" s="31" t="n"/>
    </row>
    <row r="15">
      <c r="A15" s="30" t="n">
        <v>45671</v>
      </c>
      <c r="B15" t="n">
        <v>36</v>
      </c>
      <c r="C15" t="n">
        <v>12</v>
      </c>
      <c r="D15" t="n">
        <v>12</v>
      </c>
      <c r="E15" t="n">
        <v>35</v>
      </c>
      <c r="F15" t="inlineStr">
        <is>
          <t>1 RN call-off; covered by float pool</t>
        </is>
      </c>
      <c r="G15" s="31" t="n"/>
    </row>
    <row r="16">
      <c r="A16" s="30" t="n">
        <v>45672</v>
      </c>
      <c r="B16" t="n">
        <v>36</v>
      </c>
      <c r="C16" t="n">
        <v>5</v>
      </c>
      <c r="D16" t="n">
        <v>4</v>
      </c>
      <c r="E16" t="n">
        <v>36</v>
      </c>
      <c r="F16" t="inlineStr">
        <is>
          <t>Unit full: diverting new admits to 5 East</t>
        </is>
      </c>
      <c r="G16" s="31" t="n"/>
    </row>
    <row r="17">
      <c r="A17" s="30" t="n">
        <v>45673</v>
      </c>
      <c r="B17" t="n">
        <v>36</v>
      </c>
      <c r="C17" t="n">
        <v>10</v>
      </c>
      <c r="D17" t="n">
        <v>11</v>
      </c>
      <c r="E17" t="n">
        <v>35</v>
      </c>
      <c r="G17" s="31" t="n"/>
    </row>
    <row r="18">
      <c r="A18" s="30" t="n">
        <v>45674</v>
      </c>
      <c r="B18" t="n">
        <v>36</v>
      </c>
      <c r="C18" t="n">
        <v>10</v>
      </c>
      <c r="D18" t="n">
        <v>12</v>
      </c>
      <c r="E18" t="n">
        <v>33</v>
      </c>
      <c r="G18" s="31" t="n"/>
    </row>
    <row r="19">
      <c r="A19" s="30" t="n">
        <v>45675</v>
      </c>
      <c r="B19" t="n">
        <v>36</v>
      </c>
      <c r="C19" t="n">
        <v>7</v>
      </c>
      <c r="D19" t="n">
        <v>7</v>
      </c>
      <c r="E19" t="n">
        <v>33</v>
      </c>
      <c r="G19" s="31" t="n"/>
    </row>
    <row r="20">
      <c r="A20" s="30" t="n">
        <v>45676</v>
      </c>
      <c r="B20" t="n">
        <v>36</v>
      </c>
      <c r="C20" t="n">
        <v>10</v>
      </c>
      <c r="D20" t="n">
        <v>9</v>
      </c>
      <c r="E20" t="n">
        <v>34</v>
      </c>
      <c r="G20" s="31" t="n"/>
    </row>
    <row r="21">
      <c r="A21" s="30" t="n">
        <v>45677</v>
      </c>
      <c r="B21" t="n">
        <v>36</v>
      </c>
      <c r="C21" t="n">
        <v>6</v>
      </c>
      <c r="D21" t="n">
        <v>7</v>
      </c>
      <c r="E21" t="n">
        <v>33</v>
      </c>
      <c r="G21" s="31" t="n"/>
    </row>
    <row r="22">
      <c r="A22" s="30" t="n">
        <v>45678</v>
      </c>
      <c r="B22" t="n">
        <v>36</v>
      </c>
      <c r="C22" t="n">
        <v>7</v>
      </c>
      <c r="D22" t="n">
        <v>5</v>
      </c>
      <c r="E22" t="n">
        <v>35</v>
      </c>
      <c r="F22" t="inlineStr">
        <is>
          <t>Isolation room deep-clean</t>
        </is>
      </c>
      <c r="G22" s="31" t="n"/>
    </row>
    <row r="23">
      <c r="A23" s="30" t="n">
        <v>45679</v>
      </c>
      <c r="B23" t="n">
        <v>36</v>
      </c>
      <c r="C23" t="n">
        <v>12</v>
      </c>
      <c r="D23" t="n">
        <v>12</v>
      </c>
      <c r="E23" t="n">
        <v>35</v>
      </c>
      <c r="G23" s="31" t="n"/>
    </row>
    <row r="24">
      <c r="A24" s="30" t="n">
        <v>45680</v>
      </c>
      <c r="B24" t="n">
        <v>36</v>
      </c>
      <c r="C24" t="n">
        <v>1</v>
      </c>
      <c r="D24" t="n">
        <v>2</v>
      </c>
      <c r="E24" t="n">
        <v>34</v>
      </c>
      <c r="F24" t="inlineStr">
        <is>
          <t>1 RN call-off; covered by float pool</t>
        </is>
      </c>
      <c r="G24" s="31" t="n"/>
    </row>
    <row r="25">
      <c r="A25" s="30" t="n">
        <v>45681</v>
      </c>
      <c r="B25" t="n">
        <v>36</v>
      </c>
      <c r="C25" t="n">
        <v>11</v>
      </c>
      <c r="D25" t="n">
        <v>10</v>
      </c>
      <c r="E25" t="n">
        <v>35</v>
      </c>
      <c r="G25" s="31" t="n"/>
    </row>
    <row r="26">
      <c r="A26" s="30" t="n">
        <v>45682</v>
      </c>
      <c r="B26" t="n">
        <v>36</v>
      </c>
      <c r="C26" t="n">
        <v>2</v>
      </c>
      <c r="D26" t="n">
        <v>3</v>
      </c>
      <c r="E26" t="n">
        <v>34</v>
      </c>
      <c r="G26" s="31" t="n"/>
    </row>
    <row r="27">
      <c r="A27" s="30" t="n">
        <v>45683</v>
      </c>
      <c r="B27" t="n">
        <v>36</v>
      </c>
      <c r="C27" t="n">
        <v>7</v>
      </c>
      <c r="D27" t="n">
        <v>8</v>
      </c>
      <c r="E27" t="n">
        <v>33</v>
      </c>
      <c r="G27" s="31" t="n"/>
    </row>
    <row r="28">
      <c r="A28" s="30" t="n">
        <v>45684</v>
      </c>
      <c r="B28" t="n">
        <v>36</v>
      </c>
      <c r="C28" t="n">
        <v>9</v>
      </c>
      <c r="D28" t="n">
        <v>6</v>
      </c>
      <c r="E28" t="n">
        <v>36</v>
      </c>
      <c r="F28" t="inlineStr">
        <is>
          <t>Unit full: diverting new admits to 5 East</t>
        </is>
      </c>
      <c r="G28" s="31" t="n"/>
    </row>
    <row r="29">
      <c r="A29" s="30" t="n">
        <v>45685</v>
      </c>
      <c r="B29" t="n">
        <v>36</v>
      </c>
      <c r="C29" t="n">
        <v>7</v>
      </c>
      <c r="D29" t="n">
        <v>8</v>
      </c>
      <c r="E29" t="n">
        <v>35</v>
      </c>
      <c r="G29" s="31" t="n"/>
    </row>
    <row r="30">
      <c r="A30" s="30" t="n">
        <v>45686</v>
      </c>
      <c r="B30" t="n">
        <v>36</v>
      </c>
      <c r="C30" t="n">
        <v>10</v>
      </c>
      <c r="D30" t="n">
        <v>12</v>
      </c>
      <c r="E30" t="n">
        <v>33</v>
      </c>
      <c r="G30" s="31" t="n"/>
    </row>
    <row r="31">
      <c r="A31" s="30" t="n">
        <v>45687</v>
      </c>
      <c r="B31" t="n">
        <v>36</v>
      </c>
      <c r="C31" t="n">
        <v>7</v>
      </c>
      <c r="D31" t="n">
        <v>6</v>
      </c>
      <c r="E31" t="n">
        <v>34</v>
      </c>
      <c r="G31" s="31" t="n"/>
    </row>
    <row r="32">
      <c r="A32" s="30" t="n">
        <v>45688</v>
      </c>
      <c r="B32" t="n">
        <v>36</v>
      </c>
      <c r="C32" t="n">
        <v>10</v>
      </c>
      <c r="D32" t="n">
        <v>11</v>
      </c>
      <c r="E32" t="n">
        <v>33</v>
      </c>
      <c r="G32" s="31" t="n"/>
    </row>
    <row r="33">
      <c r="A33" s="30" t="n">
        <v>45689</v>
      </c>
      <c r="B33" t="n">
        <v>36</v>
      </c>
      <c r="C33" t="n">
        <v>6</v>
      </c>
      <c r="D33" t="n">
        <v>6</v>
      </c>
      <c r="E33" t="n">
        <v>33</v>
      </c>
      <c r="F33" t="inlineStr">
        <is>
          <t>1 RN call-off; covered by float pool</t>
        </is>
      </c>
      <c r="G33" s="31" t="n"/>
    </row>
    <row r="34">
      <c r="A34" s="30" t="n">
        <v>45690</v>
      </c>
      <c r="B34" t="n">
        <v>36</v>
      </c>
      <c r="C34" t="n">
        <v>8</v>
      </c>
      <c r="D34" t="n">
        <v>8</v>
      </c>
      <c r="E34" t="n">
        <v>33</v>
      </c>
      <c r="G34" s="31" t="n"/>
    </row>
    <row r="35">
      <c r="A35" s="30" t="n">
        <v>45691</v>
      </c>
      <c r="B35" t="n">
        <v>36</v>
      </c>
      <c r="C35" t="n">
        <v>7</v>
      </c>
      <c r="D35" t="n">
        <v>6</v>
      </c>
      <c r="E35" t="n">
        <v>34</v>
      </c>
      <c r="F35" t="inlineStr">
        <is>
          <t>Isolation room deep-clean</t>
        </is>
      </c>
      <c r="G35" s="31" t="n"/>
    </row>
    <row r="36">
      <c r="A36" s="30" t="n">
        <v>45692</v>
      </c>
      <c r="B36" t="n">
        <v>36</v>
      </c>
      <c r="C36" t="n">
        <v>5</v>
      </c>
      <c r="D36" t="n">
        <v>6</v>
      </c>
      <c r="E36" t="n">
        <v>33</v>
      </c>
      <c r="G36" s="31" t="n"/>
    </row>
    <row r="37">
      <c r="A37" s="30" t="n">
        <v>45693</v>
      </c>
      <c r="B37" t="n">
        <v>36</v>
      </c>
      <c r="C37" t="n">
        <v>5</v>
      </c>
      <c r="D37" t="n">
        <v>5</v>
      </c>
      <c r="E37" t="n">
        <v>33</v>
      </c>
      <c r="G37" s="31" t="n"/>
    </row>
    <row r="38">
      <c r="A38" s="30" t="n">
        <v>45694</v>
      </c>
      <c r="B38" t="n">
        <v>36</v>
      </c>
      <c r="C38" t="n">
        <v>8</v>
      </c>
      <c r="D38" t="n">
        <v>8</v>
      </c>
      <c r="E38" t="n">
        <v>33</v>
      </c>
      <c r="G38" s="31" t="n"/>
    </row>
    <row r="39">
      <c r="A39" s="30" t="n">
        <v>45695</v>
      </c>
      <c r="B39" t="n">
        <v>36</v>
      </c>
      <c r="C39" t="n">
        <v>10</v>
      </c>
      <c r="D39" t="n">
        <v>10</v>
      </c>
      <c r="E39" t="n">
        <v>33</v>
      </c>
      <c r="G39" s="31" t="n"/>
    </row>
    <row r="40">
      <c r="A40" s="30" t="n">
        <v>45696</v>
      </c>
      <c r="B40" t="n">
        <v>36</v>
      </c>
      <c r="C40" t="n">
        <v>8</v>
      </c>
      <c r="D40" t="n">
        <v>9</v>
      </c>
      <c r="E40" t="n">
        <v>32</v>
      </c>
      <c r="G40" s="31" t="n"/>
    </row>
    <row r="41">
      <c r="A41" s="30" t="n">
        <v>45697</v>
      </c>
      <c r="B41" t="n">
        <v>36</v>
      </c>
      <c r="C41" t="n">
        <v>12</v>
      </c>
      <c r="D41" t="n">
        <v>10</v>
      </c>
      <c r="E41" t="n">
        <v>34</v>
      </c>
      <c r="G41" s="31" t="n"/>
    </row>
    <row r="42">
      <c r="A42" s="30" t="n">
        <v>45698</v>
      </c>
      <c r="B42" t="n">
        <v>36</v>
      </c>
      <c r="C42" t="n">
        <v>10</v>
      </c>
      <c r="D42" t="n">
        <v>7</v>
      </c>
      <c r="E42" t="n">
        <v>37</v>
      </c>
      <c r="F42" t="inlineStr">
        <is>
          <t>Over capacity: surge beds opened</t>
        </is>
      </c>
      <c r="G42" s="31" t="n"/>
    </row>
    <row r="43">
      <c r="A43" s="30" t="n">
        <v>45699</v>
      </c>
      <c r="B43" t="n">
        <v>36</v>
      </c>
      <c r="C43" t="n">
        <v>8</v>
      </c>
      <c r="D43" t="n">
        <v>10</v>
      </c>
      <c r="E43" t="n">
        <v>35</v>
      </c>
      <c r="G43" s="31" t="n"/>
    </row>
    <row r="44">
      <c r="A44" s="30" t="n">
        <v>45700</v>
      </c>
      <c r="B44" t="n">
        <v>36</v>
      </c>
      <c r="C44" t="n">
        <v>7</v>
      </c>
      <c r="D44" t="n">
        <v>6</v>
      </c>
      <c r="E44" t="n">
        <v>36</v>
      </c>
      <c r="F44" t="inlineStr">
        <is>
          <t>Unit full: diverting new admits to 5 East</t>
        </is>
      </c>
      <c r="G44" s="31" t="n"/>
    </row>
    <row r="45">
      <c r="A45" s="30" t="n">
        <v>45701</v>
      </c>
      <c r="B45" t="n">
        <v>36</v>
      </c>
      <c r="C45" t="n">
        <v>9</v>
      </c>
      <c r="D45" t="n">
        <v>8</v>
      </c>
      <c r="E45" t="n">
        <v>37</v>
      </c>
      <c r="F45" t="inlineStr">
        <is>
          <t>Over capacity: surge beds opened</t>
        </is>
      </c>
      <c r="G45" s="31" t="n"/>
    </row>
    <row r="46">
      <c r="A46" s="30" t="n">
        <v>45702</v>
      </c>
      <c r="B46" t="n">
        <v>36</v>
      </c>
      <c r="C46" t="n">
        <v>7</v>
      </c>
      <c r="D46" t="n">
        <v>7</v>
      </c>
      <c r="E46" t="n">
        <v>37</v>
      </c>
      <c r="F46" t="inlineStr">
        <is>
          <t>Over capacity: surge beds opened</t>
        </is>
      </c>
      <c r="G46" s="31" t="n"/>
    </row>
    <row r="47">
      <c r="A47" s="30" t="n">
        <v>45703</v>
      </c>
      <c r="B47" t="n">
        <v>36</v>
      </c>
      <c r="C47" t="n">
        <v>3</v>
      </c>
      <c r="D47" t="n">
        <v>9</v>
      </c>
      <c r="E47" t="n">
        <v>31</v>
      </c>
      <c r="G47" s="31" t="n"/>
    </row>
    <row r="48">
      <c r="A48" s="30" t="n">
        <v>45704</v>
      </c>
      <c r="B48" t="n">
        <v>36</v>
      </c>
      <c r="C48" t="n">
        <v>7</v>
      </c>
      <c r="D48" t="n">
        <v>6</v>
      </c>
      <c r="E48" t="n">
        <v>32</v>
      </c>
      <c r="F48" t="inlineStr">
        <is>
          <t>Isolation room deep-clean</t>
        </is>
      </c>
      <c r="G48" s="31" t="n"/>
    </row>
    <row r="49">
      <c r="A49" s="30" t="n">
        <v>45705</v>
      </c>
      <c r="B49" t="n">
        <v>36</v>
      </c>
      <c r="C49" t="n">
        <v>4</v>
      </c>
      <c r="D49" t="n">
        <v>6</v>
      </c>
      <c r="E49" t="n">
        <v>30</v>
      </c>
      <c r="G49" s="31" t="n"/>
    </row>
    <row r="50">
      <c r="A50" s="30" t="n">
        <v>45706</v>
      </c>
      <c r="B50" t="n">
        <v>36</v>
      </c>
      <c r="C50" t="n">
        <v>10</v>
      </c>
      <c r="D50" t="n">
        <v>10</v>
      </c>
      <c r="E50" t="n">
        <v>30</v>
      </c>
      <c r="G50" s="31" t="n"/>
    </row>
    <row r="51">
      <c r="A51" s="30" t="n">
        <v>45707</v>
      </c>
      <c r="B51" t="n">
        <v>36</v>
      </c>
      <c r="C51" t="n">
        <v>6</v>
      </c>
      <c r="D51" t="n">
        <v>5</v>
      </c>
      <c r="E51" t="n">
        <v>31</v>
      </c>
      <c r="F51" t="inlineStr">
        <is>
          <t>1 RN call-off; covered by float pool</t>
        </is>
      </c>
      <c r="G51" s="31" t="n"/>
    </row>
    <row r="52">
      <c r="A52" s="30" t="n">
        <v>45708</v>
      </c>
      <c r="B52" t="n">
        <v>36</v>
      </c>
      <c r="C52" t="n">
        <v>14</v>
      </c>
      <c r="D52" t="n">
        <v>15</v>
      </c>
      <c r="E52" t="n">
        <v>30</v>
      </c>
      <c r="G52" s="31" t="n"/>
    </row>
    <row r="53">
      <c r="A53" s="30" t="n">
        <v>45709</v>
      </c>
      <c r="B53" t="n">
        <v>36</v>
      </c>
      <c r="C53" t="n">
        <v>9</v>
      </c>
      <c r="D53" t="n">
        <v>8</v>
      </c>
      <c r="E53" t="n">
        <v>31</v>
      </c>
      <c r="G53" s="31" t="n"/>
    </row>
    <row r="54">
      <c r="A54" s="30" t="n">
        <v>45710</v>
      </c>
      <c r="B54" t="n">
        <v>36</v>
      </c>
      <c r="C54" t="n">
        <v>4</v>
      </c>
      <c r="D54" t="n">
        <v>4</v>
      </c>
      <c r="E54" t="n">
        <v>31</v>
      </c>
      <c r="G54" s="31" t="n"/>
    </row>
    <row r="55">
      <c r="A55" s="30" t="n">
        <v>45711</v>
      </c>
      <c r="B55" t="n">
        <v>36</v>
      </c>
      <c r="C55" t="n">
        <v>11</v>
      </c>
      <c r="D55" t="n">
        <v>11</v>
      </c>
      <c r="E55" t="n">
        <v>31</v>
      </c>
      <c r="G55" s="31" t="n"/>
    </row>
    <row r="56">
      <c r="A56" s="30" t="n">
        <v>45712</v>
      </c>
      <c r="B56" t="n">
        <v>36</v>
      </c>
      <c r="C56" t="n">
        <v>6</v>
      </c>
      <c r="D56" t="n">
        <v>4</v>
      </c>
      <c r="E56" t="n">
        <v>33</v>
      </c>
      <c r="G56" s="31" t="n"/>
    </row>
    <row r="57">
      <c r="A57" s="30" t="n">
        <v>45713</v>
      </c>
      <c r="B57" t="n">
        <v>36</v>
      </c>
      <c r="C57" t="n">
        <v>6</v>
      </c>
      <c r="D57" t="n">
        <v>5</v>
      </c>
      <c r="E57" t="n">
        <v>34</v>
      </c>
      <c r="G57" s="31" t="n"/>
    </row>
    <row r="58">
      <c r="A58" s="30" t="n">
        <v>45714</v>
      </c>
      <c r="B58" t="n">
        <v>36</v>
      </c>
      <c r="C58" t="n">
        <v>13</v>
      </c>
      <c r="D58" t="n">
        <v>14</v>
      </c>
      <c r="E58" t="n">
        <v>33</v>
      </c>
      <c r="G58" s="31" t="n"/>
    </row>
    <row r="59">
      <c r="A59" s="30" t="n">
        <v>45715</v>
      </c>
      <c r="B59" t="n">
        <v>36</v>
      </c>
      <c r="C59" t="n">
        <v>5</v>
      </c>
      <c r="D59" t="n">
        <v>7</v>
      </c>
      <c r="E59" t="n">
        <v>31</v>
      </c>
      <c r="G59" s="31" t="n"/>
    </row>
    <row r="60">
      <c r="A60" s="30" t="n">
        <v>45716</v>
      </c>
      <c r="B60" t="n">
        <v>36</v>
      </c>
      <c r="C60" t="n">
        <v>5</v>
      </c>
      <c r="D60" t="n">
        <v>5</v>
      </c>
      <c r="E60" t="n">
        <v>31</v>
      </c>
      <c r="F60" t="inlineStr">
        <is>
          <t>1 RN call-off; covered by float pool</t>
        </is>
      </c>
      <c r="G60" s="31" t="n"/>
    </row>
    <row r="61">
      <c r="A61" s="30" t="n">
        <v>45717</v>
      </c>
      <c r="B61" t="n">
        <v>36</v>
      </c>
      <c r="C61" t="n">
        <v>8</v>
      </c>
      <c r="D61" t="n">
        <v>9</v>
      </c>
      <c r="E61" t="n">
        <v>30</v>
      </c>
      <c r="F61" t="inlineStr">
        <is>
          <t>Isolation room deep-clean</t>
        </is>
      </c>
      <c r="G61" s="31" t="n"/>
    </row>
    <row r="62">
      <c r="A62" s="30" t="n">
        <v>45718</v>
      </c>
      <c r="B62" t="n">
        <v>36</v>
      </c>
      <c r="C62" t="n">
        <v>10</v>
      </c>
      <c r="D62" t="n">
        <v>10</v>
      </c>
      <c r="E62" t="n">
        <v>30</v>
      </c>
      <c r="G62" s="31" t="n"/>
    </row>
    <row r="63">
      <c r="A63" s="30" t="n">
        <v>45719</v>
      </c>
      <c r="B63" t="n">
        <v>36</v>
      </c>
      <c r="C63" t="n">
        <v>5</v>
      </c>
      <c r="D63" t="n">
        <v>5</v>
      </c>
      <c r="E63" t="n">
        <v>30</v>
      </c>
      <c r="G63" s="31" t="n"/>
    </row>
    <row r="64">
      <c r="A64" s="30" t="n">
        <v>45720</v>
      </c>
      <c r="B64" t="n">
        <v>36</v>
      </c>
      <c r="C64" t="n">
        <v>5</v>
      </c>
      <c r="D64" t="n">
        <v>3</v>
      </c>
      <c r="E64" t="n">
        <v>32</v>
      </c>
      <c r="G64" s="31" t="n"/>
    </row>
    <row r="65">
      <c r="A65" s="30" t="n">
        <v>45721</v>
      </c>
      <c r="B65" t="n">
        <v>36</v>
      </c>
      <c r="C65" t="n">
        <v>13</v>
      </c>
      <c r="D65" t="n">
        <v>12</v>
      </c>
      <c r="E65" t="n">
        <v>33</v>
      </c>
      <c r="G65" s="31" t="n"/>
    </row>
    <row r="66">
      <c r="A66" s="30" t="n">
        <v>45722</v>
      </c>
      <c r="B66" t="n">
        <v>36</v>
      </c>
      <c r="C66" t="n">
        <v>4</v>
      </c>
      <c r="D66" t="n">
        <v>5</v>
      </c>
      <c r="E66" t="n">
        <v>32</v>
      </c>
      <c r="G66" s="31" t="n"/>
    </row>
    <row r="67">
      <c r="A67" s="30" t="n">
        <v>45723</v>
      </c>
      <c r="B67" t="n">
        <v>36</v>
      </c>
      <c r="C67" t="n">
        <v>10</v>
      </c>
      <c r="D67" t="n">
        <v>11</v>
      </c>
      <c r="E67" t="n">
        <v>31</v>
      </c>
      <c r="G67" s="31" t="n"/>
    </row>
    <row r="68">
      <c r="A68" s="30" t="n">
        <v>45724</v>
      </c>
      <c r="B68" t="n">
        <v>36</v>
      </c>
      <c r="C68" t="n">
        <v>9</v>
      </c>
      <c r="D68" t="n">
        <v>8</v>
      </c>
      <c r="E68" t="n">
        <v>32</v>
      </c>
      <c r="G68" s="31" t="n"/>
    </row>
    <row r="69">
      <c r="A69" s="30" t="n">
        <v>45725</v>
      </c>
      <c r="B69" t="n">
        <v>36</v>
      </c>
      <c r="C69" t="n">
        <v>5</v>
      </c>
      <c r="D69" t="n">
        <v>6</v>
      </c>
      <c r="E69" t="n">
        <v>31</v>
      </c>
      <c r="F69" t="inlineStr">
        <is>
          <t>1 RN call-off; covered by float pool</t>
        </is>
      </c>
      <c r="G69" s="31" t="n"/>
    </row>
    <row r="70">
      <c r="A70" s="30" t="n">
        <v>45726</v>
      </c>
      <c r="B70" t="n">
        <v>36</v>
      </c>
      <c r="C70" t="n">
        <v>5</v>
      </c>
      <c r="D70" t="n">
        <v>3</v>
      </c>
      <c r="E70" t="n">
        <v>33</v>
      </c>
      <c r="G70" s="31" t="n"/>
    </row>
    <row r="71">
      <c r="A71" s="30" t="n">
        <v>45727</v>
      </c>
      <c r="B71" t="n">
        <v>36</v>
      </c>
      <c r="C71" t="n">
        <v>6</v>
      </c>
      <c r="D71" t="n">
        <v>6</v>
      </c>
      <c r="E71" t="n">
        <v>33</v>
      </c>
      <c r="G71" s="31" t="n"/>
    </row>
    <row r="72">
      <c r="A72" s="30" t="n">
        <v>45728</v>
      </c>
      <c r="B72" t="n">
        <v>36</v>
      </c>
      <c r="C72" t="n">
        <v>9</v>
      </c>
      <c r="D72" t="n">
        <v>11</v>
      </c>
      <c r="E72" t="n">
        <v>31</v>
      </c>
      <c r="G72" s="31" t="n"/>
    </row>
    <row r="73">
      <c r="A73" s="30" t="n">
        <v>45729</v>
      </c>
      <c r="B73" t="n">
        <v>36</v>
      </c>
      <c r="C73" t="n">
        <v>7</v>
      </c>
      <c r="D73" t="n">
        <v>7</v>
      </c>
      <c r="E73" t="n">
        <v>31</v>
      </c>
      <c r="G73" s="31" t="n"/>
    </row>
    <row r="74">
      <c r="A74" s="30" t="n">
        <v>45730</v>
      </c>
      <c r="B74" t="n">
        <v>36</v>
      </c>
      <c r="C74" t="n">
        <v>8</v>
      </c>
      <c r="D74" t="n">
        <v>8</v>
      </c>
      <c r="E74" t="n">
        <v>31</v>
      </c>
      <c r="F74" t="inlineStr">
        <is>
          <t>Isolation room deep-clean</t>
        </is>
      </c>
      <c r="G74" s="31" t="n"/>
    </row>
    <row r="75">
      <c r="A75" s="30" t="n">
        <v>45731</v>
      </c>
      <c r="B75" t="n">
        <v>36</v>
      </c>
      <c r="C75" t="n">
        <v>8</v>
      </c>
      <c r="D75" t="n">
        <v>8</v>
      </c>
      <c r="E75" t="n">
        <v>31</v>
      </c>
      <c r="G75" s="31" t="n"/>
    </row>
    <row r="76">
      <c r="A76" s="30" t="n">
        <v>45732</v>
      </c>
      <c r="B76" t="n">
        <v>36</v>
      </c>
      <c r="C76" t="n">
        <v>4</v>
      </c>
      <c r="D76" t="n">
        <v>4</v>
      </c>
      <c r="E76" t="n">
        <v>31</v>
      </c>
      <c r="G76" s="31" t="n"/>
    </row>
    <row r="77">
      <c r="A77" s="30" t="n">
        <v>45733</v>
      </c>
      <c r="B77" t="n">
        <v>36</v>
      </c>
      <c r="C77" t="n">
        <v>4</v>
      </c>
      <c r="D77" t="n">
        <v>3</v>
      </c>
      <c r="E77" t="n">
        <v>32</v>
      </c>
      <c r="G77" s="31" t="n"/>
    </row>
    <row r="78">
      <c r="A78" s="30" t="n">
        <v>45734</v>
      </c>
      <c r="B78" t="n">
        <v>36</v>
      </c>
      <c r="C78" t="n">
        <v>5</v>
      </c>
      <c r="D78" t="n">
        <v>6</v>
      </c>
      <c r="E78" t="n">
        <v>31</v>
      </c>
      <c r="F78" t="inlineStr">
        <is>
          <t>1 RN call-off; covered by float pool</t>
        </is>
      </c>
      <c r="G78" s="31" t="n"/>
    </row>
    <row r="79">
      <c r="A79" s="30" t="n">
        <v>45735</v>
      </c>
      <c r="B79" t="n">
        <v>36</v>
      </c>
      <c r="C79" t="n">
        <v>6</v>
      </c>
      <c r="D79" t="n">
        <v>7</v>
      </c>
      <c r="E79" t="n">
        <v>30</v>
      </c>
      <c r="G79" s="31" t="n"/>
    </row>
    <row r="80">
      <c r="A80" s="30" t="n">
        <v>45736</v>
      </c>
      <c r="B80" t="n">
        <v>36</v>
      </c>
      <c r="C80" t="n">
        <v>5</v>
      </c>
      <c r="D80" t="n">
        <v>7</v>
      </c>
      <c r="E80" t="n">
        <v>28</v>
      </c>
      <c r="G80" s="31" t="n"/>
    </row>
    <row r="81">
      <c r="A81" s="30" t="n">
        <v>45737</v>
      </c>
      <c r="B81" t="n">
        <v>36</v>
      </c>
      <c r="C81" t="n">
        <v>8</v>
      </c>
      <c r="D81" t="n">
        <v>6</v>
      </c>
      <c r="E81" t="n">
        <v>30</v>
      </c>
      <c r="G81" s="31" t="n"/>
    </row>
    <row r="82">
      <c r="A82" s="30" t="n">
        <v>45738</v>
      </c>
      <c r="B82" t="n">
        <v>36</v>
      </c>
      <c r="C82" t="n">
        <v>7</v>
      </c>
      <c r="D82" t="n">
        <v>9</v>
      </c>
      <c r="E82" t="n">
        <v>28</v>
      </c>
      <c r="G82" s="31" t="n"/>
    </row>
    <row r="83">
      <c r="A83" s="30" t="n">
        <v>45739</v>
      </c>
      <c r="B83" t="n">
        <v>36</v>
      </c>
      <c r="C83" t="n">
        <v>6</v>
      </c>
      <c r="D83" t="n">
        <v>2</v>
      </c>
      <c r="E83" t="n">
        <v>32</v>
      </c>
      <c r="G83" s="31" t="n"/>
    </row>
    <row r="84">
      <c r="A84" s="30" t="n">
        <v>45740</v>
      </c>
      <c r="B84" t="n">
        <v>36</v>
      </c>
      <c r="C84" t="n">
        <v>8</v>
      </c>
      <c r="D84" t="n">
        <v>7</v>
      </c>
      <c r="E84" t="n">
        <v>33</v>
      </c>
      <c r="G84" s="31" t="n"/>
    </row>
    <row r="85">
      <c r="A85" s="30" t="n">
        <v>45741</v>
      </c>
      <c r="B85" t="n">
        <v>36</v>
      </c>
      <c r="C85" t="n">
        <v>12</v>
      </c>
      <c r="D85" t="n">
        <v>13</v>
      </c>
      <c r="E85" t="n">
        <v>32</v>
      </c>
      <c r="G85" s="31" t="n"/>
    </row>
    <row r="86">
      <c r="A86" s="30" t="n">
        <v>45742</v>
      </c>
      <c r="B86" t="n">
        <v>36</v>
      </c>
      <c r="C86" t="n">
        <v>8</v>
      </c>
      <c r="D86" t="n">
        <v>8</v>
      </c>
      <c r="E86" t="n">
        <v>32</v>
      </c>
      <c r="G86" s="31" t="n"/>
    </row>
    <row r="87">
      <c r="A87" s="30" t="n">
        <v>45743</v>
      </c>
      <c r="B87" t="n">
        <v>36</v>
      </c>
      <c r="C87" t="n">
        <v>11</v>
      </c>
      <c r="D87" t="n">
        <v>9</v>
      </c>
      <c r="E87" t="n">
        <v>34</v>
      </c>
      <c r="F87" t="inlineStr">
        <is>
          <t>1 RN call-off; covered by float pool</t>
        </is>
      </c>
      <c r="G87" s="31" t="n"/>
    </row>
    <row r="88">
      <c r="A88" s="30" t="n">
        <v>45744</v>
      </c>
      <c r="B88" t="n">
        <v>36</v>
      </c>
      <c r="C88" t="n">
        <v>9</v>
      </c>
      <c r="D88" t="n">
        <v>8</v>
      </c>
      <c r="E88" t="n">
        <v>35</v>
      </c>
      <c r="G88" s="31" t="n"/>
    </row>
    <row r="89">
      <c r="A89" s="30" t="n">
        <v>45745</v>
      </c>
      <c r="B89" t="n">
        <v>36</v>
      </c>
      <c r="C89" t="n">
        <v>7</v>
      </c>
      <c r="D89" t="n">
        <v>8</v>
      </c>
      <c r="E89" t="n">
        <v>34</v>
      </c>
      <c r="G89" s="31" t="n"/>
    </row>
    <row r="90">
      <c r="A90" s="30" t="n">
        <v>45746</v>
      </c>
      <c r="B90" t="n">
        <v>36</v>
      </c>
      <c r="C90" t="n">
        <v>2</v>
      </c>
      <c r="D90" t="n">
        <v>3</v>
      </c>
      <c r="E90" t="n">
        <v>33</v>
      </c>
      <c r="G90" s="31" t="n"/>
    </row>
    <row r="91">
      <c r="A91" s="30" t="n">
        <v>45747</v>
      </c>
      <c r="B91" t="n">
        <v>36</v>
      </c>
      <c r="C91" t="n">
        <v>9</v>
      </c>
      <c r="D91" t="n">
        <v>8</v>
      </c>
      <c r="E91" t="n">
        <v>34</v>
      </c>
      <c r="G91" s="3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4" customWidth="1" min="2" max="2"/>
    <col width="14" customWidth="1" min="3" max="3"/>
    <col width="15" customWidth="1" min="4" max="4"/>
    <col width="10" customWidth="1" min="5" max="5"/>
    <col width="11" customWidth="1" min="6" max="6"/>
    <col width="13" customWidth="1" min="7" max="7"/>
  </cols>
  <sheetData>
    <row r="1">
      <c r="A1" s="28" t="inlineStr">
        <is>
          <t>SKU</t>
        </is>
      </c>
      <c r="B1" s="28" t="inlineStr">
        <is>
          <t>ItemDescription</t>
        </is>
      </c>
      <c r="C1" s="28" t="inlineStr">
        <is>
          <t>Category</t>
        </is>
      </c>
      <c r="D1" s="28" t="inlineStr">
        <is>
          <t>UnitOfMeasure</t>
        </is>
      </c>
      <c r="E1" s="28" t="inlineStr">
        <is>
          <t>UnitCost</t>
        </is>
      </c>
      <c r="F1" s="28" t="inlineStr">
        <is>
          <t>QtyOnHand</t>
        </is>
      </c>
      <c r="G1" s="29" t="inlineStr">
        <is>
          <t>StockValue</t>
        </is>
      </c>
    </row>
    <row r="2">
      <c r="A2" t="inlineStr">
        <is>
          <t>SKU-10014</t>
        </is>
      </c>
      <c r="B2" t="inlineStr">
        <is>
          <t>Nitrile Exam Gloves Medium (Box/100)</t>
        </is>
      </c>
      <c r="C2" t="inlineStr">
        <is>
          <t>PPE</t>
        </is>
      </c>
      <c r="D2" t="inlineStr">
        <is>
          <t>Box</t>
        </is>
      </c>
      <c r="E2" s="32" t="n">
        <v>7.8</v>
      </c>
      <c r="F2" t="n">
        <v>403</v>
      </c>
      <c r="G2" s="33" t="n"/>
    </row>
    <row r="3">
      <c r="A3" t="inlineStr">
        <is>
          <t>SKU-10077</t>
        </is>
      </c>
      <c r="B3" t="inlineStr">
        <is>
          <t>Shoe Covers, Non-Skid (Case/300)</t>
        </is>
      </c>
      <c r="C3" t="inlineStr">
        <is>
          <t>PPE</t>
        </is>
      </c>
      <c r="D3" t="inlineStr">
        <is>
          <t>Case</t>
        </is>
      </c>
      <c r="E3" s="32" t="n">
        <v>40.02</v>
      </c>
      <c r="F3" t="n">
        <v>121</v>
      </c>
      <c r="G3" s="33" t="n"/>
    </row>
    <row r="4">
      <c r="A4" t="inlineStr">
        <is>
          <t>SKU-10084</t>
        </is>
      </c>
      <c r="B4" t="inlineStr">
        <is>
          <t>IV Catheter 14G x 1.16 in</t>
        </is>
      </c>
      <c r="C4" t="inlineStr">
        <is>
          <t>IV Supplies</t>
        </is>
      </c>
      <c r="D4" t="inlineStr">
        <is>
          <t>Box</t>
        </is>
      </c>
      <c r="E4" s="32" t="n">
        <v>60.04</v>
      </c>
      <c r="F4" t="n">
        <v>44</v>
      </c>
      <c r="G4" s="33" t="n"/>
    </row>
    <row r="5">
      <c r="A5" t="inlineStr">
        <is>
          <t>SKU-10147</t>
        </is>
      </c>
      <c r="B5" t="inlineStr">
        <is>
          <t>Saline Flush Syringe 3 mL (Box/30)</t>
        </is>
      </c>
      <c r="C5" t="inlineStr">
        <is>
          <t>IV Supplies</t>
        </is>
      </c>
      <c r="D5" t="inlineStr">
        <is>
          <t>Box</t>
        </is>
      </c>
      <c r="E5" s="32" t="n">
        <v>8.76</v>
      </c>
      <c r="F5" t="n">
        <v>0</v>
      </c>
      <c r="G5" s="33" t="n"/>
    </row>
    <row r="6">
      <c r="A6" t="inlineStr">
        <is>
          <t>SKU-10175</t>
        </is>
      </c>
      <c r="B6" t="inlineStr">
        <is>
          <t>IV Extension Set 7 in</t>
        </is>
      </c>
      <c r="C6" t="inlineStr">
        <is>
          <t>IV Supplies</t>
        </is>
      </c>
      <c r="D6" t="inlineStr">
        <is>
          <t>Each</t>
        </is>
      </c>
      <c r="E6" s="32" t="n">
        <v>2.06</v>
      </c>
      <c r="F6" t="n">
        <v>268</v>
      </c>
      <c r="G6" s="33" t="n"/>
    </row>
    <row r="7">
      <c r="A7" t="inlineStr">
        <is>
          <t>SKU-10224</t>
        </is>
      </c>
      <c r="B7" t="inlineStr">
        <is>
          <t>Transparent Film Dressing 2.4x2.8</t>
        </is>
      </c>
      <c r="C7" t="inlineStr">
        <is>
          <t>Wound Care</t>
        </is>
      </c>
      <c r="D7" t="inlineStr">
        <is>
          <t>Each</t>
        </is>
      </c>
      <c r="E7" s="32" t="n">
        <v>0.79</v>
      </c>
      <c r="F7" t="n">
        <v>977</v>
      </c>
      <c r="G7" s="33" t="n"/>
    </row>
    <row r="8">
      <c r="A8" t="inlineStr">
        <is>
          <t>SKU-10287</t>
        </is>
      </c>
      <c r="B8" t="inlineStr">
        <is>
          <t>Nasal Cannula, Pediatric</t>
        </is>
      </c>
      <c r="C8" t="inlineStr">
        <is>
          <t>Respiratory</t>
        </is>
      </c>
      <c r="D8" t="inlineStr">
        <is>
          <t>Each</t>
        </is>
      </c>
      <c r="E8" s="32" t="n">
        <v>0.91</v>
      </c>
      <c r="F8" t="n">
        <v>809</v>
      </c>
      <c r="G8" s="33" t="n"/>
    </row>
    <row r="9">
      <c r="A9" t="inlineStr">
        <is>
          <t>SKU-10301</t>
        </is>
      </c>
      <c r="B9" t="inlineStr">
        <is>
          <t>Non-Rebreather Mask, Adult</t>
        </is>
      </c>
      <c r="C9" t="inlineStr">
        <is>
          <t>Respiratory</t>
        </is>
      </c>
      <c r="D9" t="inlineStr">
        <is>
          <t>Each</t>
        </is>
      </c>
      <c r="E9" s="32" t="n">
        <v>2.29</v>
      </c>
      <c r="F9" t="n">
        <v>947</v>
      </c>
      <c r="G9" s="33" t="n"/>
    </row>
    <row r="10">
      <c r="A10" t="inlineStr">
        <is>
          <t>SKU-10308</t>
        </is>
      </c>
      <c r="B10" t="inlineStr">
        <is>
          <t>Non-Rebreather Mask, Pediatric</t>
        </is>
      </c>
      <c r="C10" t="inlineStr">
        <is>
          <t>Respiratory</t>
        </is>
      </c>
      <c r="D10" t="inlineStr">
        <is>
          <t>Each</t>
        </is>
      </c>
      <c r="E10" s="32" t="n">
        <v>2.16</v>
      </c>
      <c r="F10" t="n">
        <v>586</v>
      </c>
      <c r="G10" s="33" t="n"/>
    </row>
    <row r="11">
      <c r="A11" t="inlineStr">
        <is>
          <t>SKU-10315</t>
        </is>
      </c>
      <c r="B11" t="inlineStr">
        <is>
          <t>Nebulizer Kit with Mouthpiece</t>
        </is>
      </c>
      <c r="C11" t="inlineStr">
        <is>
          <t>Respiratory</t>
        </is>
      </c>
      <c r="D11" t="inlineStr">
        <is>
          <t>Each</t>
        </is>
      </c>
      <c r="E11" s="32" t="n">
        <v>3.11</v>
      </c>
      <c r="F11" t="n">
        <v>1026</v>
      </c>
      <c r="G11" s="33" t="n"/>
    </row>
    <row r="12">
      <c r="A12" t="inlineStr">
        <is>
          <t>SKU-10350</t>
        </is>
      </c>
      <c r="B12" t="inlineStr">
        <is>
          <t>Endotracheal Tube 6.5 mm Cuffed</t>
        </is>
      </c>
      <c r="C12" t="inlineStr">
        <is>
          <t>Respiratory</t>
        </is>
      </c>
      <c r="D12" t="inlineStr">
        <is>
          <t>Each</t>
        </is>
      </c>
      <c r="E12" s="32" t="n">
        <v>7.47</v>
      </c>
      <c r="F12" t="n">
        <v>0</v>
      </c>
      <c r="G12" s="33" t="n"/>
    </row>
    <row r="13">
      <c r="A13" t="inlineStr">
        <is>
          <t>SKU-10735</t>
        </is>
      </c>
      <c r="B13" t="inlineStr">
        <is>
          <t>Patient Gown, Standard</t>
        </is>
      </c>
      <c r="C13" t="inlineStr">
        <is>
          <t>Linens</t>
        </is>
      </c>
      <c r="D13" t="inlineStr">
        <is>
          <t>Dozen</t>
        </is>
      </c>
      <c r="E13" s="32" t="n">
        <v>39.37</v>
      </c>
      <c r="F13" t="n">
        <v>171</v>
      </c>
      <c r="G13" s="33" t="n"/>
    </row>
    <row r="14">
      <c r="A14" t="inlineStr">
        <is>
          <t>SKU-10784</t>
        </is>
      </c>
      <c r="B14" t="inlineStr">
        <is>
          <t>Foley Catheter Tray 18 Fr</t>
        </is>
      </c>
      <c r="C14" t="inlineStr">
        <is>
          <t>Patient Care</t>
        </is>
      </c>
      <c r="D14" t="inlineStr">
        <is>
          <t>Each</t>
        </is>
      </c>
      <c r="E14" s="32" t="n">
        <v>11.62</v>
      </c>
      <c r="F14" t="n">
        <v>240</v>
      </c>
      <c r="G14" s="33" t="n"/>
    </row>
    <row r="15">
      <c r="A15" t="inlineStr">
        <is>
          <t>SKU-10840</t>
        </is>
      </c>
      <c r="B15" t="inlineStr">
        <is>
          <t>Hand Sanitizer Foam 1000 mL</t>
        </is>
      </c>
      <c r="C15" t="inlineStr">
        <is>
          <t>Patient Care</t>
        </is>
      </c>
      <c r="D15" t="inlineStr">
        <is>
          <t>Each</t>
        </is>
      </c>
      <c r="E15" s="32" t="n">
        <v>9.56</v>
      </c>
      <c r="F15" t="n">
        <v>303</v>
      </c>
      <c r="G15" s="3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BF9000"/>
    <outlinePr summaryBelow="1" summaryRight="1"/>
    <pageSetUpPr fitToPage="1"/>
  </sheetPr>
  <dimension ref="A1:E9"/>
  <sheetViews>
    <sheetView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72" customWidth="1" min="2" max="2"/>
    <col width="38" customWidth="1" min="3" max="3"/>
    <col width="22" customWidth="1" min="4" max="4"/>
    <col width="14" customWidth="1" min="5" max="5"/>
  </cols>
  <sheetData>
    <row r="1">
      <c r="A1" s="13" t="inlineStr">
        <is>
          <t>Lesson 1.4 · Bonus: Does 4 West need more beds?</t>
        </is>
      </c>
    </row>
    <row r="2" ht="34" customHeight="1">
      <c r="A2" s="14" t="inlineStr">
        <is>
          <t>The Chief Nursing Officer says February felt 'impossibly full' on 4 West and asks whether the unit needs more staffed beds. Hospitals often plan beds so average occupancy is about 85% — enough slack to absorb surges. February is rows 33–60 of the Census sheet.</t>
        </is>
      </c>
    </row>
    <row r="3" ht="34" customHeight="1">
      <c r="A3" s="15" t="inlineStr">
        <is>
          <t>Type a formula or value in each yellow cell. The Check column turns green when your answer matches. Stuck? Read the hint, then the lesson guide. Answers: right-click a sheet tab → Unhide… → 'Bonus Key'.</t>
        </is>
      </c>
    </row>
    <row r="4">
      <c r="A4" s="16">
        <f>"Score: "&amp;COUNTIF(E6:E9,"✔*")&amp;" of 4 auto-checked tasks correct"</f>
        <v/>
      </c>
    </row>
    <row r="5">
      <c r="A5" s="17" t="inlineStr">
        <is>
          <t>#</t>
        </is>
      </c>
      <c r="B5" s="17" t="inlineStr">
        <is>
          <t>Task</t>
        </is>
      </c>
      <c r="C5" s="17" t="inlineStr">
        <is>
          <t>Hint</t>
        </is>
      </c>
      <c r="D5" s="17" t="inlineStr">
        <is>
          <t>Your Answer</t>
        </is>
      </c>
      <c r="E5" s="17" t="inlineStr">
        <is>
          <t>Check</t>
        </is>
      </c>
    </row>
    <row r="6" ht="30" customHeight="1">
      <c r="A6" s="18" t="inlineStr">
        <is>
          <t>B1</t>
        </is>
      </c>
      <c r="B6" s="19" t="inlineStr">
        <is>
          <t>What was February's average daily census (ADC)? Use only the February rows.</t>
        </is>
      </c>
      <c r="C6" s="20" t="inlineStr">
        <is>
          <t>AVERAGE over rows 33–60</t>
        </is>
      </c>
      <c r="D6" s="23" t="n"/>
      <c r="E6" s="22">
        <f>IF(IFERROR(D6="",FALSE),"",IF(IFERROR(AND(ISNUMBER(D6),OR(ABS(D6-'Bonus Key'!$C$5)&lt;=0.0051)),FALSE),"✔ Correct","✘ Not yet"))</f>
        <v/>
      </c>
    </row>
    <row r="7" ht="36" customHeight="1">
      <c r="A7" s="18" t="inlineStr">
        <is>
          <t>B2</t>
        </is>
      </c>
      <c r="B7" s="19" t="inlineStr">
        <is>
          <t>How many beds would 4 West have needed in February for that ADC to equal 85% occupancy? (ADC ÷ 0.85, keep the decimals.)</t>
        </is>
      </c>
      <c r="C7" s="20" t="inlineStr">
        <is>
          <t>If ADC is 85% of the beds, beds = ADC ÷ 0.85</t>
        </is>
      </c>
      <c r="D7" s="23" t="n"/>
      <c r="E7" s="22">
        <f>IF(IFERROR(D7="",FALSE),"",IF(IFERROR(AND(ISNUMBER(D7),OR(ABS(D7-'Bonus Key'!$C$6)&lt;=0.0051)),FALSE),"✔ Correct","✘ Not yet"))</f>
        <v/>
      </c>
    </row>
    <row r="8" ht="36" customHeight="1">
      <c r="A8" s="18" t="inlineStr">
        <is>
          <t>B3</t>
        </is>
      </c>
      <c r="B8" s="19" t="inlineStr">
        <is>
          <t>You can't open part of a bed. How many EXTRA beds (beyond today's 36) should the unit open? Round up to a whole bed.</t>
        </is>
      </c>
      <c r="C8" s="20" t="inlineStr">
        <is>
          <t>ROUNDUP works like ROUND but always rounds up: ROUNDUP(number, 0)</t>
        </is>
      </c>
      <c r="D8" s="21" t="n"/>
      <c r="E8" s="22">
        <f>IF(IFERROR(D8="",FALSE),"",IF(IFERROR(AND(ISNUMBER(D8),OR(ABS(D8-'Bonus Key'!$C$7)&lt;=0.0001)),FALSE),"✔ Correct","✘ Not yet"))</f>
        <v/>
      </c>
    </row>
    <row r="9" ht="36" customHeight="1">
      <c r="A9" s="18" t="inlineStr">
        <is>
          <t>B4</t>
        </is>
      </c>
      <c r="B9" s="19" t="inlineStr">
        <is>
          <t>Sanity check: on how many February days did the midnight census exceed 85% of 36 beds (i.e. more than 30.6 patients)?</t>
        </is>
      </c>
      <c r="C9" s="20" t="inlineStr">
        <is>
          <t>COUNTIF(range, "&gt;30.6") — a preview of Lesson 2.5</t>
        </is>
      </c>
      <c r="D9" s="21" t="n"/>
      <c r="E9" s="22">
        <f>IF(IFERROR(D9="",FALSE),"",IF(IFERROR(AND(ISNUMBER(D9),OR(ABS(D9-'Bonus Key'!$C$8)&lt;=0.0001)),FALSE),"✔ Correct","✘ Not yet"))</f>
        <v/>
      </c>
    </row>
  </sheetData>
  <mergeCells count="3">
    <mergeCell ref="A2:E2"/>
    <mergeCell ref="A4:C4"/>
    <mergeCell ref="A3:E3"/>
  </mergeCells>
  <conditionalFormatting sqref="E6:E9">
    <cfRule type="expression" priority="1" dxfId="0">
      <formula>LEFT(E6,1)="✔"</formula>
    </cfRule>
    <cfRule type="expression" priority="2" dxfId="1">
      <formula>LEFT(E6,1)="✘"</formula>
    </cfRule>
  </conditionalFormatting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F17"/>
  <sheetViews>
    <sheetView tabSelected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18" customWidth="1" min="3" max="3"/>
    <col width="48" customWidth="1" min="4" max="4"/>
    <col width="16" customWidth="1" min="5" max="5"/>
    <col width="62" customWidth="1" min="6" max="6"/>
  </cols>
  <sheetData>
    <row r="1">
      <c r="A1" s="34" t="inlineStr">
        <is>
          <t>🔑 Answer Key — Lesson 1.4</t>
        </is>
      </c>
    </row>
    <row r="2" ht="32" customHeight="1">
      <c r="A2" s="35" t="inlineStr">
        <is>
          <t>Spoiler alert — try every task before reading this sheet. Column C is the value the Check column compares against. Column D is a sample solution; column E is that same formula, live, proving it works.</t>
        </is>
      </c>
    </row>
    <row r="4">
      <c r="A4" s="36" t="inlineStr">
        <is>
          <t>#</t>
        </is>
      </c>
      <c r="B4" s="36" t="inlineStr">
        <is>
          <t>Task</t>
        </is>
      </c>
      <c r="C4" s="36" t="inlineStr">
        <is>
          <t>Answer</t>
        </is>
      </c>
      <c r="D4" s="36" t="inlineStr">
        <is>
          <t>Sample solution</t>
        </is>
      </c>
      <c r="E4" s="36" t="inlineStr">
        <is>
          <t>Live result</t>
        </is>
      </c>
      <c r="F4" s="36" t="inlineStr">
        <is>
          <t>Explanation</t>
        </is>
      </c>
    </row>
    <row r="5" ht="36" customHeight="1">
      <c r="A5" s="18" t="inlineStr">
        <is>
          <t>1</t>
        </is>
      </c>
      <c r="B5" s="19" t="inlineStr">
        <is>
          <t>How many patients were admitted to 4 West during the quarter (total of the Admissions column)?</t>
        </is>
      </c>
      <c r="C5" s="37" t="n">
        <v>699</v>
      </c>
      <c r="D5" s="38" t="inlineStr">
        <is>
          <t>=SUM(Census!C2:C91)</t>
        </is>
      </c>
      <c r="E5" cm="1" s="39">
        <f t="array" ref="E5">SUM(Census!C2:C91)</f>
        <v/>
      </c>
      <c r="F5" s="19" t="inlineStr">
        <is>
          <t>SUM adds every number in the range. Typing =SUM( and then dragging over the column fills in the range for you.</t>
        </is>
      </c>
    </row>
    <row r="6" ht="36" customHeight="1">
      <c r="A6" s="18" t="inlineStr">
        <is>
          <t>2</t>
        </is>
      </c>
      <c r="B6" s="19" t="inlineStr">
        <is>
          <t>What was the average midnight census? (Keep full precision — the check accepts 2 decimal places.)</t>
        </is>
      </c>
      <c r="C6" s="40" t="n">
        <v>32.85555555555555</v>
      </c>
      <c r="D6" s="38" t="inlineStr">
        <is>
          <t>=AVERAGE(Census!E2:E91)</t>
        </is>
      </c>
      <c r="E6" cm="1" s="41">
        <f t="array" ref="E6">AVERAGE(Census!E2:E91)</f>
        <v/>
      </c>
      <c r="F6" s="19" t="inlineStr">
        <is>
          <t>AVERAGE = SUM ÷ COUNT of the numbers in the range. This is the unit's *average daily census* (ADC).</t>
        </is>
      </c>
    </row>
    <row r="7" ht="30" customHeight="1">
      <c r="A7" s="18" t="inlineStr">
        <is>
          <t>3</t>
        </is>
      </c>
      <c r="B7" s="19" t="inlineStr">
        <is>
          <t>What was the highest midnight census on any day?</t>
        </is>
      </c>
      <c r="C7" s="37" t="n">
        <v>37</v>
      </c>
      <c r="D7" s="38" t="inlineStr">
        <is>
          <t>=MAX(Census!E2:E91)</t>
        </is>
      </c>
      <c r="E7" cm="1" s="39">
        <f t="array" ref="E7">MAX(Census!E2:E91)</f>
        <v/>
      </c>
      <c r="F7" s="19" t="inlineStr"/>
    </row>
    <row r="8" ht="30" customHeight="1">
      <c r="A8" s="18" t="inlineStr">
        <is>
          <t>4</t>
        </is>
      </c>
      <c r="B8" s="19" t="inlineStr">
        <is>
          <t>What was the lowest midnight census on any day?</t>
        </is>
      </c>
      <c r="C8" s="37" t="n">
        <v>28</v>
      </c>
      <c r="D8" s="38" t="inlineStr">
        <is>
          <t>=MIN(Census!E2:E91)</t>
        </is>
      </c>
      <c r="E8" cm="1" s="39">
        <f t="array" ref="E8">MIN(Census!E2:E91)</f>
        <v/>
      </c>
      <c r="F8" s="19" t="inlineStr"/>
    </row>
    <row r="9" ht="36" customHeight="1">
      <c r="A9" s="18" t="inlineStr">
        <is>
          <t>5</t>
        </is>
      </c>
      <c r="B9" s="19" t="inlineStr">
        <is>
          <t>How many days of census data are there? Count the dates in the CensusDate column.</t>
        </is>
      </c>
      <c r="C9" s="37" t="n">
        <v>90</v>
      </c>
      <c r="D9" s="38" t="inlineStr">
        <is>
          <t>=COUNT(Census!A2:A91)</t>
        </is>
      </c>
      <c r="E9" cm="1" s="39">
        <f t="array" ref="E9">COUNT(Census!A2:A91)</f>
        <v/>
      </c>
      <c r="F9" s="19" t="inlineStr">
        <is>
          <t>Excel stores dates as numbers (serial numbers), so COUNT includes them. COUNT ignores text and blanks.</t>
        </is>
      </c>
    </row>
    <row r="10" ht="36" customHeight="1">
      <c r="A10" s="18" t="inlineStr">
        <is>
          <t>6</t>
        </is>
      </c>
      <c r="B10" s="19" t="inlineStr">
        <is>
          <t>On how many days did the charge nurse write a note?</t>
        </is>
      </c>
      <c r="C10" s="37" t="n">
        <v>21</v>
      </c>
      <c r="D10" s="38" t="inlineStr">
        <is>
          <t>=COUNTA(Census!F2:F91)</t>
        </is>
      </c>
      <c r="E10" cm="1" s="39">
        <f t="array" ref="E10">COUNTA(Census!F2:F91)</f>
        <v/>
      </c>
      <c r="F10" s="19" t="inlineStr">
        <is>
          <t>COUNTA counts every non-empty cell, including text. COUNT would return 0 here because the notes are text.</t>
        </is>
      </c>
    </row>
    <row r="11" ht="36" customHeight="1">
      <c r="A11" s="18" t="inlineStr">
        <is>
          <t>7</t>
        </is>
      </c>
      <c r="B11" s="19" t="inlineStr">
        <is>
          <t>On how many days was the Notes cell left empty?</t>
        </is>
      </c>
      <c r="C11" s="37" t="n">
        <v>69</v>
      </c>
      <c r="D11" s="38" t="inlineStr">
        <is>
          <t>=COUNTBLANK(Census!F2:F91)</t>
        </is>
      </c>
      <c r="E11" cm="1" s="39">
        <f t="array" ref="E11">COUNTBLANK(Census!F2:F91)</f>
        <v/>
      </c>
      <c r="F11" s="19" t="inlineStr">
        <is>
          <t>COUNTA + COUNTBLANK always equals the number of cells in the range (here 90).</t>
        </is>
      </c>
    </row>
    <row r="12" ht="36" customHeight="1">
      <c r="A12" s="18" t="inlineStr">
        <is>
          <t>8</t>
        </is>
      </c>
      <c r="B12" s="19" t="inlineStr">
        <is>
          <t>Patient days = the sum of every day's midnight census. How many patient days did 4 West provide in Q1?</t>
        </is>
      </c>
      <c r="C12" s="37" t="n">
        <v>2957</v>
      </c>
      <c r="D12" s="38" t="inlineStr">
        <is>
          <t>=SUM(Census!E2:E91)</t>
        </is>
      </c>
      <c r="E12" cm="1" s="39">
        <f t="array" ref="E12">SUM(Census!E2:E91)</f>
        <v/>
      </c>
      <c r="F12" s="19" t="inlineStr">
        <is>
          <t>Each patient in a bed at midnight counts as one patient day. Patient days drive staffing and cost per day.</t>
        </is>
      </c>
    </row>
    <row r="13" ht="51" customHeight="1">
      <c r="A13" s="18" t="inlineStr">
        <is>
          <t>9</t>
        </is>
      </c>
      <c r="B13" s="19" t="inlineStr">
        <is>
          <t>What was the unit's occupancy rate for the whole quarter? Divide total patient days by total staffed-bed days. Enter it as a percentage.</t>
        </is>
      </c>
      <c r="C13" s="42" t="n">
        <v>0.9126543209876543</v>
      </c>
      <c r="D13" s="38" t="inlineStr">
        <is>
          <t>=SUM(Census!E2:E91)/SUM(Census!B2:B91)</t>
        </is>
      </c>
      <c r="E13" cm="1" s="43">
        <f t="array" ref="E13">SUM(Census!E2:E91)/SUM(Census!B2:B91)</f>
        <v/>
      </c>
      <c r="F13" s="19" t="inlineStr">
        <is>
          <t>A rate for a whole period should be total numerator ÷ total denominator. Format the cell as a percentage (Ctrl+Shift+%) to see 91.3% instead of 0.9126…</t>
        </is>
      </c>
    </row>
    <row r="14" ht="96" customHeight="1">
      <c r="A14" s="18" t="inlineStr">
        <is>
          <t>10</t>
        </is>
      </c>
      <c r="B14" s="19" t="inlineStr">
        <is>
          <t>In the Census sheet, fill the yellow Occupancy column with a formula for each day (MidnightCensus ÷ StaffedBeds). The gray cell counts the days your column shows 100% or more. (Type it in G2, then double-click the fill handle to copy it down.)</t>
        </is>
      </c>
      <c r="C14" s="37" t="n">
        <v>6</v>
      </c>
      <c r="D14" s="38" t="inlineStr">
        <is>
          <t>=E2/B2</t>
        </is>
      </c>
      <c r="E14" cm="1" s="39">
        <f t="array" ref="E14">SUMPRODUCT(--(Census!E2:E91&gt;=Census!B2:B91))</f>
        <v/>
      </c>
      <c r="F14" s="19" t="inlineStr">
        <is>
          <t>Type =E2/B2 in the first Occupancy cell and copy it down; each row's formula points to its own row (=E3/B3, =E4/B4 …). Because the data is an Excel Table, typing the formula in one cell may fill the whole column automatically — and you may see it written as =[@MidnightCensus]/[@StaffedBeds]. Both are correct.</t>
        </is>
      </c>
    </row>
    <row r="15" ht="51" customHeight="1">
      <c r="A15" s="18" t="inlineStr">
        <is>
          <t>11</t>
        </is>
      </c>
      <c r="B15" s="19" t="inlineStr">
        <is>
          <t>Average length of stay (ALOS) = patient days ÷ discharges. Calculate it for the quarter, rounded to 1 decimal place with ROUND.</t>
        </is>
      </c>
      <c r="C15" s="44" t="n">
        <v>4.2</v>
      </c>
      <c r="D15" s="38" t="inlineStr">
        <is>
          <t>=ROUND(SUM(Census!E2:E91)/SUM(Census!D2:D91),1)</t>
        </is>
      </c>
      <c r="E15" cm="1" s="45">
        <f t="array" ref="E15">ROUND(SUM(Census!E2:E91)/SUM(Census!D2:D91),1)</f>
        <v/>
      </c>
      <c r="F15" s="19" t="inlineStr">
        <is>
          <t>ROUND changes the stored value, not just how it looks. The check here is strict: an unrounded value won't match.</t>
        </is>
      </c>
    </row>
    <row r="16" ht="36" customHeight="1">
      <c r="A16" s="18" t="inlineStr">
        <is>
          <t>12</t>
        </is>
      </c>
      <c r="B16" s="19" t="inlineStr">
        <is>
          <t>Without typing it into Excel first, what does =(30-6)/4+2^3 return? Then type it to confirm.</t>
        </is>
      </c>
      <c r="C16" s="37" t="n">
        <v>14</v>
      </c>
      <c r="D16" s="38" t="inlineStr">
        <is>
          <t>=(30-6)/4+2^3</t>
        </is>
      </c>
      <c r="E16" cm="1" s="39">
        <f t="array" ref="E16">(30-6)/4+2^3</f>
        <v/>
      </c>
      <c r="F16" s="19" t="inlineStr">
        <is>
          <t>(30−6)=24 first (parentheses), then 2^3=8 (exponent), then 24/4=6 (division), then 6+8=14.</t>
        </is>
      </c>
    </row>
    <row r="17" ht="66" customHeight="1">
      <c r="A17" s="18" t="inlineStr">
        <is>
          <t>13</t>
        </is>
      </c>
      <c r="B17" s="19" t="inlineStr">
        <is>
          <t>Switch to the Supplies sheet. Fill the yellow StockValue column with UnitCost × QtyOnHand for every item. The gray cell totals your column — what is the total value of 4 West's supply room?</t>
        </is>
      </c>
      <c r="C17" s="46" t="n">
        <v>31730.68</v>
      </c>
      <c r="D17" s="38" t="inlineStr">
        <is>
          <t>=E2*F2</t>
        </is>
      </c>
      <c r="E17" cm="1" s="47">
        <f t="array" ref="E17">SUMPRODUCT(Supplies!E2:E15,Supplies!F2:F15)</f>
        <v/>
      </c>
      <c r="F17" s="19" t="inlineStr">
        <is>
          <t>One formula, copied down, gives each item's value; then SUM the column. (The live formula in the key uses SUMPRODUCT, which multiplies and adds in one step — you'll meet it in Lesson 2.4.)</t>
        </is>
      </c>
    </row>
  </sheetData>
  <mergeCells count="1">
    <mergeCell ref="A2:F2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F8"/>
  <sheetViews>
    <sheetView tabSelected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18" customWidth="1" min="3" max="3"/>
    <col width="48" customWidth="1" min="4" max="4"/>
    <col width="16" customWidth="1" min="5" max="5"/>
    <col width="62" customWidth="1" min="6" max="6"/>
  </cols>
  <sheetData>
    <row r="1">
      <c r="A1" s="34" t="inlineStr">
        <is>
          <t>🔑 Bonus Key — Lesson 1.4</t>
        </is>
      </c>
    </row>
    <row r="2" ht="32" customHeight="1">
      <c r="A2" s="35" t="inlineStr">
        <is>
          <t>Spoiler alert — try every task before reading this sheet. Column C is the value the Check column compares against. Column D is a sample solution; column E is that same formula, live, proving it works.</t>
        </is>
      </c>
    </row>
    <row r="4">
      <c r="A4" s="36" t="inlineStr">
        <is>
          <t>#</t>
        </is>
      </c>
      <c r="B4" s="36" t="inlineStr">
        <is>
          <t>Task</t>
        </is>
      </c>
      <c r="C4" s="36" t="inlineStr">
        <is>
          <t>Answer</t>
        </is>
      </c>
      <c r="D4" s="36" t="inlineStr">
        <is>
          <t>Sample solution</t>
        </is>
      </c>
      <c r="E4" s="36" t="inlineStr">
        <is>
          <t>Live result</t>
        </is>
      </c>
      <c r="F4" s="36" t="inlineStr">
        <is>
          <t>Explanation</t>
        </is>
      </c>
    </row>
    <row r="5" ht="36" customHeight="1">
      <c r="A5" s="18" t="inlineStr">
        <is>
          <t>B1</t>
        </is>
      </c>
      <c r="B5" s="19" t="inlineStr">
        <is>
          <t>What was February's average daily census (ADC)? Use only the February rows.</t>
        </is>
      </c>
      <c r="C5" s="40" t="n">
        <v>32.82142857142857</v>
      </c>
      <c r="D5" s="38" t="inlineStr">
        <is>
          <t>=AVERAGE(Census!E33:E60)</t>
        </is>
      </c>
      <c r="E5" cm="1" s="41">
        <f t="array" ref="E5">AVERAGE(Census!E33:E60)</f>
        <v/>
      </c>
      <c r="F5" s="19" t="inlineStr">
        <is>
          <t>Select only the February rows. Selecting the whole column would give the quarterly ADC instead.</t>
        </is>
      </c>
    </row>
    <row r="6" ht="51" customHeight="1">
      <c r="A6" s="18" t="inlineStr">
        <is>
          <t>B2</t>
        </is>
      </c>
      <c r="B6" s="19" t="inlineStr">
        <is>
          <t>How many beds would 4 West have needed in February for that ADC to equal 85% occupancy? (ADC ÷ 0.85, keep the decimals.)</t>
        </is>
      </c>
      <c r="C6" s="40" t="n">
        <v>38.61344537815126</v>
      </c>
      <c r="D6" s="38" t="inlineStr">
        <is>
          <t>=AVERAGE(Census!E33:E60)/0.85</t>
        </is>
      </c>
      <c r="E6" cm="1" s="41">
        <f t="array" ref="E6">AVERAGE(Census!E33:E60)/0.85</f>
        <v/>
      </c>
      <c r="F6" s="19" t="inlineStr"/>
    </row>
    <row r="7" ht="66" customHeight="1">
      <c r="A7" s="18" t="inlineStr">
        <is>
          <t>B3</t>
        </is>
      </c>
      <c r="B7" s="19" t="inlineStr">
        <is>
          <t>You can't open part of a bed. How many EXTRA beds (beyond today's 36) should the unit open? Round up to a whole bed.</t>
        </is>
      </c>
      <c r="C7" s="37" t="n">
        <v>3</v>
      </c>
      <c r="D7" s="38" t="inlineStr">
        <is>
          <t>=ROUNDUP(AVERAGE(Census!E33:E60)/0.85-Census!B33,0)</t>
        </is>
      </c>
      <c r="E7" cm="1" s="39">
        <f t="array" ref="E7">ROUNDUP(AVERAGE(Census!E33:E60)/0.85-Census!B33,0)</f>
        <v/>
      </c>
      <c r="F7" s="19" t="inlineStr">
        <is>
          <t>Beds needed (≈38.6) minus the 36 staffed beds ≈ 2.6, rounded up to 3. ROUND would have given 3 here as well, but only ROUNDUP guarantees you never under-build: 2.1 extra beds still means opening 3.</t>
        </is>
      </c>
    </row>
    <row r="8" ht="51" customHeight="1">
      <c r="A8" s="18" t="inlineStr">
        <is>
          <t>B4</t>
        </is>
      </c>
      <c r="B8" s="19" t="inlineStr">
        <is>
          <t>Sanity check: on how many February days did the midnight census exceed 85% of 36 beds (i.e. more than 30.6 patients)?</t>
        </is>
      </c>
      <c r="C8" s="37" t="n">
        <v>25</v>
      </c>
      <c r="D8" s="38" t="inlineStr">
        <is>
          <t>=COUNTIF(Census!E33:E60,"&gt;"&amp;0.85*36)</t>
        </is>
      </c>
      <c r="E8" cm="1" s="39">
        <f t="array" ref="E8">COUNTIF(Census!E33:E60,"&gt;"&amp;0.85*36)</f>
        <v/>
      </c>
      <c r="F8" s="19" t="inlineStr">
        <is>
          <t>COUNTIF counts cells that meet a condition. You'll master it in Lesson 2.5 — here it confirms that almost every February day ran above the 85% planning target.</t>
        </is>
      </c>
    </row>
  </sheetData>
  <mergeCells count="1">
    <mergeCell ref="A2:F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Learn Excel · Bluestone Health course</dc:creator>
  <dc:title>Lesson 1.4 — Your First Formulas &amp; Functions</dc:title>
  <dcterms:created xsi:type="dcterms:W3CDTF">2026-10-02T14:33:47Z</dcterms:created>
  <dcterms:modified xsi:type="dcterms:W3CDTF">2026-10-02T14:33:47Z</dcterms:modified>
</cp:coreProperties>
</file>
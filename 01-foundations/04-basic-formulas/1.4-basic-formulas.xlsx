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Census" sheetId="3" state="visible" r:id="rId3"/>
    <sheet name="Supplies"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7">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2" fontId="0" fillId="3" borderId="2" applyAlignment="1" pivotButton="0" quotePrefix="0" xfId="0">
      <alignment horizontal="right" vertical="top"/>
    </xf>
    <xf numFmtId="166" fontId="0" fillId="3" borderId="2" applyAlignment="1" pivotButton="0" quotePrefix="0" xfId="0">
      <alignment horizontal="right" vertical="top"/>
    </xf>
    <xf numFmtId="0" fontId="11" fillId="6" borderId="1" applyAlignment="1" pivotButton="0" quotePrefix="0" xfId="0">
      <alignment horizontal="right" vertical="top"/>
    </xf>
    <xf numFmtId="167" fontId="0" fillId="3" borderId="2" applyAlignment="1" pivotButton="0" quotePrefix="0" xfId="0">
      <alignment horizontal="right" vertical="top"/>
    </xf>
    <xf numFmtId="4"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166" fontId="0" fillId="3" borderId="0" pivotButton="0" quotePrefix="0" xfId="0"/>
    <xf numFmtId="4" fontId="0" fillId="0" borderId="0" pivotButton="0" quotePrefix="0" xfId="0"/>
    <xf numFmtId="4" fontId="0"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167" fontId="1" fillId="0" borderId="1" applyAlignment="1" pivotButton="0" quotePrefix="0" xfId="0">
      <alignment vertical="top" wrapText="1"/>
    </xf>
    <xf numFmtId="167" fontId="0" fillId="0" borderId="1" applyAlignment="1" pivotButton="0" quotePrefix="0"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Census" displayName="tblCensus" ref="A1:G91" headerRowCount="1">
  <autoFilter ref="A1:G91"/>
  <tableColumns count="7">
    <tableColumn id="1" name="CensusDate"/>
    <tableColumn id="2" name="StaffedBeds"/>
    <tableColumn id="3" name="Admissions"/>
    <tableColumn id="4" name="Discharges"/>
    <tableColumn id="5" name="MidnightCensus"/>
    <tableColumn id="6" name="Notes"/>
    <tableColumn id="7" name="Occupancy"/>
  </tableColumns>
  <tableStyleInfo name="TableStyleMedium2" showRowStripes="1"/>
</table>
</file>

<file path=xl/tables/table2.xml><?xml version="1.0" encoding="utf-8"?>
<table xmlns="http://schemas.openxmlformats.org/spreadsheetml/2006/main" id="2" name="tblSupplies" displayName="tblSupplies" ref="A1:G15" headerRowCount="1">
  <autoFilter ref="A1:G15"/>
  <tableColumns count="7">
    <tableColumn id="1" name="SKU"/>
    <tableColumn id="2" name="ItemDescription"/>
    <tableColumn id="3" name="Category"/>
    <tableColumn id="4" name="UnitOfMeasure"/>
    <tableColumn id="5" name="UnitCost"/>
    <tableColumn id="6" name="QtyOnHand"/>
    <tableColumn id="7" name="StockValu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1.4</t>
        </is>
      </c>
    </row>
    <row r="3">
      <c r="B3" s="2" t="inlineStr">
        <is>
          <t>Your First Formulas &amp; Functions</t>
        </is>
      </c>
    </row>
    <row r="4">
      <c r="B4" s="3" t="inlineStr">
        <is>
          <t>Beginner  ·  about 55 minutes  ·  Bluestone Health System (fictional)</t>
        </is>
      </c>
    </row>
    <row r="6">
      <c r="B6" s="4" t="inlineStr">
        <is>
          <t>What you'll learn</t>
        </is>
      </c>
      <c r="C6" s="5" t="n"/>
    </row>
    <row r="7" ht="18" customHeight="1">
      <c r="B7" s="6" t="inlineStr">
        <is>
          <t>•</t>
        </is>
      </c>
      <c r="C7" s="7" t="inlineStr">
        <is>
          <t>Write formulas with operators and the correct order of operations</t>
        </is>
      </c>
    </row>
    <row r="8" ht="18" customHeight="1">
      <c r="B8" s="6" t="inlineStr">
        <is>
          <t>•</t>
        </is>
      </c>
      <c r="C8" s="7" t="inlineStr">
        <is>
          <t>Use SUM, AVERAGE, MIN, MAX, COUNT, COUNTA, and COUNTBLANK</t>
        </is>
      </c>
    </row>
    <row r="9" ht="18" customHeight="1">
      <c r="B9" s="6" t="inlineStr">
        <is>
          <t>•</t>
        </is>
      </c>
      <c r="C9" s="7" t="inlineStr">
        <is>
          <t>Calculate rates and percentages such as bed occupancy</t>
        </is>
      </c>
    </row>
    <row r="10" ht="18" customHeight="1">
      <c r="B10" s="6" t="inlineStr">
        <is>
          <t>•</t>
        </is>
      </c>
      <c r="C10" s="7" t="inlineStr">
        <is>
          <t>Copy formulas down a column and read common errors (#DIV/0!, #NAME?, #VALUE!)</t>
        </is>
      </c>
    </row>
    <row r="11" ht="18" customHeight="1">
      <c r="B11" s="6" t="inlineStr">
        <is>
          <t>•</t>
        </is>
      </c>
      <c r="C11" s="7" t="inlineStr">
        <is>
          <t>Round results with ROUND</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https://github.com/lmansf/learn-excel/tree/main/01-foundations/04-basic-formulas</t>
        </is>
      </c>
    </row>
    <row r="15" ht="48" customHeight="1">
      <c r="B15" s="8" t="inlineStr">
        <is>
          <t>2. Practice</t>
        </is>
      </c>
      <c r="C15" s="7" t="inlineStr">
        <is>
          <t>Go to the 'Practice' sheet. Type a formula or value into each yellow cell. For tasks 10 and 13, fill the yellow column on the Census or Supplies sheet instead, and the task's gray cell on Practice reads it.</t>
        </is>
      </c>
    </row>
    <row r="16" ht="18" customHeight="1">
      <c r="B16" s="8" t="inlineStr">
        <is>
          <t>3. Check yourself</t>
        </is>
      </c>
      <c r="C16" s="7" t="inlineStr">
        <is>
          <t>The Check column shows ✔ Correct (green) or ✘ Not yet (red).</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It reads the work you did on another sheet, so don't type over it.</t>
        </is>
      </c>
    </row>
    <row r="23" ht="18" customHeight="1">
      <c r="B23" s="11" t="inlineStr">
        <is>
          <t>✔ Correct</t>
        </is>
      </c>
      <c r="C23" s="7" t="inlineStr">
        <is>
          <t>Your answer matches the key.</t>
        </is>
      </c>
    </row>
    <row r="24" ht="18" customHeight="1">
      <c r="B24" s="12" t="inlineStr">
        <is>
          <t>✘ Not yet</t>
        </is>
      </c>
      <c r="C24" s="7" t="inlineStr">
        <is>
          <t>Not matching yet. Check the hint and try again.</t>
        </is>
      </c>
    </row>
    <row r="26">
      <c r="B26" s="4" t="inlineStr">
        <is>
          <t>Sheets in this workbook</t>
        </is>
      </c>
      <c r="C26" s="5" t="n"/>
    </row>
    <row r="27" ht="18" customHeight="1">
      <c r="B27" s="8" t="inlineStr">
        <is>
          <t>Practice</t>
        </is>
      </c>
      <c r="C27" s="7" t="inlineStr">
        <is>
          <t>13 practice tasks, each with a Check cell.</t>
        </is>
      </c>
    </row>
    <row r="28" ht="18" customHeight="1">
      <c r="B28" s="8" t="inlineStr">
        <is>
          <t>Census</t>
        </is>
      </c>
      <c r="C28" s="7" t="inlineStr">
        <is>
          <t>Data: 90 rows, in the Excel Table 'tblCensus'</t>
        </is>
      </c>
    </row>
    <row r="29" ht="18" customHeight="1">
      <c r="B29" s="8" t="inlineStr">
        <is>
          <t>Supplies</t>
        </is>
      </c>
      <c r="C29" s="7" t="inlineStr">
        <is>
          <t>Data: 14 rows, in the Excel Table 'tblSupplies'</t>
        </is>
      </c>
    </row>
    <row r="30" ht="18" customHeight="1">
      <c r="B30" s="8" t="inlineStr">
        <is>
          <t>Bonus</t>
        </is>
      </c>
      <c r="C30" s="7" t="inlineStr">
        <is>
          <t>The bonus challenge (4 parts).</t>
        </is>
      </c>
    </row>
    <row r="31" ht="33" customHeight="1">
      <c r="B31" s="8" t="inlineStr">
        <is>
          <t>About the data</t>
        </is>
      </c>
      <c r="C31" s="7" t="inlineStr">
        <is>
          <t>Daily census for Medical-Surgical 4 West at Bluestone Memorial Hospital, Jan–Mar 2025 (90 days), plus the unit's supply room stock.</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1.4 · Practice</t>
        </is>
      </c>
    </row>
    <row r="2" ht="34" customHeight="1">
      <c r="A2" s="14" t="inlineStr">
        <is>
          <t>All tasks use the Census sheet (4 West, Q1 2025) unless they say otherwise. Use cell ranges like Census!C2:C91, or click and drag to select them while typing a formula.</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How many patients were admitted to 4 West during the quarter (total of the Admissions column)?</t>
        </is>
      </c>
      <c r="C6" s="20" t="inlineStr">
        <is>
          <t>SUM</t>
        </is>
      </c>
      <c r="D6" s="21" t="n"/>
      <c r="E6" s="22">
        <f>IF(IFERROR(D6="",FALSE),"",IF(IFERROR(AND(ISNUMBER(D6),OR(ABS(D6-'Answer Key'!$C$5)&lt;=0.0001)),FALSE),"✔ Correct","✘ Not yet"))</f>
        <v/>
      </c>
    </row>
    <row r="7" ht="36" customHeight="1">
      <c r="A7" s="18" t="inlineStr">
        <is>
          <t>2</t>
        </is>
      </c>
      <c r="B7" s="19" t="inlineStr">
        <is>
          <t>What was the average midnight census? (Keep full precision. The check compares the value to 2 decimal places.)</t>
        </is>
      </c>
      <c r="C7" s="20" t="inlineStr">
        <is>
          <t>AVERAGE</t>
        </is>
      </c>
      <c r="D7" s="23" t="n"/>
      <c r="E7" s="22">
        <f>IF(IFERROR(D7="",FALSE),"",IF(IFERROR(AND(ISNUMBER(D7),OR(ABS(D7-'Answer Key'!$C$6)&lt;=0.0051)),FALSE),"✔ Correct","✘ Not yet"))</f>
        <v/>
      </c>
    </row>
    <row r="8" ht="30" customHeight="1">
      <c r="A8" s="18" t="inlineStr">
        <is>
          <t>3</t>
        </is>
      </c>
      <c r="B8" s="19" t="inlineStr">
        <is>
          <t>What was the highest midnight census on any day?</t>
        </is>
      </c>
      <c r="C8" s="20" t="inlineStr">
        <is>
          <t>MAX</t>
        </is>
      </c>
      <c r="D8" s="21" t="n"/>
      <c r="E8" s="22">
        <f>IF(IFERROR(D8="",FALSE),"",IF(IFERROR(AND(ISNUMBER(D8),OR(ABS(D8-'Answer Key'!$C$7)&lt;=0.0001)),FALSE),"✔ Correct","✘ Not yet"))</f>
        <v/>
      </c>
    </row>
    <row r="9" ht="30" customHeight="1">
      <c r="A9" s="18" t="inlineStr">
        <is>
          <t>4</t>
        </is>
      </c>
      <c r="B9" s="19" t="inlineStr">
        <is>
          <t>What was the lowest midnight census on any day?</t>
        </is>
      </c>
      <c r="C9" s="20" t="inlineStr">
        <is>
          <t>MIN</t>
        </is>
      </c>
      <c r="D9" s="21" t="n"/>
      <c r="E9" s="22">
        <f>IF(IFERROR(D9="",FALSE),"",IF(IFERROR(AND(ISNUMBER(D9),OR(ABS(D9-'Answer Key'!$C$8)&lt;=0.0001)),FALSE),"✔ Correct","✘ Not yet"))</f>
        <v/>
      </c>
    </row>
    <row r="10" ht="36" customHeight="1">
      <c r="A10" s="18" t="inlineStr">
        <is>
          <t>5</t>
        </is>
      </c>
      <c r="B10" s="19" t="inlineStr">
        <is>
          <t>How many days of census data are there? Count the dates in the CensusDate column.</t>
        </is>
      </c>
      <c r="C10" s="20" t="inlineStr">
        <is>
          <t>COUNT counts numbers, and dates are numbers</t>
        </is>
      </c>
      <c r="D10" s="21" t="n"/>
      <c r="E10" s="22">
        <f>IF(IFERROR(D10="",FALSE),"",IF(IFERROR(AND(ISNUMBER(D10),OR(ABS(D10-'Answer Key'!$C$9)&lt;=0.0001)),FALSE),"✔ Correct","✘ Not yet"))</f>
        <v/>
      </c>
    </row>
    <row r="11" ht="30" customHeight="1">
      <c r="A11" s="18" t="inlineStr">
        <is>
          <t>6</t>
        </is>
      </c>
      <c r="B11" s="19" t="inlineStr">
        <is>
          <t>On how many days did the charge nurse write a note?</t>
        </is>
      </c>
      <c r="C11" s="20" t="inlineStr">
        <is>
          <t>COUNTA counts anything that isn't empty</t>
        </is>
      </c>
      <c r="D11" s="21" t="n"/>
      <c r="E11" s="22">
        <f>IF(IFERROR(D11="",FALSE),"",IF(IFERROR(AND(ISNUMBER(D11),OR(ABS(D11-'Answer Key'!$C$10)&lt;=0.0001)),FALSE),"✔ Correct","✘ Not yet"))</f>
        <v/>
      </c>
    </row>
    <row r="12" ht="30" customHeight="1">
      <c r="A12" s="18" t="inlineStr">
        <is>
          <t>7</t>
        </is>
      </c>
      <c r="B12" s="19" t="inlineStr">
        <is>
          <t>On how many days was the Notes cell left empty?</t>
        </is>
      </c>
      <c r="C12" s="20" t="inlineStr">
        <is>
          <t>COUNTBLANK</t>
        </is>
      </c>
      <c r="D12" s="21" t="n"/>
      <c r="E12" s="22">
        <f>IF(IFERROR(D12="",FALSE),"",IF(IFERROR(AND(ISNUMBER(D12),OR(ABS(D12-'Answer Key'!$C$11)&lt;=0.0001)),FALSE),"✔ Correct","✘ Not yet"))</f>
        <v/>
      </c>
    </row>
    <row r="13" ht="36" customHeight="1">
      <c r="A13" s="18" t="inlineStr">
        <is>
          <t>8</t>
        </is>
      </c>
      <c r="B13" s="19" t="inlineStr">
        <is>
          <t>Patient days = the sum of every day's midnight census. How many patient days did 4 West provide in Q1?</t>
        </is>
      </c>
      <c r="C13" s="20" t="inlineStr">
        <is>
          <t>It's a SUM</t>
        </is>
      </c>
      <c r="D13" s="21" t="n"/>
      <c r="E13" s="22">
        <f>IF(IFERROR(D13="",FALSE),"",IF(IFERROR(AND(ISNUMBER(D13),OR(ABS(D13-'Answer Key'!$C$12)&lt;=0.0001)),FALSE),"✔ Correct","✘ Not yet"))</f>
        <v/>
      </c>
    </row>
    <row r="14" ht="36" customHeight="1">
      <c r="A14" s="18" t="inlineStr">
        <is>
          <t>9</t>
        </is>
      </c>
      <c r="B14" s="19" t="inlineStr">
        <is>
          <t>What was the unit's occupancy rate for the whole quarter? Divide total patient days by total staffed-bed days. Enter it as a percentage.</t>
        </is>
      </c>
      <c r="C14" s="20" t="inlineStr">
        <is>
          <t>SUM(…)/SUM(…), then format as %</t>
        </is>
      </c>
      <c r="D14" s="24" t="n"/>
      <c r="E14" s="22">
        <f>IF(IFERROR(D14="",FALSE),"",IF(IFERROR(AND(ISNUMBER(D14),OR(ABS(D14-'Answer Key'!$C$13)&lt;=0.00051,ABS(D14-'Answer Key'!$C$13*100)&lt;=0.051000000000000004)),FALSE),"✔ Correct","✘ Not yet"))</f>
        <v/>
      </c>
    </row>
    <row r="15" ht="66" customHeight="1">
      <c r="A15" s="18" t="inlineStr">
        <is>
          <t>10</t>
        </is>
      </c>
      <c r="B15" s="19" t="inlineStr">
        <is>
          <t>In the Census sheet, fill the yellow Occupancy column with a formula for each day (MidnightCensus ÷ StaffedBeds). The gray cell counts the days your column shows 100% or more. (Type it in G2, then double-click the fill handle to copy it down.)</t>
        </is>
      </c>
      <c r="C15" s="20" t="inlineStr">
        <is>
          <t>Relative references shift down as you copy</t>
        </is>
      </c>
      <c r="D15" cm="1" s="25">
        <f t="array" ref="D15">IF(COUNT(Census!G2:G91)=0,"",COUNTIF(Census!G2:G91,"&gt;=1"))</f>
        <v/>
      </c>
      <c r="E15" s="22">
        <f>IF(IFERROR(D15="",FALSE),"",IF(IFERROR(AND(ISNUMBER(D15),OR(ABS(D15-'Answer Key'!$C$14)&lt;=0.0001)),FALSE),"✔ Correct","✘ Not yet"))</f>
        <v/>
      </c>
    </row>
    <row r="16" ht="36" customHeight="1">
      <c r="A16" s="18" t="inlineStr">
        <is>
          <t>11</t>
        </is>
      </c>
      <c r="B16" s="19" t="inlineStr">
        <is>
          <t>Average length of stay (ALOS) = patient days ÷ discharges. Calculate it for the quarter, rounded to 1 decimal place with ROUND.</t>
        </is>
      </c>
      <c r="C16" s="20" t="inlineStr">
        <is>
          <t>ROUND(number, 1)</t>
        </is>
      </c>
      <c r="D16" s="26" t="n"/>
      <c r="E16" s="22">
        <f>IF(IFERROR(D16="",FALSE),"",IF(IFERROR(AND(ISNUMBER(D16),OR(ABS(D16-'Answer Key'!$C$15)&lt;=0.0001)),FALSE),"✔ Correct","✘ Not yet"))</f>
        <v/>
      </c>
    </row>
    <row r="17" ht="36" customHeight="1">
      <c r="A17" s="18" t="inlineStr">
        <is>
          <t>12</t>
        </is>
      </c>
      <c r="B17" s="19" t="inlineStr">
        <is>
          <t>Without typing it into Excel first, what does =(30-6)/4+2^3 return? Then type it to confirm.</t>
        </is>
      </c>
      <c r="C17" s="20" t="inlineStr">
        <is>
          <t>Parentheses → exponents → × ÷ → + −</t>
        </is>
      </c>
      <c r="D17" s="21" t="n"/>
      <c r="E17" s="22">
        <f>IF(IFERROR(D17="",FALSE),"",IF(IFERROR(AND(ISNUMBER(D17),OR(ABS(D17-'Answer Key'!$C$16)&lt;=0.0051)),FALSE),"✔ Correct","✘ Not yet"))</f>
        <v/>
      </c>
    </row>
    <row r="18" ht="51" customHeight="1">
      <c r="A18" s="18" t="inlineStr">
        <is>
          <t>13</t>
        </is>
      </c>
      <c r="B18" s="19" t="inlineStr">
        <is>
          <t>Switch to the Supplies sheet. Fill the yellow StockValue column with UnitCost × QtyOnHand for every item. The gray cell totals your column. What is the total value of 4 West's supply room?</t>
        </is>
      </c>
      <c r="C18" s="20" t="inlineStr">
        <is>
          <t>Multiply with *; copy down</t>
        </is>
      </c>
      <c r="D18" cm="1" s="27">
        <f t="array" ref="D18">IF(COUNT(Supplies!G2:G15)=0,"",SUM(Supplies!G2:G15))</f>
        <v/>
      </c>
      <c r="E18" s="22">
        <f>IF(IFERROR(D18="",FALSE),"",IF(IFERROR(AND(ISNUMBER(D18),OR(ABS(D18-'Answer Key'!$C$17)&lt;=0.0051)),FALSE),"✔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91"/>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 width="38" customWidth="1" min="6" max="6"/>
    <col width="12" customWidth="1" min="7" max="7"/>
  </cols>
  <sheetData>
    <row r="1">
      <c r="A1" s="28" t="inlineStr">
        <is>
          <t>CensusDate</t>
        </is>
      </c>
      <c r="B1" s="28" t="inlineStr">
        <is>
          <t>StaffedBeds</t>
        </is>
      </c>
      <c r="C1" s="28" t="inlineStr">
        <is>
          <t>Admissions</t>
        </is>
      </c>
      <c r="D1" s="28" t="inlineStr">
        <is>
          <t>Discharges</t>
        </is>
      </c>
      <c r="E1" s="28" t="inlineStr">
        <is>
          <t>MidnightCensus</t>
        </is>
      </c>
      <c r="F1" s="28" t="inlineStr">
        <is>
          <t>Notes</t>
        </is>
      </c>
      <c r="G1" s="29" t="inlineStr">
        <is>
          <t>Occupancy</t>
        </is>
      </c>
    </row>
    <row r="2">
      <c r="A2" s="30" t="n">
        <v>45658</v>
      </c>
      <c r="B2" t="n">
        <v>36</v>
      </c>
      <c r="C2" t="n">
        <v>6</v>
      </c>
      <c r="D2" t="n">
        <v>7</v>
      </c>
      <c r="E2" t="n">
        <v>33</v>
      </c>
      <c r="G2" s="31" t="n"/>
    </row>
    <row r="3">
      <c r="A3" s="30" t="n">
        <v>45659</v>
      </c>
      <c r="B3" t="n">
        <v>36</v>
      </c>
      <c r="C3" t="n">
        <v>14</v>
      </c>
      <c r="D3" t="n">
        <v>12</v>
      </c>
      <c r="E3" t="n">
        <v>35</v>
      </c>
      <c r="G3" s="31" t="n"/>
    </row>
    <row r="4">
      <c r="A4" s="30" t="n">
        <v>45660</v>
      </c>
      <c r="B4" t="n">
        <v>36</v>
      </c>
      <c r="C4" t="n">
        <v>8</v>
      </c>
      <c r="D4" t="n">
        <v>10</v>
      </c>
      <c r="E4" t="n">
        <v>33</v>
      </c>
      <c r="G4" s="31" t="n"/>
    </row>
    <row r="5">
      <c r="A5" s="30" t="n">
        <v>45661</v>
      </c>
      <c r="B5" t="n">
        <v>36</v>
      </c>
      <c r="C5" t="n">
        <v>5</v>
      </c>
      <c r="D5" t="n">
        <v>7</v>
      </c>
      <c r="E5" t="n">
        <v>31</v>
      </c>
      <c r="G5" s="31" t="n"/>
    </row>
    <row r="6">
      <c r="A6" s="30" t="n">
        <v>45662</v>
      </c>
      <c r="B6" t="n">
        <v>36</v>
      </c>
      <c r="C6" t="n">
        <v>3</v>
      </c>
      <c r="D6" t="n">
        <v>2</v>
      </c>
      <c r="E6" t="n">
        <v>32</v>
      </c>
      <c r="F6" t="inlineStr">
        <is>
          <t>1 RN call-off; covered by float pool</t>
        </is>
      </c>
      <c r="G6" s="31" t="n"/>
    </row>
    <row r="7">
      <c r="A7" s="30" t="n">
        <v>45663</v>
      </c>
      <c r="B7" t="n">
        <v>36</v>
      </c>
      <c r="C7" t="n">
        <v>8</v>
      </c>
      <c r="D7" t="n">
        <v>7</v>
      </c>
      <c r="E7" t="n">
        <v>33</v>
      </c>
      <c r="G7" s="31" t="n"/>
    </row>
    <row r="8">
      <c r="A8" s="30" t="n">
        <v>45664</v>
      </c>
      <c r="B8" t="n">
        <v>36</v>
      </c>
      <c r="C8" t="n">
        <v>12</v>
      </c>
      <c r="D8" t="n">
        <v>10</v>
      </c>
      <c r="E8" t="n">
        <v>35</v>
      </c>
      <c r="G8" s="31" t="n"/>
    </row>
    <row r="9">
      <c r="A9" s="30" t="n">
        <v>45665</v>
      </c>
      <c r="B9" t="n">
        <v>36</v>
      </c>
      <c r="C9" t="n">
        <v>4</v>
      </c>
      <c r="D9" t="n">
        <v>4</v>
      </c>
      <c r="E9" t="n">
        <v>35</v>
      </c>
      <c r="F9" t="inlineStr">
        <is>
          <t>Isolation room deep-clean</t>
        </is>
      </c>
      <c r="G9" s="31" t="n"/>
    </row>
    <row r="10">
      <c r="A10" s="30" t="n">
        <v>45666</v>
      </c>
      <c r="B10" t="n">
        <v>36</v>
      </c>
      <c r="C10" t="n">
        <v>15</v>
      </c>
      <c r="D10" t="n">
        <v>15</v>
      </c>
      <c r="E10" t="n">
        <v>35</v>
      </c>
      <c r="G10" s="31" t="n"/>
    </row>
    <row r="11">
      <c r="A11" s="30" t="n">
        <v>45667</v>
      </c>
      <c r="B11" t="n">
        <v>36</v>
      </c>
      <c r="C11" t="n">
        <v>10</v>
      </c>
      <c r="D11" t="n">
        <v>10</v>
      </c>
      <c r="E11" t="n">
        <v>35</v>
      </c>
      <c r="G11" s="31" t="n"/>
    </row>
    <row r="12">
      <c r="A12" s="30" t="n">
        <v>45668</v>
      </c>
      <c r="B12" t="n">
        <v>36</v>
      </c>
      <c r="C12" t="n">
        <v>10</v>
      </c>
      <c r="D12" t="n">
        <v>10</v>
      </c>
      <c r="E12" t="n">
        <v>35</v>
      </c>
      <c r="G12" s="31" t="n"/>
    </row>
    <row r="13">
      <c r="A13" s="30" t="n">
        <v>45669</v>
      </c>
      <c r="B13" t="n">
        <v>36</v>
      </c>
      <c r="C13" t="n">
        <v>8</v>
      </c>
      <c r="D13" t="n">
        <v>8</v>
      </c>
      <c r="E13" t="n">
        <v>35</v>
      </c>
      <c r="G13" s="31" t="n"/>
    </row>
    <row r="14">
      <c r="A14" s="30" t="n">
        <v>45670</v>
      </c>
      <c r="B14" t="n">
        <v>36</v>
      </c>
      <c r="C14" t="n">
        <v>17</v>
      </c>
      <c r="D14" t="n">
        <v>17</v>
      </c>
      <c r="E14" t="n">
        <v>35</v>
      </c>
      <c r="G14" s="31" t="n"/>
    </row>
    <row r="15">
      <c r="A15" s="30" t="n">
        <v>45671</v>
      </c>
      <c r="B15" t="n">
        <v>36</v>
      </c>
      <c r="C15" t="n">
        <v>12</v>
      </c>
      <c r="D15" t="n">
        <v>12</v>
      </c>
      <c r="E15" t="n">
        <v>35</v>
      </c>
      <c r="F15" t="inlineStr">
        <is>
          <t>1 RN call-off; covered by float pool</t>
        </is>
      </c>
      <c r="G15" s="31" t="n"/>
    </row>
    <row r="16">
      <c r="A16" s="30" t="n">
        <v>45672</v>
      </c>
      <c r="B16" t="n">
        <v>36</v>
      </c>
      <c r="C16" t="n">
        <v>5</v>
      </c>
      <c r="D16" t="n">
        <v>4</v>
      </c>
      <c r="E16" t="n">
        <v>36</v>
      </c>
      <c r="F16" t="inlineStr">
        <is>
          <t>Unit full: diverting new admits to 5 East</t>
        </is>
      </c>
      <c r="G16" s="31" t="n"/>
    </row>
    <row r="17">
      <c r="A17" s="30" t="n">
        <v>45673</v>
      </c>
      <c r="B17" t="n">
        <v>36</v>
      </c>
      <c r="C17" t="n">
        <v>10</v>
      </c>
      <c r="D17" t="n">
        <v>11</v>
      </c>
      <c r="E17" t="n">
        <v>35</v>
      </c>
      <c r="G17" s="31" t="n"/>
    </row>
    <row r="18">
      <c r="A18" s="30" t="n">
        <v>45674</v>
      </c>
      <c r="B18" t="n">
        <v>36</v>
      </c>
      <c r="C18" t="n">
        <v>10</v>
      </c>
      <c r="D18" t="n">
        <v>12</v>
      </c>
      <c r="E18" t="n">
        <v>33</v>
      </c>
      <c r="G18" s="31" t="n"/>
    </row>
    <row r="19">
      <c r="A19" s="30" t="n">
        <v>45675</v>
      </c>
      <c r="B19" t="n">
        <v>36</v>
      </c>
      <c r="C19" t="n">
        <v>7</v>
      </c>
      <c r="D19" t="n">
        <v>7</v>
      </c>
      <c r="E19" t="n">
        <v>33</v>
      </c>
      <c r="G19" s="31" t="n"/>
    </row>
    <row r="20">
      <c r="A20" s="30" t="n">
        <v>45676</v>
      </c>
      <c r="B20" t="n">
        <v>36</v>
      </c>
      <c r="C20" t="n">
        <v>10</v>
      </c>
      <c r="D20" t="n">
        <v>9</v>
      </c>
      <c r="E20" t="n">
        <v>34</v>
      </c>
      <c r="G20" s="31" t="n"/>
    </row>
    <row r="21">
      <c r="A21" s="30" t="n">
        <v>45677</v>
      </c>
      <c r="B21" t="n">
        <v>36</v>
      </c>
      <c r="C21" t="n">
        <v>6</v>
      </c>
      <c r="D21" t="n">
        <v>7</v>
      </c>
      <c r="E21" t="n">
        <v>33</v>
      </c>
      <c r="G21" s="31" t="n"/>
    </row>
    <row r="22">
      <c r="A22" s="30" t="n">
        <v>45678</v>
      </c>
      <c r="B22" t="n">
        <v>36</v>
      </c>
      <c r="C22" t="n">
        <v>7</v>
      </c>
      <c r="D22" t="n">
        <v>5</v>
      </c>
      <c r="E22" t="n">
        <v>35</v>
      </c>
      <c r="F22" t="inlineStr">
        <is>
          <t>Isolation room deep-clean</t>
        </is>
      </c>
      <c r="G22" s="31" t="n"/>
    </row>
    <row r="23">
      <c r="A23" s="30" t="n">
        <v>45679</v>
      </c>
      <c r="B23" t="n">
        <v>36</v>
      </c>
      <c r="C23" t="n">
        <v>12</v>
      </c>
      <c r="D23" t="n">
        <v>12</v>
      </c>
      <c r="E23" t="n">
        <v>35</v>
      </c>
      <c r="G23" s="31" t="n"/>
    </row>
    <row r="24">
      <c r="A24" s="30" t="n">
        <v>45680</v>
      </c>
      <c r="B24" t="n">
        <v>36</v>
      </c>
      <c r="C24" t="n">
        <v>1</v>
      </c>
      <c r="D24" t="n">
        <v>2</v>
      </c>
      <c r="E24" t="n">
        <v>34</v>
      </c>
      <c r="F24" t="inlineStr">
        <is>
          <t>1 RN call-off; covered by float pool</t>
        </is>
      </c>
      <c r="G24" s="31" t="n"/>
    </row>
    <row r="25">
      <c r="A25" s="30" t="n">
        <v>45681</v>
      </c>
      <c r="B25" t="n">
        <v>36</v>
      </c>
      <c r="C25" t="n">
        <v>11</v>
      </c>
      <c r="D25" t="n">
        <v>10</v>
      </c>
      <c r="E25" t="n">
        <v>35</v>
      </c>
      <c r="G25" s="31" t="n"/>
    </row>
    <row r="26">
      <c r="A26" s="30" t="n">
        <v>45682</v>
      </c>
      <c r="B26" t="n">
        <v>36</v>
      </c>
      <c r="C26" t="n">
        <v>2</v>
      </c>
      <c r="D26" t="n">
        <v>3</v>
      </c>
      <c r="E26" t="n">
        <v>34</v>
      </c>
      <c r="G26" s="31" t="n"/>
    </row>
    <row r="27">
      <c r="A27" s="30" t="n">
        <v>45683</v>
      </c>
      <c r="B27" t="n">
        <v>36</v>
      </c>
      <c r="C27" t="n">
        <v>7</v>
      </c>
      <c r="D27" t="n">
        <v>8</v>
      </c>
      <c r="E27" t="n">
        <v>33</v>
      </c>
      <c r="G27" s="31" t="n"/>
    </row>
    <row r="28">
      <c r="A28" s="30" t="n">
        <v>45684</v>
      </c>
      <c r="B28" t="n">
        <v>36</v>
      </c>
      <c r="C28" t="n">
        <v>9</v>
      </c>
      <c r="D28" t="n">
        <v>6</v>
      </c>
      <c r="E28" t="n">
        <v>36</v>
      </c>
      <c r="F28" t="inlineStr">
        <is>
          <t>Unit full: diverting new admits to 5 East</t>
        </is>
      </c>
      <c r="G28" s="31" t="n"/>
    </row>
    <row r="29">
      <c r="A29" s="30" t="n">
        <v>45685</v>
      </c>
      <c r="B29" t="n">
        <v>36</v>
      </c>
      <c r="C29" t="n">
        <v>7</v>
      </c>
      <c r="D29" t="n">
        <v>8</v>
      </c>
      <c r="E29" t="n">
        <v>35</v>
      </c>
      <c r="G29" s="31" t="n"/>
    </row>
    <row r="30">
      <c r="A30" s="30" t="n">
        <v>45686</v>
      </c>
      <c r="B30" t="n">
        <v>36</v>
      </c>
      <c r="C30" t="n">
        <v>10</v>
      </c>
      <c r="D30" t="n">
        <v>12</v>
      </c>
      <c r="E30" t="n">
        <v>33</v>
      </c>
      <c r="G30" s="31" t="n"/>
    </row>
    <row r="31">
      <c r="A31" s="30" t="n">
        <v>45687</v>
      </c>
      <c r="B31" t="n">
        <v>36</v>
      </c>
      <c r="C31" t="n">
        <v>7</v>
      </c>
      <c r="D31" t="n">
        <v>6</v>
      </c>
      <c r="E31" t="n">
        <v>34</v>
      </c>
      <c r="G31" s="31" t="n"/>
    </row>
    <row r="32">
      <c r="A32" s="30" t="n">
        <v>45688</v>
      </c>
      <c r="B32" t="n">
        <v>36</v>
      </c>
      <c r="C32" t="n">
        <v>10</v>
      </c>
      <c r="D32" t="n">
        <v>11</v>
      </c>
      <c r="E32" t="n">
        <v>33</v>
      </c>
      <c r="G32" s="31" t="n"/>
    </row>
    <row r="33">
      <c r="A33" s="30" t="n">
        <v>45689</v>
      </c>
      <c r="B33" t="n">
        <v>36</v>
      </c>
      <c r="C33" t="n">
        <v>6</v>
      </c>
      <c r="D33" t="n">
        <v>6</v>
      </c>
      <c r="E33" t="n">
        <v>33</v>
      </c>
      <c r="F33" t="inlineStr">
        <is>
          <t>1 RN call-off; covered by float pool</t>
        </is>
      </c>
      <c r="G33" s="31" t="n"/>
    </row>
    <row r="34">
      <c r="A34" s="30" t="n">
        <v>45690</v>
      </c>
      <c r="B34" t="n">
        <v>36</v>
      </c>
      <c r="C34" t="n">
        <v>8</v>
      </c>
      <c r="D34" t="n">
        <v>8</v>
      </c>
      <c r="E34" t="n">
        <v>33</v>
      </c>
      <c r="G34" s="31" t="n"/>
    </row>
    <row r="35">
      <c r="A35" s="30" t="n">
        <v>45691</v>
      </c>
      <c r="B35" t="n">
        <v>36</v>
      </c>
      <c r="C35" t="n">
        <v>7</v>
      </c>
      <c r="D35" t="n">
        <v>6</v>
      </c>
      <c r="E35" t="n">
        <v>34</v>
      </c>
      <c r="F35" t="inlineStr">
        <is>
          <t>Isolation room deep-clean</t>
        </is>
      </c>
      <c r="G35" s="31" t="n"/>
    </row>
    <row r="36">
      <c r="A36" s="30" t="n">
        <v>45692</v>
      </c>
      <c r="B36" t="n">
        <v>36</v>
      </c>
      <c r="C36" t="n">
        <v>5</v>
      </c>
      <c r="D36" t="n">
        <v>6</v>
      </c>
      <c r="E36" t="n">
        <v>33</v>
      </c>
      <c r="G36" s="31" t="n"/>
    </row>
    <row r="37">
      <c r="A37" s="30" t="n">
        <v>45693</v>
      </c>
      <c r="B37" t="n">
        <v>36</v>
      </c>
      <c r="C37" t="n">
        <v>5</v>
      </c>
      <c r="D37" t="n">
        <v>5</v>
      </c>
      <c r="E37" t="n">
        <v>33</v>
      </c>
      <c r="G37" s="31" t="n"/>
    </row>
    <row r="38">
      <c r="A38" s="30" t="n">
        <v>45694</v>
      </c>
      <c r="B38" t="n">
        <v>36</v>
      </c>
      <c r="C38" t="n">
        <v>8</v>
      </c>
      <c r="D38" t="n">
        <v>8</v>
      </c>
      <c r="E38" t="n">
        <v>33</v>
      </c>
      <c r="G38" s="31" t="n"/>
    </row>
    <row r="39">
      <c r="A39" s="30" t="n">
        <v>45695</v>
      </c>
      <c r="B39" t="n">
        <v>36</v>
      </c>
      <c r="C39" t="n">
        <v>10</v>
      </c>
      <c r="D39" t="n">
        <v>10</v>
      </c>
      <c r="E39" t="n">
        <v>33</v>
      </c>
      <c r="G39" s="31" t="n"/>
    </row>
    <row r="40">
      <c r="A40" s="30" t="n">
        <v>45696</v>
      </c>
      <c r="B40" t="n">
        <v>36</v>
      </c>
      <c r="C40" t="n">
        <v>8</v>
      </c>
      <c r="D40" t="n">
        <v>9</v>
      </c>
      <c r="E40" t="n">
        <v>32</v>
      </c>
      <c r="G40" s="31" t="n"/>
    </row>
    <row r="41">
      <c r="A41" s="30" t="n">
        <v>45697</v>
      </c>
      <c r="B41" t="n">
        <v>36</v>
      </c>
      <c r="C41" t="n">
        <v>12</v>
      </c>
      <c r="D41" t="n">
        <v>10</v>
      </c>
      <c r="E41" t="n">
        <v>34</v>
      </c>
      <c r="G41" s="31" t="n"/>
    </row>
    <row r="42">
      <c r="A42" s="30" t="n">
        <v>45698</v>
      </c>
      <c r="B42" t="n">
        <v>36</v>
      </c>
      <c r="C42" t="n">
        <v>10</v>
      </c>
      <c r="D42" t="n">
        <v>7</v>
      </c>
      <c r="E42" t="n">
        <v>37</v>
      </c>
      <c r="F42" t="inlineStr">
        <is>
          <t>Over capacity: surge beds opened</t>
        </is>
      </c>
      <c r="G42" s="31" t="n"/>
    </row>
    <row r="43">
      <c r="A43" s="30" t="n">
        <v>45699</v>
      </c>
      <c r="B43" t="n">
        <v>36</v>
      </c>
      <c r="C43" t="n">
        <v>8</v>
      </c>
      <c r="D43" t="n">
        <v>10</v>
      </c>
      <c r="E43" t="n">
        <v>35</v>
      </c>
      <c r="G43" s="31" t="n"/>
    </row>
    <row r="44">
      <c r="A44" s="30" t="n">
        <v>45700</v>
      </c>
      <c r="B44" t="n">
        <v>36</v>
      </c>
      <c r="C44" t="n">
        <v>7</v>
      </c>
      <c r="D44" t="n">
        <v>6</v>
      </c>
      <c r="E44" t="n">
        <v>36</v>
      </c>
      <c r="F44" t="inlineStr">
        <is>
          <t>Unit full: diverting new admits to 5 East</t>
        </is>
      </c>
      <c r="G44" s="31" t="n"/>
    </row>
    <row r="45">
      <c r="A45" s="30" t="n">
        <v>45701</v>
      </c>
      <c r="B45" t="n">
        <v>36</v>
      </c>
      <c r="C45" t="n">
        <v>9</v>
      </c>
      <c r="D45" t="n">
        <v>8</v>
      </c>
      <c r="E45" t="n">
        <v>37</v>
      </c>
      <c r="F45" t="inlineStr">
        <is>
          <t>Over capacity: surge beds opened</t>
        </is>
      </c>
      <c r="G45" s="31" t="n"/>
    </row>
    <row r="46">
      <c r="A46" s="30" t="n">
        <v>45702</v>
      </c>
      <c r="B46" t="n">
        <v>36</v>
      </c>
      <c r="C46" t="n">
        <v>7</v>
      </c>
      <c r="D46" t="n">
        <v>7</v>
      </c>
      <c r="E46" t="n">
        <v>37</v>
      </c>
      <c r="F46" t="inlineStr">
        <is>
          <t>Over capacity: surge beds opened</t>
        </is>
      </c>
      <c r="G46" s="31" t="n"/>
    </row>
    <row r="47">
      <c r="A47" s="30" t="n">
        <v>45703</v>
      </c>
      <c r="B47" t="n">
        <v>36</v>
      </c>
      <c r="C47" t="n">
        <v>3</v>
      </c>
      <c r="D47" t="n">
        <v>9</v>
      </c>
      <c r="E47" t="n">
        <v>31</v>
      </c>
      <c r="G47" s="31" t="n"/>
    </row>
    <row r="48">
      <c r="A48" s="30" t="n">
        <v>45704</v>
      </c>
      <c r="B48" t="n">
        <v>36</v>
      </c>
      <c r="C48" t="n">
        <v>7</v>
      </c>
      <c r="D48" t="n">
        <v>6</v>
      </c>
      <c r="E48" t="n">
        <v>32</v>
      </c>
      <c r="F48" t="inlineStr">
        <is>
          <t>Isolation room deep-clean</t>
        </is>
      </c>
      <c r="G48" s="31" t="n"/>
    </row>
    <row r="49">
      <c r="A49" s="30" t="n">
        <v>45705</v>
      </c>
      <c r="B49" t="n">
        <v>36</v>
      </c>
      <c r="C49" t="n">
        <v>4</v>
      </c>
      <c r="D49" t="n">
        <v>6</v>
      </c>
      <c r="E49" t="n">
        <v>30</v>
      </c>
      <c r="G49" s="31" t="n"/>
    </row>
    <row r="50">
      <c r="A50" s="30" t="n">
        <v>45706</v>
      </c>
      <c r="B50" t="n">
        <v>36</v>
      </c>
      <c r="C50" t="n">
        <v>10</v>
      </c>
      <c r="D50" t="n">
        <v>10</v>
      </c>
      <c r="E50" t="n">
        <v>30</v>
      </c>
      <c r="G50" s="31" t="n"/>
    </row>
    <row r="51">
      <c r="A51" s="30" t="n">
        <v>45707</v>
      </c>
      <c r="B51" t="n">
        <v>36</v>
      </c>
      <c r="C51" t="n">
        <v>6</v>
      </c>
      <c r="D51" t="n">
        <v>5</v>
      </c>
      <c r="E51" t="n">
        <v>31</v>
      </c>
      <c r="F51" t="inlineStr">
        <is>
          <t>1 RN call-off; covered by float pool</t>
        </is>
      </c>
      <c r="G51" s="31" t="n"/>
    </row>
    <row r="52">
      <c r="A52" s="30" t="n">
        <v>45708</v>
      </c>
      <c r="B52" t="n">
        <v>36</v>
      </c>
      <c r="C52" t="n">
        <v>14</v>
      </c>
      <c r="D52" t="n">
        <v>15</v>
      </c>
      <c r="E52" t="n">
        <v>30</v>
      </c>
      <c r="G52" s="31" t="n"/>
    </row>
    <row r="53">
      <c r="A53" s="30" t="n">
        <v>45709</v>
      </c>
      <c r="B53" t="n">
        <v>36</v>
      </c>
      <c r="C53" t="n">
        <v>9</v>
      </c>
      <c r="D53" t="n">
        <v>8</v>
      </c>
      <c r="E53" t="n">
        <v>31</v>
      </c>
      <c r="G53" s="31" t="n"/>
    </row>
    <row r="54">
      <c r="A54" s="30" t="n">
        <v>45710</v>
      </c>
      <c r="B54" t="n">
        <v>36</v>
      </c>
      <c r="C54" t="n">
        <v>4</v>
      </c>
      <c r="D54" t="n">
        <v>4</v>
      </c>
      <c r="E54" t="n">
        <v>31</v>
      </c>
      <c r="G54" s="31" t="n"/>
    </row>
    <row r="55">
      <c r="A55" s="30" t="n">
        <v>45711</v>
      </c>
      <c r="B55" t="n">
        <v>36</v>
      </c>
      <c r="C55" t="n">
        <v>11</v>
      </c>
      <c r="D55" t="n">
        <v>11</v>
      </c>
      <c r="E55" t="n">
        <v>31</v>
      </c>
      <c r="G55" s="31" t="n"/>
    </row>
    <row r="56">
      <c r="A56" s="30" t="n">
        <v>45712</v>
      </c>
      <c r="B56" t="n">
        <v>36</v>
      </c>
      <c r="C56" t="n">
        <v>6</v>
      </c>
      <c r="D56" t="n">
        <v>4</v>
      </c>
      <c r="E56" t="n">
        <v>33</v>
      </c>
      <c r="G56" s="31" t="n"/>
    </row>
    <row r="57">
      <c r="A57" s="30" t="n">
        <v>45713</v>
      </c>
      <c r="B57" t="n">
        <v>36</v>
      </c>
      <c r="C57" t="n">
        <v>6</v>
      </c>
      <c r="D57" t="n">
        <v>5</v>
      </c>
      <c r="E57" t="n">
        <v>34</v>
      </c>
      <c r="G57" s="31" t="n"/>
    </row>
    <row r="58">
      <c r="A58" s="30" t="n">
        <v>45714</v>
      </c>
      <c r="B58" t="n">
        <v>36</v>
      </c>
      <c r="C58" t="n">
        <v>13</v>
      </c>
      <c r="D58" t="n">
        <v>14</v>
      </c>
      <c r="E58" t="n">
        <v>33</v>
      </c>
      <c r="G58" s="31" t="n"/>
    </row>
    <row r="59">
      <c r="A59" s="30" t="n">
        <v>45715</v>
      </c>
      <c r="B59" t="n">
        <v>36</v>
      </c>
      <c r="C59" t="n">
        <v>5</v>
      </c>
      <c r="D59" t="n">
        <v>7</v>
      </c>
      <c r="E59" t="n">
        <v>31</v>
      </c>
      <c r="G59" s="31" t="n"/>
    </row>
    <row r="60">
      <c r="A60" s="30" t="n">
        <v>45716</v>
      </c>
      <c r="B60" t="n">
        <v>36</v>
      </c>
      <c r="C60" t="n">
        <v>5</v>
      </c>
      <c r="D60" t="n">
        <v>5</v>
      </c>
      <c r="E60" t="n">
        <v>31</v>
      </c>
      <c r="F60" t="inlineStr">
        <is>
          <t>1 RN call-off; covered by float pool</t>
        </is>
      </c>
      <c r="G60" s="31" t="n"/>
    </row>
    <row r="61">
      <c r="A61" s="30" t="n">
        <v>45717</v>
      </c>
      <c r="B61" t="n">
        <v>36</v>
      </c>
      <c r="C61" t="n">
        <v>8</v>
      </c>
      <c r="D61" t="n">
        <v>9</v>
      </c>
      <c r="E61" t="n">
        <v>30</v>
      </c>
      <c r="F61" t="inlineStr">
        <is>
          <t>Isolation room deep-clean</t>
        </is>
      </c>
      <c r="G61" s="31" t="n"/>
    </row>
    <row r="62">
      <c r="A62" s="30" t="n">
        <v>45718</v>
      </c>
      <c r="B62" t="n">
        <v>36</v>
      </c>
      <c r="C62" t="n">
        <v>10</v>
      </c>
      <c r="D62" t="n">
        <v>10</v>
      </c>
      <c r="E62" t="n">
        <v>30</v>
      </c>
      <c r="G62" s="31" t="n"/>
    </row>
    <row r="63">
      <c r="A63" s="30" t="n">
        <v>45719</v>
      </c>
      <c r="B63" t="n">
        <v>36</v>
      </c>
      <c r="C63" t="n">
        <v>5</v>
      </c>
      <c r="D63" t="n">
        <v>5</v>
      </c>
      <c r="E63" t="n">
        <v>30</v>
      </c>
      <c r="G63" s="31" t="n"/>
    </row>
    <row r="64">
      <c r="A64" s="30" t="n">
        <v>45720</v>
      </c>
      <c r="B64" t="n">
        <v>36</v>
      </c>
      <c r="C64" t="n">
        <v>5</v>
      </c>
      <c r="D64" t="n">
        <v>3</v>
      </c>
      <c r="E64" t="n">
        <v>32</v>
      </c>
      <c r="G64" s="31" t="n"/>
    </row>
    <row r="65">
      <c r="A65" s="30" t="n">
        <v>45721</v>
      </c>
      <c r="B65" t="n">
        <v>36</v>
      </c>
      <c r="C65" t="n">
        <v>13</v>
      </c>
      <c r="D65" t="n">
        <v>12</v>
      </c>
      <c r="E65" t="n">
        <v>33</v>
      </c>
      <c r="G65" s="31" t="n"/>
    </row>
    <row r="66">
      <c r="A66" s="30" t="n">
        <v>45722</v>
      </c>
      <c r="B66" t="n">
        <v>36</v>
      </c>
      <c r="C66" t="n">
        <v>4</v>
      </c>
      <c r="D66" t="n">
        <v>5</v>
      </c>
      <c r="E66" t="n">
        <v>32</v>
      </c>
      <c r="G66" s="31" t="n"/>
    </row>
    <row r="67">
      <c r="A67" s="30" t="n">
        <v>45723</v>
      </c>
      <c r="B67" t="n">
        <v>36</v>
      </c>
      <c r="C67" t="n">
        <v>10</v>
      </c>
      <c r="D67" t="n">
        <v>11</v>
      </c>
      <c r="E67" t="n">
        <v>31</v>
      </c>
      <c r="G67" s="31" t="n"/>
    </row>
    <row r="68">
      <c r="A68" s="30" t="n">
        <v>45724</v>
      </c>
      <c r="B68" t="n">
        <v>36</v>
      </c>
      <c r="C68" t="n">
        <v>9</v>
      </c>
      <c r="D68" t="n">
        <v>8</v>
      </c>
      <c r="E68" t="n">
        <v>32</v>
      </c>
      <c r="G68" s="31" t="n"/>
    </row>
    <row r="69">
      <c r="A69" s="30" t="n">
        <v>45725</v>
      </c>
      <c r="B69" t="n">
        <v>36</v>
      </c>
      <c r="C69" t="n">
        <v>5</v>
      </c>
      <c r="D69" t="n">
        <v>6</v>
      </c>
      <c r="E69" t="n">
        <v>31</v>
      </c>
      <c r="F69" t="inlineStr">
        <is>
          <t>1 RN call-off; covered by float pool</t>
        </is>
      </c>
      <c r="G69" s="31" t="n"/>
    </row>
    <row r="70">
      <c r="A70" s="30" t="n">
        <v>45726</v>
      </c>
      <c r="B70" t="n">
        <v>36</v>
      </c>
      <c r="C70" t="n">
        <v>5</v>
      </c>
      <c r="D70" t="n">
        <v>3</v>
      </c>
      <c r="E70" t="n">
        <v>33</v>
      </c>
      <c r="G70" s="31" t="n"/>
    </row>
    <row r="71">
      <c r="A71" s="30" t="n">
        <v>45727</v>
      </c>
      <c r="B71" t="n">
        <v>36</v>
      </c>
      <c r="C71" t="n">
        <v>6</v>
      </c>
      <c r="D71" t="n">
        <v>6</v>
      </c>
      <c r="E71" t="n">
        <v>33</v>
      </c>
      <c r="G71" s="31" t="n"/>
    </row>
    <row r="72">
      <c r="A72" s="30" t="n">
        <v>45728</v>
      </c>
      <c r="B72" t="n">
        <v>36</v>
      </c>
      <c r="C72" t="n">
        <v>9</v>
      </c>
      <c r="D72" t="n">
        <v>11</v>
      </c>
      <c r="E72" t="n">
        <v>31</v>
      </c>
      <c r="G72" s="31" t="n"/>
    </row>
    <row r="73">
      <c r="A73" s="30" t="n">
        <v>45729</v>
      </c>
      <c r="B73" t="n">
        <v>36</v>
      </c>
      <c r="C73" t="n">
        <v>7</v>
      </c>
      <c r="D73" t="n">
        <v>7</v>
      </c>
      <c r="E73" t="n">
        <v>31</v>
      </c>
      <c r="G73" s="31" t="n"/>
    </row>
    <row r="74">
      <c r="A74" s="30" t="n">
        <v>45730</v>
      </c>
      <c r="B74" t="n">
        <v>36</v>
      </c>
      <c r="C74" t="n">
        <v>8</v>
      </c>
      <c r="D74" t="n">
        <v>8</v>
      </c>
      <c r="E74" t="n">
        <v>31</v>
      </c>
      <c r="F74" t="inlineStr">
        <is>
          <t>Isolation room deep-clean</t>
        </is>
      </c>
      <c r="G74" s="31" t="n"/>
    </row>
    <row r="75">
      <c r="A75" s="30" t="n">
        <v>45731</v>
      </c>
      <c r="B75" t="n">
        <v>36</v>
      </c>
      <c r="C75" t="n">
        <v>8</v>
      </c>
      <c r="D75" t="n">
        <v>8</v>
      </c>
      <c r="E75" t="n">
        <v>31</v>
      </c>
      <c r="G75" s="31" t="n"/>
    </row>
    <row r="76">
      <c r="A76" s="30" t="n">
        <v>45732</v>
      </c>
      <c r="B76" t="n">
        <v>36</v>
      </c>
      <c r="C76" t="n">
        <v>4</v>
      </c>
      <c r="D76" t="n">
        <v>4</v>
      </c>
      <c r="E76" t="n">
        <v>31</v>
      </c>
      <c r="G76" s="31" t="n"/>
    </row>
    <row r="77">
      <c r="A77" s="30" t="n">
        <v>45733</v>
      </c>
      <c r="B77" t="n">
        <v>36</v>
      </c>
      <c r="C77" t="n">
        <v>4</v>
      </c>
      <c r="D77" t="n">
        <v>3</v>
      </c>
      <c r="E77" t="n">
        <v>32</v>
      </c>
      <c r="G77" s="31" t="n"/>
    </row>
    <row r="78">
      <c r="A78" s="30" t="n">
        <v>45734</v>
      </c>
      <c r="B78" t="n">
        <v>36</v>
      </c>
      <c r="C78" t="n">
        <v>5</v>
      </c>
      <c r="D78" t="n">
        <v>6</v>
      </c>
      <c r="E78" t="n">
        <v>31</v>
      </c>
      <c r="F78" t="inlineStr">
        <is>
          <t>1 RN call-off; covered by float pool</t>
        </is>
      </c>
      <c r="G78" s="31" t="n"/>
    </row>
    <row r="79">
      <c r="A79" s="30" t="n">
        <v>45735</v>
      </c>
      <c r="B79" t="n">
        <v>36</v>
      </c>
      <c r="C79" t="n">
        <v>6</v>
      </c>
      <c r="D79" t="n">
        <v>7</v>
      </c>
      <c r="E79" t="n">
        <v>30</v>
      </c>
      <c r="G79" s="31" t="n"/>
    </row>
    <row r="80">
      <c r="A80" s="30" t="n">
        <v>45736</v>
      </c>
      <c r="B80" t="n">
        <v>36</v>
      </c>
      <c r="C80" t="n">
        <v>5</v>
      </c>
      <c r="D80" t="n">
        <v>7</v>
      </c>
      <c r="E80" t="n">
        <v>28</v>
      </c>
      <c r="G80" s="31" t="n"/>
    </row>
    <row r="81">
      <c r="A81" s="30" t="n">
        <v>45737</v>
      </c>
      <c r="B81" t="n">
        <v>36</v>
      </c>
      <c r="C81" t="n">
        <v>8</v>
      </c>
      <c r="D81" t="n">
        <v>6</v>
      </c>
      <c r="E81" t="n">
        <v>30</v>
      </c>
      <c r="G81" s="31" t="n"/>
    </row>
    <row r="82">
      <c r="A82" s="30" t="n">
        <v>45738</v>
      </c>
      <c r="B82" t="n">
        <v>36</v>
      </c>
      <c r="C82" t="n">
        <v>7</v>
      </c>
      <c r="D82" t="n">
        <v>9</v>
      </c>
      <c r="E82" t="n">
        <v>28</v>
      </c>
      <c r="G82" s="31" t="n"/>
    </row>
    <row r="83">
      <c r="A83" s="30" t="n">
        <v>45739</v>
      </c>
      <c r="B83" t="n">
        <v>36</v>
      </c>
      <c r="C83" t="n">
        <v>6</v>
      </c>
      <c r="D83" t="n">
        <v>2</v>
      </c>
      <c r="E83" t="n">
        <v>32</v>
      </c>
      <c r="G83" s="31" t="n"/>
    </row>
    <row r="84">
      <c r="A84" s="30" t="n">
        <v>45740</v>
      </c>
      <c r="B84" t="n">
        <v>36</v>
      </c>
      <c r="C84" t="n">
        <v>8</v>
      </c>
      <c r="D84" t="n">
        <v>7</v>
      </c>
      <c r="E84" t="n">
        <v>33</v>
      </c>
      <c r="G84" s="31" t="n"/>
    </row>
    <row r="85">
      <c r="A85" s="30" t="n">
        <v>45741</v>
      </c>
      <c r="B85" t="n">
        <v>36</v>
      </c>
      <c r="C85" t="n">
        <v>12</v>
      </c>
      <c r="D85" t="n">
        <v>13</v>
      </c>
      <c r="E85" t="n">
        <v>32</v>
      </c>
      <c r="G85" s="31" t="n"/>
    </row>
    <row r="86">
      <c r="A86" s="30" t="n">
        <v>45742</v>
      </c>
      <c r="B86" t="n">
        <v>36</v>
      </c>
      <c r="C86" t="n">
        <v>8</v>
      </c>
      <c r="D86" t="n">
        <v>8</v>
      </c>
      <c r="E86" t="n">
        <v>32</v>
      </c>
      <c r="G86" s="31" t="n"/>
    </row>
    <row r="87">
      <c r="A87" s="30" t="n">
        <v>45743</v>
      </c>
      <c r="B87" t="n">
        <v>36</v>
      </c>
      <c r="C87" t="n">
        <v>11</v>
      </c>
      <c r="D87" t="n">
        <v>9</v>
      </c>
      <c r="E87" t="n">
        <v>34</v>
      </c>
      <c r="F87" t="inlineStr">
        <is>
          <t>1 RN call-off; covered by float pool</t>
        </is>
      </c>
      <c r="G87" s="31" t="n"/>
    </row>
    <row r="88">
      <c r="A88" s="30" t="n">
        <v>45744</v>
      </c>
      <c r="B88" t="n">
        <v>36</v>
      </c>
      <c r="C88" t="n">
        <v>9</v>
      </c>
      <c r="D88" t="n">
        <v>8</v>
      </c>
      <c r="E88" t="n">
        <v>35</v>
      </c>
      <c r="G88" s="31" t="n"/>
    </row>
    <row r="89">
      <c r="A89" s="30" t="n">
        <v>45745</v>
      </c>
      <c r="B89" t="n">
        <v>36</v>
      </c>
      <c r="C89" t="n">
        <v>7</v>
      </c>
      <c r="D89" t="n">
        <v>8</v>
      </c>
      <c r="E89" t="n">
        <v>34</v>
      </c>
      <c r="G89" s="31" t="n"/>
    </row>
    <row r="90">
      <c r="A90" s="30" t="n">
        <v>45746</v>
      </c>
      <c r="B90" t="n">
        <v>36</v>
      </c>
      <c r="C90" t="n">
        <v>2</v>
      </c>
      <c r="D90" t="n">
        <v>3</v>
      </c>
      <c r="E90" t="n">
        <v>33</v>
      </c>
      <c r="G90" s="31" t="n"/>
    </row>
    <row r="91">
      <c r="A91" s="30" t="n">
        <v>45747</v>
      </c>
      <c r="B91" t="n">
        <v>36</v>
      </c>
      <c r="C91" t="n">
        <v>9</v>
      </c>
      <c r="D91" t="n">
        <v>8</v>
      </c>
      <c r="E91" t="n">
        <v>34</v>
      </c>
      <c r="G91" s="3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5"/>
  <sheetViews>
    <sheetView tabSelected="0" workbookViewId="0">
      <pane ySplit="1" topLeftCell="A2" activePane="bottomLeft" state="frozen"/>
      <selection pane="bottomLeft" activeCell="A1" sqref="A1"/>
    </sheetView>
  </sheetViews>
  <sheetFormatPr baseColWidth="8" defaultRowHeight="15"/>
  <cols>
    <col width="11" customWidth="1" min="1" max="1"/>
    <col width="44" customWidth="1" min="2" max="2"/>
    <col width="14" customWidth="1" min="3" max="3"/>
    <col width="15" customWidth="1" min="4" max="4"/>
    <col width="10" customWidth="1" min="5" max="5"/>
    <col width="11" customWidth="1" min="6" max="6"/>
    <col width="13" customWidth="1" min="7" max="7"/>
  </cols>
  <sheetData>
    <row r="1">
      <c r="A1" s="28" t="inlineStr">
        <is>
          <t>SKU</t>
        </is>
      </c>
      <c r="B1" s="28" t="inlineStr">
        <is>
          <t>ItemDescription</t>
        </is>
      </c>
      <c r="C1" s="28" t="inlineStr">
        <is>
          <t>Category</t>
        </is>
      </c>
      <c r="D1" s="28" t="inlineStr">
        <is>
          <t>UnitOfMeasure</t>
        </is>
      </c>
      <c r="E1" s="28" t="inlineStr">
        <is>
          <t>UnitCost</t>
        </is>
      </c>
      <c r="F1" s="28" t="inlineStr">
        <is>
          <t>QtyOnHand</t>
        </is>
      </c>
      <c r="G1" s="29" t="inlineStr">
        <is>
          <t>StockValue</t>
        </is>
      </c>
    </row>
    <row r="2">
      <c r="A2" t="inlineStr">
        <is>
          <t>SKU-10014</t>
        </is>
      </c>
      <c r="B2" t="inlineStr">
        <is>
          <t>Nitrile Exam Gloves Medium (Box/100)</t>
        </is>
      </c>
      <c r="C2" t="inlineStr">
        <is>
          <t>PPE</t>
        </is>
      </c>
      <c r="D2" t="inlineStr">
        <is>
          <t>Box</t>
        </is>
      </c>
      <c r="E2" s="32" t="n">
        <v>7.8</v>
      </c>
      <c r="F2" t="n">
        <v>403</v>
      </c>
      <c r="G2" s="33" t="n"/>
    </row>
    <row r="3">
      <c r="A3" t="inlineStr">
        <is>
          <t>SKU-10077</t>
        </is>
      </c>
      <c r="B3" t="inlineStr">
        <is>
          <t>Shoe Covers, Non-Skid (Case/300)</t>
        </is>
      </c>
      <c r="C3" t="inlineStr">
        <is>
          <t>PPE</t>
        </is>
      </c>
      <c r="D3" t="inlineStr">
        <is>
          <t>Case</t>
        </is>
      </c>
      <c r="E3" s="32" t="n">
        <v>40.02</v>
      </c>
      <c r="F3" t="n">
        <v>121</v>
      </c>
      <c r="G3" s="33" t="n"/>
    </row>
    <row r="4">
      <c r="A4" t="inlineStr">
        <is>
          <t>SKU-10084</t>
        </is>
      </c>
      <c r="B4" t="inlineStr">
        <is>
          <t>IV Catheter 14G x 1.16 in</t>
        </is>
      </c>
      <c r="C4" t="inlineStr">
        <is>
          <t>IV Supplies</t>
        </is>
      </c>
      <c r="D4" t="inlineStr">
        <is>
          <t>Box</t>
        </is>
      </c>
      <c r="E4" s="32" t="n">
        <v>60.04</v>
      </c>
      <c r="F4" t="n">
        <v>44</v>
      </c>
      <c r="G4" s="33" t="n"/>
    </row>
    <row r="5">
      <c r="A5" t="inlineStr">
        <is>
          <t>SKU-10147</t>
        </is>
      </c>
      <c r="B5" t="inlineStr">
        <is>
          <t>Saline Flush Syringe 3 mL (Box/30)</t>
        </is>
      </c>
      <c r="C5" t="inlineStr">
        <is>
          <t>IV Supplies</t>
        </is>
      </c>
      <c r="D5" t="inlineStr">
        <is>
          <t>Box</t>
        </is>
      </c>
      <c r="E5" s="32" t="n">
        <v>8.76</v>
      </c>
      <c r="F5" t="n">
        <v>0</v>
      </c>
      <c r="G5" s="33" t="n"/>
    </row>
    <row r="6">
      <c r="A6" t="inlineStr">
        <is>
          <t>SKU-10175</t>
        </is>
      </c>
      <c r="B6" t="inlineStr">
        <is>
          <t>IV Extension Set 7 in</t>
        </is>
      </c>
      <c r="C6" t="inlineStr">
        <is>
          <t>IV Supplies</t>
        </is>
      </c>
      <c r="D6" t="inlineStr">
        <is>
          <t>Each</t>
        </is>
      </c>
      <c r="E6" s="32" t="n">
        <v>2.06</v>
      </c>
      <c r="F6" t="n">
        <v>268</v>
      </c>
      <c r="G6" s="33" t="n"/>
    </row>
    <row r="7">
      <c r="A7" t="inlineStr">
        <is>
          <t>SKU-10224</t>
        </is>
      </c>
      <c r="B7" t="inlineStr">
        <is>
          <t>Transparent Film Dressing 2.4x2.8</t>
        </is>
      </c>
      <c r="C7" t="inlineStr">
        <is>
          <t>Wound Care</t>
        </is>
      </c>
      <c r="D7" t="inlineStr">
        <is>
          <t>Each</t>
        </is>
      </c>
      <c r="E7" s="32" t="n">
        <v>0.79</v>
      </c>
      <c r="F7" t="n">
        <v>977</v>
      </c>
      <c r="G7" s="33" t="n"/>
    </row>
    <row r="8">
      <c r="A8" t="inlineStr">
        <is>
          <t>SKU-10287</t>
        </is>
      </c>
      <c r="B8" t="inlineStr">
        <is>
          <t>Nasal Cannula, Pediatric</t>
        </is>
      </c>
      <c r="C8" t="inlineStr">
        <is>
          <t>Respiratory</t>
        </is>
      </c>
      <c r="D8" t="inlineStr">
        <is>
          <t>Each</t>
        </is>
      </c>
      <c r="E8" s="32" t="n">
        <v>0.91</v>
      </c>
      <c r="F8" t="n">
        <v>809</v>
      </c>
      <c r="G8" s="33" t="n"/>
    </row>
    <row r="9">
      <c r="A9" t="inlineStr">
        <is>
          <t>SKU-10301</t>
        </is>
      </c>
      <c r="B9" t="inlineStr">
        <is>
          <t>Non-Rebreather Mask, Adult</t>
        </is>
      </c>
      <c r="C9" t="inlineStr">
        <is>
          <t>Respiratory</t>
        </is>
      </c>
      <c r="D9" t="inlineStr">
        <is>
          <t>Each</t>
        </is>
      </c>
      <c r="E9" s="32" t="n">
        <v>2.29</v>
      </c>
      <c r="F9" t="n">
        <v>947</v>
      </c>
      <c r="G9" s="33" t="n"/>
    </row>
    <row r="10">
      <c r="A10" t="inlineStr">
        <is>
          <t>SKU-10308</t>
        </is>
      </c>
      <c r="B10" t="inlineStr">
        <is>
          <t>Non-Rebreather Mask, Pediatric</t>
        </is>
      </c>
      <c r="C10" t="inlineStr">
        <is>
          <t>Respiratory</t>
        </is>
      </c>
      <c r="D10" t="inlineStr">
        <is>
          <t>Each</t>
        </is>
      </c>
      <c r="E10" s="32" t="n">
        <v>2.16</v>
      </c>
      <c r="F10" t="n">
        <v>586</v>
      </c>
      <c r="G10" s="33" t="n"/>
    </row>
    <row r="11">
      <c r="A11" t="inlineStr">
        <is>
          <t>SKU-10315</t>
        </is>
      </c>
      <c r="B11" t="inlineStr">
        <is>
          <t>Nebulizer Kit with Mouthpiece</t>
        </is>
      </c>
      <c r="C11" t="inlineStr">
        <is>
          <t>Respiratory</t>
        </is>
      </c>
      <c r="D11" t="inlineStr">
        <is>
          <t>Each</t>
        </is>
      </c>
      <c r="E11" s="32" t="n">
        <v>3.11</v>
      </c>
      <c r="F11" t="n">
        <v>1026</v>
      </c>
      <c r="G11" s="33" t="n"/>
    </row>
    <row r="12">
      <c r="A12" t="inlineStr">
        <is>
          <t>SKU-10350</t>
        </is>
      </c>
      <c r="B12" t="inlineStr">
        <is>
          <t>Endotracheal Tube 6.5 mm Cuffed</t>
        </is>
      </c>
      <c r="C12" t="inlineStr">
        <is>
          <t>Respiratory</t>
        </is>
      </c>
      <c r="D12" t="inlineStr">
        <is>
          <t>Each</t>
        </is>
      </c>
      <c r="E12" s="32" t="n">
        <v>7.47</v>
      </c>
      <c r="F12" t="n">
        <v>0</v>
      </c>
      <c r="G12" s="33" t="n"/>
    </row>
    <row r="13">
      <c r="A13" t="inlineStr">
        <is>
          <t>SKU-10735</t>
        </is>
      </c>
      <c r="B13" t="inlineStr">
        <is>
          <t>Patient Gown, Standard</t>
        </is>
      </c>
      <c r="C13" t="inlineStr">
        <is>
          <t>Linens</t>
        </is>
      </c>
      <c r="D13" t="inlineStr">
        <is>
          <t>Dozen</t>
        </is>
      </c>
      <c r="E13" s="32" t="n">
        <v>39.37</v>
      </c>
      <c r="F13" t="n">
        <v>171</v>
      </c>
      <c r="G13" s="33" t="n"/>
    </row>
    <row r="14">
      <c r="A14" t="inlineStr">
        <is>
          <t>SKU-10784</t>
        </is>
      </c>
      <c r="B14" t="inlineStr">
        <is>
          <t>Foley Catheter Tray 18 Fr</t>
        </is>
      </c>
      <c r="C14" t="inlineStr">
        <is>
          <t>Patient Care</t>
        </is>
      </c>
      <c r="D14" t="inlineStr">
        <is>
          <t>Each</t>
        </is>
      </c>
      <c r="E14" s="32" t="n">
        <v>11.62</v>
      </c>
      <c r="F14" t="n">
        <v>240</v>
      </c>
      <c r="G14" s="33" t="n"/>
    </row>
    <row r="15">
      <c r="A15" t="inlineStr">
        <is>
          <t>SKU-10840</t>
        </is>
      </c>
      <c r="B15" t="inlineStr">
        <is>
          <t>Hand Sanitizer Foam 1000 mL</t>
        </is>
      </c>
      <c r="C15" t="inlineStr">
        <is>
          <t>Patient Care</t>
        </is>
      </c>
      <c r="D15" t="inlineStr">
        <is>
          <t>Each</t>
        </is>
      </c>
      <c r="E15" s="32" t="n">
        <v>9.56</v>
      </c>
      <c r="F15" t="n">
        <v>303</v>
      </c>
      <c r="G15"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1.4 · Bonus: Does 4 West need more beds?</t>
        </is>
      </c>
    </row>
    <row r="2" ht="34" customHeight="1">
      <c r="A2" s="14" t="inlineStr">
        <is>
          <t>The Chief Nursing Officer says February felt 'impossibly full' on 4 West and asks whether the unit needs more staffed beds. Hospitals often plan beds so average occupancy is about 85%, which leaves enough slack to absorb surges. February is rows 33–60 of the Census sheet.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B1</t>
        </is>
      </c>
      <c r="B6" s="19" t="inlineStr">
        <is>
          <t>What was February's average daily census (ADC)? Use only the February rows.</t>
        </is>
      </c>
      <c r="C6" s="20" t="inlineStr">
        <is>
          <t>AVERAGE over rows 33–60</t>
        </is>
      </c>
      <c r="D6" s="23" t="n"/>
      <c r="E6" s="22">
        <f>IF(IFERROR(D6="",FALSE),"",IF(IFERROR(AND(ISNUMBER(D6),OR(ABS(D6-'Bonus Key'!$C$5)&lt;=0.0051)),FALSE),"✔ Correct","✘ Not yet"))</f>
        <v/>
      </c>
    </row>
    <row r="7" ht="36" customHeight="1">
      <c r="A7" s="18" t="inlineStr">
        <is>
          <t>B2</t>
        </is>
      </c>
      <c r="B7" s="19" t="inlineStr">
        <is>
          <t>How many beds would 4 West have needed in February for that ADC to equal 85% occupancy? (ADC ÷ 0.85, keep the decimals.)</t>
        </is>
      </c>
      <c r="C7" s="20" t="inlineStr">
        <is>
          <t>If ADC is 85% of the beds, beds = ADC ÷ 0.85</t>
        </is>
      </c>
      <c r="D7" s="23" t="n"/>
      <c r="E7" s="22">
        <f>IF(IFERROR(D7="",FALSE),"",IF(IFERROR(AND(ISNUMBER(D7),OR(ABS(D7-'Bonus Key'!$C$6)&lt;=0.0051)),FALSE),"✔ Correct","✘ Not yet"))</f>
        <v/>
      </c>
    </row>
    <row r="8" ht="36" customHeight="1">
      <c r="A8" s="18" t="inlineStr">
        <is>
          <t>B3</t>
        </is>
      </c>
      <c r="B8" s="19" t="inlineStr">
        <is>
          <t>You can't open part of a bed. How many EXTRA beds (beyond today's 36) should the unit open? Round up to a whole bed.</t>
        </is>
      </c>
      <c r="C8" s="20" t="inlineStr">
        <is>
          <t>ROUNDUP works like ROUND but always rounds up: ROUNDUP(number, 0)</t>
        </is>
      </c>
      <c r="D8" s="21" t="n"/>
      <c r="E8" s="22">
        <f>IF(IFERROR(D8="",FALSE),"",IF(IFERROR(AND(ISNUMBER(D8),OR(ABS(D8-'Bonus Key'!$C$7)&lt;=0.0001)),FALSE),"✔ Correct","✘ Not yet"))</f>
        <v/>
      </c>
    </row>
    <row r="9" ht="36" customHeight="1">
      <c r="A9" s="18" t="inlineStr">
        <is>
          <t>B4</t>
        </is>
      </c>
      <c r="B9" s="19" t="inlineStr">
        <is>
          <t>Sanity check: on how many February days did the midnight census exceed 85% of 36 beds (i.e. more than 30.6 patients)?</t>
        </is>
      </c>
      <c r="C9" s="20" t="inlineStr">
        <is>
          <t>COUNTIF(range, "&gt;30.6"), a preview of Lesson 2.5</t>
        </is>
      </c>
      <c r="D9" s="21" t="n"/>
      <c r="E9" s="22">
        <f>IF(IFERROR(D9="",FALSE),"",IF(IFERROR(AND(ISNUMBER(D9),OR(ABS(D9-'Bonus Key'!$C$8)&lt;=0.0001)),FALSE),"✔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4" t="inlineStr">
        <is>
          <t>🔑 Answer Key — Lesson 1.4</t>
        </is>
      </c>
    </row>
    <row r="2" ht="32" customHeight="1">
      <c r="A2" s="35" t="inlineStr">
        <is>
          <t>Spoiler alert: try every task before reading this sheet. Column C is the value the Check column compares against. Column D is a sample solution, and column E recalculates a formula for it live, proving the answer.</t>
        </is>
      </c>
    </row>
    <row r="4">
      <c r="A4" s="36" t="inlineStr">
        <is>
          <t>#</t>
        </is>
      </c>
      <c r="B4" s="36" t="inlineStr">
        <is>
          <t>Task</t>
        </is>
      </c>
      <c r="C4" s="36" t="inlineStr">
        <is>
          <t>Answer</t>
        </is>
      </c>
      <c r="D4" s="36" t="inlineStr">
        <is>
          <t>Sample solution</t>
        </is>
      </c>
      <c r="E4" s="36" t="inlineStr">
        <is>
          <t>Live result</t>
        </is>
      </c>
      <c r="F4" s="36" t="inlineStr">
        <is>
          <t>Explanation</t>
        </is>
      </c>
    </row>
    <row r="5" ht="36" customHeight="1">
      <c r="A5" s="18" t="inlineStr">
        <is>
          <t>1</t>
        </is>
      </c>
      <c r="B5" s="19" t="inlineStr">
        <is>
          <t>How many patients were admitted to 4 West during the quarter (total of the Admissions column)?</t>
        </is>
      </c>
      <c r="C5" s="37" t="n">
        <v>699</v>
      </c>
      <c r="D5" s="38" t="inlineStr">
        <is>
          <t>=SUM(Census!C2:C91)</t>
        </is>
      </c>
      <c r="E5" cm="1" s="19">
        <f t="array" ref="E5">SUM(Census!C2:C91)</f>
        <v/>
      </c>
      <c r="F5" s="19" t="inlineStr">
        <is>
          <t>SUM adds every number in the range. Typing =SUM( and then dragging over the column fills in the range for you.</t>
        </is>
      </c>
    </row>
    <row r="6" ht="36" customHeight="1">
      <c r="A6" s="18" t="inlineStr">
        <is>
          <t>2</t>
        </is>
      </c>
      <c r="B6" s="19" t="inlineStr">
        <is>
          <t>What was the average midnight census? (Keep full precision. The check compares the value to 2 decimal places.)</t>
        </is>
      </c>
      <c r="C6" s="39" t="n">
        <v>32.85555555555555</v>
      </c>
      <c r="D6" s="38" t="inlineStr">
        <is>
          <t>=AVERAGE(Census!E2:E91)</t>
        </is>
      </c>
      <c r="E6" cm="1" s="40">
        <f t="array" ref="E6">AVERAGE(Census!E2:E91)</f>
        <v/>
      </c>
      <c r="F6" s="19" t="inlineStr">
        <is>
          <t>AVERAGE = SUM ÷ COUNT of the numbers in the range. This is the unit's average daily census (ADC).</t>
        </is>
      </c>
    </row>
    <row r="7" ht="30" customHeight="1">
      <c r="A7" s="18" t="inlineStr">
        <is>
          <t>3</t>
        </is>
      </c>
      <c r="B7" s="19" t="inlineStr">
        <is>
          <t>What was the highest midnight census on any day?</t>
        </is>
      </c>
      <c r="C7" s="37" t="n">
        <v>37</v>
      </c>
      <c r="D7" s="38" t="inlineStr">
        <is>
          <t>=MAX(Census!E2:E91)</t>
        </is>
      </c>
      <c r="E7" cm="1" s="19">
        <f t="array" ref="E7">MAX(Census!E2:E91)</f>
        <v/>
      </c>
      <c r="F7" s="19" t="inlineStr"/>
    </row>
    <row r="8" ht="30" customHeight="1">
      <c r="A8" s="18" t="inlineStr">
        <is>
          <t>4</t>
        </is>
      </c>
      <c r="B8" s="19" t="inlineStr">
        <is>
          <t>What was the lowest midnight census on any day?</t>
        </is>
      </c>
      <c r="C8" s="37" t="n">
        <v>28</v>
      </c>
      <c r="D8" s="38" t="inlineStr">
        <is>
          <t>=MIN(Census!E2:E91)</t>
        </is>
      </c>
      <c r="E8" cm="1" s="19">
        <f t="array" ref="E8">MIN(Census!E2:E91)</f>
        <v/>
      </c>
      <c r="F8" s="19" t="inlineStr"/>
    </row>
    <row r="9" ht="36" customHeight="1">
      <c r="A9" s="18" t="inlineStr">
        <is>
          <t>5</t>
        </is>
      </c>
      <c r="B9" s="19" t="inlineStr">
        <is>
          <t>How many days of census data are there? Count the dates in the CensusDate column.</t>
        </is>
      </c>
      <c r="C9" s="37" t="n">
        <v>90</v>
      </c>
      <c r="D9" s="38" t="inlineStr">
        <is>
          <t>=COUNT(Census!A2:A91)</t>
        </is>
      </c>
      <c r="E9" cm="1" s="19">
        <f t="array" ref="E9">COUNT(Census!A2:A91)</f>
        <v/>
      </c>
      <c r="F9" s="19" t="inlineStr">
        <is>
          <t>Excel stores dates as numbers (serial numbers), so COUNT includes them. COUNT ignores text and blanks.</t>
        </is>
      </c>
    </row>
    <row r="10" ht="36" customHeight="1">
      <c r="A10" s="18" t="inlineStr">
        <is>
          <t>6</t>
        </is>
      </c>
      <c r="B10" s="19" t="inlineStr">
        <is>
          <t>On how many days did the charge nurse write a note?</t>
        </is>
      </c>
      <c r="C10" s="37" t="n">
        <v>21</v>
      </c>
      <c r="D10" s="38" t="inlineStr">
        <is>
          <t>=COUNTA(Census!F2:F91)</t>
        </is>
      </c>
      <c r="E10" cm="1" s="19">
        <f t="array" ref="E10">COUNTA(Census!F2:F91)</f>
        <v/>
      </c>
      <c r="F10" s="19" t="inlineStr">
        <is>
          <t>COUNTA counts every non-empty cell, including text. COUNT would return 0 here because the notes are text.</t>
        </is>
      </c>
    </row>
    <row r="11" ht="36" customHeight="1">
      <c r="A11" s="18" t="inlineStr">
        <is>
          <t>7</t>
        </is>
      </c>
      <c r="B11" s="19" t="inlineStr">
        <is>
          <t>On how many days was the Notes cell left empty?</t>
        </is>
      </c>
      <c r="C11" s="37" t="n">
        <v>69</v>
      </c>
      <c r="D11" s="38" t="inlineStr">
        <is>
          <t>=COUNTBLANK(Census!F2:F91)</t>
        </is>
      </c>
      <c r="E11" cm="1" s="19">
        <f t="array" ref="E11">COUNTBLANK(Census!F2:F91)</f>
        <v/>
      </c>
      <c r="F11" s="19" t="inlineStr">
        <is>
          <t>COUNTA + COUNTBLANK always equals the number of cells in the range (here 90).</t>
        </is>
      </c>
    </row>
    <row r="12" ht="36" customHeight="1">
      <c r="A12" s="18" t="inlineStr">
        <is>
          <t>8</t>
        </is>
      </c>
      <c r="B12" s="19" t="inlineStr">
        <is>
          <t>Patient days = the sum of every day's midnight census. How many patient days did 4 West provide in Q1?</t>
        </is>
      </c>
      <c r="C12" s="37" t="n">
        <v>2957</v>
      </c>
      <c r="D12" s="38" t="inlineStr">
        <is>
          <t>=SUM(Census!E2:E91)</t>
        </is>
      </c>
      <c r="E12" cm="1" s="19">
        <f t="array" ref="E12">SUM(Census!E2:E91)</f>
        <v/>
      </c>
      <c r="F12" s="19" t="inlineStr">
        <is>
          <t>Each patient in a bed at midnight counts as one patient day. Patient days drive staffing and cost per day.</t>
        </is>
      </c>
    </row>
    <row r="13" ht="66" customHeight="1">
      <c r="A13" s="18" t="inlineStr">
        <is>
          <t>9</t>
        </is>
      </c>
      <c r="B13" s="19" t="inlineStr">
        <is>
          <t>What was the unit's occupancy rate for the whole quarter? Divide total patient days by total staffed-bed days. Enter it as a percentage.</t>
        </is>
      </c>
      <c r="C13" s="41" t="n">
        <v>0.9126543209876543</v>
      </c>
      <c r="D13" s="38" t="inlineStr">
        <is>
          <t>=SUM(Census!E2:E91)/SUM(Census!B2:B91)</t>
        </is>
      </c>
      <c r="E13" cm="1" s="42">
        <f t="array" ref="E13">SUM(Census!E2:E91)/SUM(Census!B2:B91)</f>
        <v/>
      </c>
      <c r="F13" s="19" t="inlineStr">
        <is>
          <t>A rate for a whole period should be total numerator ÷ total denominator. Format the cell as a percentage (Ctrl + Shift + %, Mac: Control + Shift + %) to see 91.3% instead of 0.9126…</t>
        </is>
      </c>
    </row>
    <row r="14" ht="96" customHeight="1">
      <c r="A14" s="18" t="inlineStr">
        <is>
          <t>10</t>
        </is>
      </c>
      <c r="B14" s="19" t="inlineStr">
        <is>
          <t>In the Census sheet, fill the yellow Occupancy column with a formula for each day (MidnightCensus ÷ StaffedBeds). The gray cell counts the days your column shows 100% or more. (Type it in G2, then double-click the fill handle to copy it down.)</t>
        </is>
      </c>
      <c r="C14" s="37" t="n">
        <v>6</v>
      </c>
      <c r="D14" s="38" t="inlineStr">
        <is>
          <t>=E2/B2</t>
        </is>
      </c>
      <c r="E14" cm="1" s="19">
        <f t="array" ref="E14">SUMPRODUCT(--(Census!E2:E91&gt;=Census!B2:B91))</f>
        <v/>
      </c>
      <c r="F14" s="19" t="inlineStr">
        <is>
          <t>Type =E2/B2 in the first Occupancy cell and copy it down. Each row's formula points to its own row (=E3/B3, =E4/B4 …). Because the data is an Excel Table, typing the formula in one cell may fill the whole column automatically, and you may see it written as =[@MidnightCensus]/[@StaffedBeds]. Both are correct.</t>
        </is>
      </c>
    </row>
    <row r="15" ht="51" customHeight="1">
      <c r="A15" s="18" t="inlineStr">
        <is>
          <t>11</t>
        </is>
      </c>
      <c r="B15" s="19" t="inlineStr">
        <is>
          <t>Average length of stay (ALOS) = patient days ÷ discharges. Calculate it for the quarter, rounded to 1 decimal place with ROUND.</t>
        </is>
      </c>
      <c r="C15" s="43" t="n">
        <v>4.2</v>
      </c>
      <c r="D15" s="38" t="inlineStr">
        <is>
          <t>=ROUND(SUM(Census!E2:E91)/SUM(Census!D2:D91),1)</t>
        </is>
      </c>
      <c r="E15" cm="1" s="44">
        <f t="array" ref="E15">ROUND(SUM(Census!E2:E91)/SUM(Census!D2:D91),1)</f>
        <v/>
      </c>
      <c r="F15" s="19" t="inlineStr">
        <is>
          <t>ROUND changes the stored value, not just how it looks. The check here is strict: an unrounded value won't match.</t>
        </is>
      </c>
    </row>
    <row r="16" ht="36" customHeight="1">
      <c r="A16" s="18" t="inlineStr">
        <is>
          <t>12</t>
        </is>
      </c>
      <c r="B16" s="19" t="inlineStr">
        <is>
          <t>Without typing it into Excel first, what does =(30-6)/4+2^3 return? Then type it to confirm.</t>
        </is>
      </c>
      <c r="C16" s="37" t="n">
        <v>14</v>
      </c>
      <c r="D16" s="38" t="inlineStr">
        <is>
          <t>=(30-6)/4+2^3</t>
        </is>
      </c>
      <c r="E16" cm="1" s="19">
        <f t="array" ref="E16">(30-6)/4+2^3</f>
        <v/>
      </c>
      <c r="F16" s="19" t="inlineStr">
        <is>
          <t>(30−6)=24 first (parentheses), then 2^3=8 (exponent), then 24/4=6 (division), then 6+8=14.</t>
        </is>
      </c>
    </row>
    <row r="17" ht="66" customHeight="1">
      <c r="A17" s="18" t="inlineStr">
        <is>
          <t>13</t>
        </is>
      </c>
      <c r="B17" s="19" t="inlineStr">
        <is>
          <t>Switch to the Supplies sheet. Fill the yellow StockValue column with UnitCost × QtyOnHand for every item. The gray cell totals your column. What is the total value of 4 West's supply room?</t>
        </is>
      </c>
      <c r="C17" s="45" t="n">
        <v>31730.68</v>
      </c>
      <c r="D17" s="38" t="inlineStr">
        <is>
          <t>=E2*F2</t>
        </is>
      </c>
      <c r="E17" cm="1" s="46">
        <f t="array" ref="E17">SUMPRODUCT(Supplies!E2:E15,Supplies!F2:F15)</f>
        <v/>
      </c>
      <c r="F17" s="19" t="inlineStr">
        <is>
          <t>One formula, copied down, gives each item's value, and then SUM adds up the column. (The live formula in the key uses SUMPRODUCT, which multiplies and adds in one step. You'll meet it in Lesson 2.4.)</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4" t="inlineStr">
        <is>
          <t>🔑 Bonus Key — Lesson 1.4</t>
        </is>
      </c>
    </row>
    <row r="2" ht="32" customHeight="1">
      <c r="A2" s="35" t="inlineStr">
        <is>
          <t>Spoiler alert: try every task before reading this sheet. Column C is the value the Check column compares against. Column D is a sample solution, and column E recalculates a formula for it live, proving the answer.</t>
        </is>
      </c>
    </row>
    <row r="4">
      <c r="A4" s="36" t="inlineStr">
        <is>
          <t>#</t>
        </is>
      </c>
      <c r="B4" s="36" t="inlineStr">
        <is>
          <t>Task</t>
        </is>
      </c>
      <c r="C4" s="36" t="inlineStr">
        <is>
          <t>Answer</t>
        </is>
      </c>
      <c r="D4" s="36" t="inlineStr">
        <is>
          <t>Sample solution</t>
        </is>
      </c>
      <c r="E4" s="36" t="inlineStr">
        <is>
          <t>Live result</t>
        </is>
      </c>
      <c r="F4" s="36" t="inlineStr">
        <is>
          <t>Explanation</t>
        </is>
      </c>
    </row>
    <row r="5" ht="36" customHeight="1">
      <c r="A5" s="18" t="inlineStr">
        <is>
          <t>B1</t>
        </is>
      </c>
      <c r="B5" s="19" t="inlineStr">
        <is>
          <t>What was February's average daily census (ADC)? Use only the February rows.</t>
        </is>
      </c>
      <c r="C5" s="39" t="n">
        <v>32.82142857142857</v>
      </c>
      <c r="D5" s="38" t="inlineStr">
        <is>
          <t>=AVERAGE(Census!E33:E60)</t>
        </is>
      </c>
      <c r="E5" cm="1" s="40">
        <f t="array" ref="E5">AVERAGE(Census!E33:E60)</f>
        <v/>
      </c>
      <c r="F5" s="19" t="inlineStr">
        <is>
          <t>Select only the February rows. Selecting the whole column would give the quarterly ADC instead.</t>
        </is>
      </c>
    </row>
    <row r="6" ht="51" customHeight="1">
      <c r="A6" s="18" t="inlineStr">
        <is>
          <t>B2</t>
        </is>
      </c>
      <c r="B6" s="19" t="inlineStr">
        <is>
          <t>How many beds would 4 West have needed in February for that ADC to equal 85% occupancy? (ADC ÷ 0.85, keep the decimals.)</t>
        </is>
      </c>
      <c r="C6" s="39" t="n">
        <v>38.61344537815126</v>
      </c>
      <c r="D6" s="38" t="inlineStr">
        <is>
          <t>=AVERAGE(Census!E33:E60)/0.85</t>
        </is>
      </c>
      <c r="E6" cm="1" s="40">
        <f t="array" ref="E6">AVERAGE(Census!E33:E60)/0.85</f>
        <v/>
      </c>
      <c r="F6" s="19" t="inlineStr"/>
    </row>
    <row r="7" ht="66" customHeight="1">
      <c r="A7" s="18" t="inlineStr">
        <is>
          <t>B3</t>
        </is>
      </c>
      <c r="B7" s="19" t="inlineStr">
        <is>
          <t>You can't open part of a bed. How many EXTRA beds (beyond today's 36) should the unit open? Round up to a whole bed.</t>
        </is>
      </c>
      <c r="C7" s="37" t="n">
        <v>3</v>
      </c>
      <c r="D7" s="38" t="inlineStr">
        <is>
          <t>=ROUNDUP(AVERAGE(Census!E33:E60)/0.85-Census!B33,0)</t>
        </is>
      </c>
      <c r="E7" cm="1" s="19">
        <f t="array" ref="E7">ROUNDUP(AVERAGE(Census!E33:E60)/0.85-Census!B33,0)</f>
        <v/>
      </c>
      <c r="F7" s="19" t="inlineStr">
        <is>
          <t>Beds needed (≈38.6) minus the 36 staffed beds ≈ 2.6, rounded up to 3. ROUND would have given 3 here as well, but only ROUNDUP guarantees you never under-build: 2.1 extra beds still means opening 3.</t>
        </is>
      </c>
    </row>
    <row r="8" ht="51" customHeight="1">
      <c r="A8" s="18" t="inlineStr">
        <is>
          <t>B4</t>
        </is>
      </c>
      <c r="B8" s="19" t="inlineStr">
        <is>
          <t>Sanity check: on how many February days did the midnight census exceed 85% of 36 beds (i.e. more than 30.6 patients)?</t>
        </is>
      </c>
      <c r="C8" s="37" t="n">
        <v>25</v>
      </c>
      <c r="D8" s="38" t="inlineStr">
        <is>
          <t>=COUNTIF(Census!E33:E60,"&gt;"&amp;0.85*36)</t>
        </is>
      </c>
      <c r="E8" cm="1" s="19">
        <f t="array" ref="E8">COUNTIF(Census!E33:E60,"&gt;"&amp;0.85*36)</f>
        <v/>
      </c>
      <c r="F8" s="19" t="inlineStr">
        <is>
          <t>COUNTIF counts cells that meet a condition, and you'll master it in Lesson 2.5. Here it confirms that almost every February day ran above the 85% planning target.</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1.4 — Your First Formulas &amp; Functions</dc:title>
  <dcterms:created xsi:type="dcterms:W3CDTF">2026-10-02T20:04:04Z</dcterms:created>
  <dcterms:modified xsi:type="dcterms:W3CDTF">2026-10-02T20:04:04Z</dcterms:modified>
</cp:coreProperties>
</file>
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worksheets/sheet8.xml" ContentType="application/vnd.openxmlformats-officedocument.spreadsheetml.worksheet+xml"/>
  <Override PartName="/xl/tables/table2.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Entries" sheetId="3" state="visible" r:id="rId3"/>
    <sheet name="Schedule" sheetId="4" state="visible" r:id="rId4"/>
    <sheet name="Beds" sheetId="5" state="visible" r:id="rId5"/>
    <sheet name="Q15 Log" sheetId="6" state="visible" r:id="rId6"/>
    <sheet name="Admissions" sheetId="7" state="visible" r:id="rId7"/>
    <sheet name="Supplies" sheetId="8" state="visible" r:id="rId8"/>
    <sheet name="Order" sheetId="9" state="visible" r:id="rId9"/>
    <sheet name="Roster" sheetId="10" state="visible" r:id="rId10"/>
    <sheet name="Bonus" sheetId="11" state="visible" r:id="rId11"/>
    <sheet name="Clinic Grid" sheetId="12" state="visible" r:id="rId12"/>
    <sheet name="Answer Key" sheetId="13" state="hidden" r:id="rId13"/>
    <sheet name="Bonus Key" sheetId="14" state="hidden" r:id="rId14"/>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7">
    <numFmt numFmtId="164" formatCode="yyyy-mm-dd h:mm:ss"/>
    <numFmt numFmtId="165" formatCode="mm/dd/yyyy hh:mm"/>
    <numFmt numFmtId="166" formatCode="yyyy-mm-dd"/>
    <numFmt numFmtId="167" formatCode="mm/dd/yyyy"/>
    <numFmt numFmtId="168" formatCode="hh:mm"/>
    <numFmt numFmtId="169" formatCode="&quot;$&quot;#,##0"/>
    <numFmt numFmtId="170" formatCode="ddd mm/dd"/>
  </numFmts>
  <fonts count="19">
    <font>
      <name val="Calibri"/>
      <family val="2"/>
      <color theme="1"/>
      <sz val="11"/>
      <scheme val="minor"/>
    </font>
    <font>
      <b val="1"/>
      <color rgb="001F4E79"/>
      <sz val="13"/>
    </font>
    <font>
      <i val="1"/>
      <color rgb="00595959"/>
      <sz val="10"/>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s>
  <fills count="9">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64">
    <xf numFmtId="0" fontId="0" fillId="0" borderId="0" pivotButton="0" quotePrefix="0" xfId="0"/>
    <xf numFmtId="0" fontId="15" fillId="0" borderId="0" pivotButton="0" quotePrefix="0" xfId="0"/>
    <xf numFmtId="0" fontId="16" fillId="0" borderId="0" pivotButton="0" quotePrefix="0" xfId="0"/>
    <xf numFmtId="0" fontId="6" fillId="0" borderId="0" pivotButton="0" quotePrefix="0" xfId="0"/>
    <xf numFmtId="0" fontId="17" fillId="5" borderId="0" pivotButton="0" quotePrefix="0" xfId="0"/>
    <xf numFmtId="0" fontId="0" fillId="5" borderId="0" pivotButton="0" quotePrefix="0" xfId="0"/>
    <xf numFmtId="0" fontId="18"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3"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4" fillId="0" borderId="0" pivotButton="0" quotePrefix="0" xfId="0"/>
    <xf numFmtId="0" fontId="7"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2" fillId="0" borderId="1" applyAlignment="1" pivotButton="0" quotePrefix="0" xfId="0">
      <alignment vertical="top" wrapText="1"/>
    </xf>
    <xf numFmtId="0" fontId="0" fillId="3" borderId="2" applyAlignment="1" pivotButton="0" quotePrefix="0" xfId="0">
      <alignment horizontal="right" vertical="top"/>
    </xf>
    <xf numFmtId="0" fontId="3" fillId="0" borderId="1" applyAlignment="1" pivotButton="0" quotePrefix="0" xfId="0">
      <alignment vertical="top"/>
    </xf>
    <xf numFmtId="2" fontId="0" fillId="3" borderId="2" applyAlignment="1" pivotButton="0" quotePrefix="0" xfId="0">
      <alignment horizontal="right" vertical="top"/>
    </xf>
    <xf numFmtId="0" fontId="0" fillId="3" borderId="2" applyAlignment="1" pivotButton="0" quotePrefix="0" xfId="0">
      <alignment horizontal="left" vertical="top"/>
    </xf>
    <xf numFmtId="167" fontId="13" fillId="6" borderId="1" applyAlignment="1" pivotButton="0" quotePrefix="0" xfId="0">
      <alignment horizontal="right" vertical="top"/>
    </xf>
    <xf numFmtId="0" fontId="13" fillId="6" borderId="1" applyAlignment="1" pivotButton="0" quotePrefix="0" xfId="0">
      <alignment horizontal="left" vertical="top"/>
    </xf>
    <xf numFmtId="168" fontId="13" fillId="6" borderId="1" applyAlignment="1" pivotButton="0" quotePrefix="0" xfId="0">
      <alignment horizontal="right" vertical="top"/>
    </xf>
    <xf numFmtId="0" fontId="13" fillId="6" borderId="1" applyAlignment="1" pivotButton="0" quotePrefix="0" xfId="0">
      <alignment horizontal="right" vertical="top"/>
    </xf>
    <xf numFmtId="0" fontId="1" fillId="0" borderId="0" pivotButton="0" quotePrefix="0" xfId="0"/>
    <xf numFmtId="0" fontId="2" fillId="0" borderId="0" pivotButton="0" quotePrefix="0" xfId="0"/>
    <xf numFmtId="0" fontId="7" fillId="5" borderId="1" applyAlignment="1" pivotButton="0" quotePrefix="0" xfId="0">
      <alignment horizontal="center" vertical="center"/>
    </xf>
    <xf numFmtId="0" fontId="0" fillId="0" borderId="1" pivotButton="0" quotePrefix="0" xfId="0"/>
    <xf numFmtId="0" fontId="13" fillId="0" borderId="1" pivotButton="0" quotePrefix="0" xfId="0"/>
    <xf numFmtId="167" fontId="0" fillId="0" borderId="1" pivotButton="0" quotePrefix="0" xfId="0"/>
    <xf numFmtId="165" fontId="0" fillId="0" borderId="1" pivotButton="0" quotePrefix="0" xfId="0"/>
    <xf numFmtId="16" fontId="0" fillId="0" borderId="1" pivotButton="0" quotePrefix="0" xfId="0"/>
    <xf numFmtId="169" fontId="0" fillId="0" borderId="1" pivotButton="0" quotePrefix="0" xfId="0"/>
    <xf numFmtId="0" fontId="7" fillId="5" borderId="1" applyAlignment="1" pivotButton="0" quotePrefix="0" xfId="0">
      <alignment horizontal="center" vertical="center" wrapText="1"/>
    </xf>
    <xf numFmtId="0" fontId="0" fillId="0" borderId="1" applyAlignment="1" pivotButton="0" quotePrefix="0" xfId="0">
      <alignment horizontal="center" vertical="center"/>
    </xf>
    <xf numFmtId="0" fontId="0" fillId="3" borderId="2" pivotButton="0" quotePrefix="0" xfId="0"/>
    <xf numFmtId="167" fontId="0" fillId="3" borderId="2" pivotButton="0" quotePrefix="0" xfId="0"/>
    <xf numFmtId="0" fontId="0" fillId="0" borderId="1" applyAlignment="1" pivotButton="0" quotePrefix="0" xfId="0">
      <alignment horizontal="center"/>
    </xf>
    <xf numFmtId="168" fontId="0" fillId="0" borderId="1" pivotButton="0" quotePrefix="0" xfId="0"/>
    <xf numFmtId="168" fontId="0" fillId="3" borderId="2" pivotButton="0" quotePrefix="0" xfId="0"/>
    <xf numFmtId="0" fontId="3" fillId="0" borderId="0" pivotButton="0" quotePrefix="0" xfId="0"/>
    <xf numFmtId="0" fontId="4" fillId="2" borderId="0" pivotButton="0" quotePrefix="0" xfId="0"/>
    <xf numFmtId="165" fontId="0" fillId="0" borderId="0" pivotButton="0" quotePrefix="0" xfId="0"/>
    <xf numFmtId="0" fontId="0" fillId="3" borderId="0" pivotButton="0" quotePrefix="0" xfId="0"/>
    <xf numFmtId="4" fontId="0" fillId="0" borderId="0" pivotButton="0" quotePrefix="0" xfId="0"/>
    <xf numFmtId="3" fontId="0" fillId="3" borderId="2" pivotButton="0" quotePrefix="0" xfId="0"/>
    <xf numFmtId="170" fontId="3" fillId="0" borderId="1" applyAlignment="1" pivotButton="0" quotePrefix="0" xfId="0">
      <alignment horizontal="center" vertical="center"/>
    </xf>
    <xf numFmtId="170" fontId="3" fillId="3" borderId="2" applyAlignment="1" pivotButton="0" quotePrefix="0" xfId="0">
      <alignment horizontal="center" vertical="center"/>
    </xf>
    <xf numFmtId="0" fontId="0" fillId="3" borderId="2" applyAlignment="1" pivotButton="0" quotePrefix="0" xfId="0">
      <alignment horizontal="center"/>
    </xf>
    <xf numFmtId="0" fontId="5" fillId="0" borderId="0" pivotButton="0" quotePrefix="0" xfId="0"/>
    <xf numFmtId="0" fontId="6" fillId="0" borderId="0" applyAlignment="1" pivotButton="0" quotePrefix="0" xfId="0">
      <alignment vertical="top" wrapText="1"/>
    </xf>
    <xf numFmtId="0" fontId="7" fillId="4" borderId="1" pivotButton="0" quotePrefix="0" xfId="0"/>
    <xf numFmtId="0" fontId="3" fillId="0" borderId="1" applyAlignment="1" pivotButton="0" quotePrefix="0" xfId="0">
      <alignment vertical="top" wrapText="1"/>
    </xf>
    <xf numFmtId="0" fontId="8" fillId="0" borderId="1" applyAlignment="1" pivotButton="0" quotePrefix="1" xfId="0">
      <alignment vertical="top" wrapText="1"/>
    </xf>
    <xf numFmtId="2" fontId="3" fillId="0" borderId="1" applyAlignment="1" pivotButton="0" quotePrefix="0" xfId="0">
      <alignment vertical="top" wrapText="1"/>
    </xf>
    <xf numFmtId="2" fontId="0" fillId="0" borderId="1" applyAlignment="1" pivotButton="0" quotePrefix="0" xfId="0">
      <alignment vertical="top" wrapText="1"/>
    </xf>
    <xf numFmtId="167" fontId="3" fillId="0" borderId="1" applyAlignment="1" pivotButton="0" quotePrefix="0" xfId="0">
      <alignment vertical="top" wrapText="1"/>
    </xf>
    <xf numFmtId="167" fontId="0" fillId="0" borderId="1" applyAlignment="1" pivotButton="0" quotePrefix="0" xfId="0">
      <alignment vertical="top" wrapText="1"/>
    </xf>
    <xf numFmtId="168" fontId="3"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 Id="rIdXlcMeta" Type="http://schemas.openxmlformats.org/officeDocument/2006/relationships/sheetMetadata" Target="metadata.xml"/></Relationships>
</file>

<file path=xl/tables/table1.xml><?xml version="1.0" encoding="utf-8"?>
<table xmlns="http://schemas.openxmlformats.org/spreadsheetml/2006/main" id="1" name="tblAdmissions" displayName="tblAdmissions" ref="A1:D25" headerRowCount="1">
  <autoFilter ref="A1:D25"/>
  <tableColumns count="4">
    <tableColumn id="1" name="Admitted"/>
    <tableColumn id="2" name="EncounterID"/>
    <tableColumn id="3" name="PatientName"/>
    <tableColumn id="4" name="WhiteboardName"/>
  </tableColumns>
  <tableStyleInfo name="TableStyleMedium2" showRowStripes="1"/>
</table>
</file>

<file path=xl/tables/table2.xml><?xml version="1.0" encoding="utf-8"?>
<table xmlns="http://schemas.openxmlformats.org/spreadsheetml/2006/main" id="2" name="tblSupplies" displayName="tblSupplies" ref="A3:H17" headerRowCount="1">
  <autoFilter ref="A3:H17"/>
  <tableColumns count="8">
    <tableColumn id="1" name="SKU"/>
    <tableColumn id="2" name="ItemDescription"/>
    <tableColumn id="3" name="Vendor"/>
    <tableColumn id="4" name="UnitOfMeasure"/>
    <tableColumn id="5" name="UnitCost"/>
    <tableColumn id="6" name="QtyOnHand"/>
    <tableColumn id="7" name="ParLevel"/>
    <tableColumn id="8" name="SuggestedOrder"/>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table" Target="/xl/tables/table1.xml" Id="rId1" /></Relationships>
</file>

<file path=xl/worksheets/_rels/sheet8.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tabColor rgb="001F4E79"/>
    <outlinePr summaryBelow="1" summaryRight="1"/>
    <pageSetUpPr fitToPage="1"/>
  </sheetPr>
  <dimension ref="B2:C31"/>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1.2</t>
        </is>
      </c>
    </row>
    <row r="3">
      <c r="B3" s="2" t="inlineStr">
        <is>
          <t>Data Entry, AutoFill &amp; Editing</t>
        </is>
      </c>
    </row>
    <row r="4">
      <c r="B4" s="3" t="inlineStr">
        <is>
          <t>Beginner  ·  about 40 minutes  ·  Bluestone Health System (fictional)</t>
        </is>
      </c>
    </row>
    <row r="6">
      <c r="B6" s="4" t="inlineStr">
        <is>
          <t>What you'll learn</t>
        </is>
      </c>
      <c r="C6" s="5" t="n"/>
    </row>
    <row r="7" ht="18" customHeight="1">
      <c r="B7" s="6" t="inlineStr">
        <is>
          <t>•</t>
        </is>
      </c>
      <c r="C7" s="7" t="inlineStr">
        <is>
          <t>Recognize how Excel stores text, numbers, dates, times, and TRUE/FALSE</t>
        </is>
      </c>
    </row>
    <row r="8" ht="18" customHeight="1">
      <c r="B8" s="6" t="inlineStr">
        <is>
          <t>•</t>
        </is>
      </c>
      <c r="C8" s="7" t="inlineStr">
        <is>
          <t>Enter and edit data efficiently (F2, Ctrl+Enter, Ctrl+D, Alt+Enter)</t>
        </is>
      </c>
    </row>
    <row r="9" ht="18" customHeight="1">
      <c r="B9" s="6" t="inlineStr">
        <is>
          <t>•</t>
        </is>
      </c>
      <c r="C9" s="7" t="inlineStr">
        <is>
          <t>Create series with AutoFill, the Fill Series dialog, and Flash Fill</t>
        </is>
      </c>
    </row>
    <row r="10" ht="18" customHeight="1">
      <c r="B10" s="6" t="inlineStr">
        <is>
          <t>•</t>
        </is>
      </c>
      <c r="C10" s="7" t="inlineStr">
        <is>
          <t>Use Copy, Paste Special (values, transpose, formats), and Find &amp; Replace</t>
        </is>
      </c>
    </row>
    <row r="11" ht="18" customHeight="1">
      <c r="B11" s="6" t="inlineStr">
        <is>
          <t>•</t>
        </is>
      </c>
      <c r="C11" s="7" t="inlineStr">
        <is>
          <t>Avoid classic traps: lost leading zeros, numbers stored as text, accidental dates</t>
        </is>
      </c>
    </row>
    <row r="13">
      <c r="B13" s="4" t="inlineStr">
        <is>
          <t>How to use this workbook</t>
        </is>
      </c>
      <c r="C13" s="5" t="n"/>
    </row>
    <row r="14" ht="33" customHeight="1">
      <c r="B14" s="8" t="inlineStr">
        <is>
          <t>1. Read the guide</t>
        </is>
      </c>
      <c r="C14" s="7" t="inlineStr">
        <is>
          <t>The lesson guide (README) explains each skill with examples: https://github.com/lmansf/learn-excel/tree/main/01-foundations/02-data-entry-autofill</t>
        </is>
      </c>
    </row>
    <row r="15" ht="18" customHeight="1">
      <c r="B15" s="8" t="inlineStr">
        <is>
          <t>2. Practice</t>
        </is>
      </c>
      <c r="C15" s="7" t="inlineStr">
        <is>
          <t>Go to the 'Practice' sheet. Type a formula or value into each yellow cell.</t>
        </is>
      </c>
    </row>
    <row r="16" ht="18" customHeight="1">
      <c r="B16" s="8" t="inlineStr">
        <is>
          <t>3. Check yourself</t>
        </is>
      </c>
      <c r="C16" s="7" t="inlineStr">
        <is>
          <t>The Check column shows ✔ Correct (green) or ✘ Not yet (red).</t>
        </is>
      </c>
    </row>
    <row r="17" ht="18" customHeight="1">
      <c r="B17" s="8" t="inlineStr">
        <is>
          <t>4. Bonus</t>
        </is>
      </c>
      <c r="C17" s="7" t="inlineStr">
        <is>
          <t>Finished? Try the harder 'Bonus' sheet.</t>
        </is>
      </c>
    </row>
    <row r="18" ht="33" customHeight="1">
      <c r="B18" s="8" t="inlineStr">
        <is>
          <t>5. Answers</t>
        </is>
      </c>
      <c r="C18" s="7" t="inlineStr">
        <is>
          <t>The 'Answer Key' and 'Bonus Key' sheets are hidden. Right-click any sheet tab → Unhide… → pick one → OK. (Try first!)</t>
        </is>
      </c>
    </row>
    <row r="19" ht="33" customHeight="1">
      <c r="B19" s="8" t="inlineStr">
        <is>
          <t>Note</t>
        </is>
      </c>
      <c r="C19" s="7" t="inlineStr">
        <is>
          <t>Where to work: Entries (tasks 1–2), the Practice sheet itself (3–4), Schedule (5–6, 9, 13), Beds (7), Q15 Log (8), Admissions (10), Supplies and Order (11), Roster (12), and Clinic Grid (bonus).</t>
        </is>
      </c>
    </row>
    <row r="21">
      <c r="B21" s="4" t="inlineStr">
        <is>
          <t>Color legend</t>
        </is>
      </c>
      <c r="C21" s="5" t="n"/>
    </row>
    <row r="22" ht="18" customHeight="1">
      <c r="B22" s="9" t="inlineStr">
        <is>
          <t>Yellow cell</t>
        </is>
      </c>
      <c r="C22" s="7" t="inlineStr">
        <is>
          <t>Your answer goes here.</t>
        </is>
      </c>
    </row>
    <row r="23" ht="18" customHeight="1">
      <c r="B23" s="10" t="inlineStr">
        <is>
          <t>Gray cell</t>
        </is>
      </c>
      <c r="C23" s="7" t="inlineStr">
        <is>
          <t>Pre-filled summary formula. It reads the work you did on another sheet, so don't type over it.</t>
        </is>
      </c>
    </row>
    <row r="24" ht="18" customHeight="1">
      <c r="B24" s="11" t="inlineStr">
        <is>
          <t>✔ Correct</t>
        </is>
      </c>
      <c r="C24" s="7" t="inlineStr">
        <is>
          <t>Your answer matches the key.</t>
        </is>
      </c>
    </row>
    <row r="25" ht="18" customHeight="1">
      <c r="B25" s="12" t="inlineStr">
        <is>
          <t>✘ Not yet</t>
        </is>
      </c>
      <c r="C25" s="7" t="inlineStr">
        <is>
          <t>Not matching yet. Check the hint and try again.</t>
        </is>
      </c>
    </row>
    <row r="27">
      <c r="B27" s="4" t="inlineStr">
        <is>
          <t>Sheets in this workbook</t>
        </is>
      </c>
      <c r="C27" s="5" t="n"/>
    </row>
    <row r="28" ht="18" customHeight="1">
      <c r="B28" s="8" t="inlineStr">
        <is>
          <t>Supplies</t>
        </is>
      </c>
      <c r="C28" s="7" t="inlineStr">
        <is>
          <t>Data: 14 rows, in the Excel Table 'tblSupplies'</t>
        </is>
      </c>
    </row>
    <row r="29" ht="18" customHeight="1">
      <c r="B29" s="8" t="inlineStr">
        <is>
          <t>Admissions</t>
        </is>
      </c>
      <c r="C29" s="7" t="inlineStr">
        <is>
          <t>Data: 24 rows, in the Excel Table 'tblAdmissions'</t>
        </is>
      </c>
    </row>
    <row r="30" ht="48" customHeight="1">
      <c r="B30" s="8" t="inlineStr">
        <is>
          <t>About the data</t>
        </is>
      </c>
      <c r="C30" s="7" t="inlineStr">
        <is>
          <t>A December 2025 rotating-RN schedule for Medical-Surgical 4 West, a registration record, a Q15 observation form, 4 West's bed list, supply room, and December admissions, plus a January 2026 clinic template for the bonus.</t>
        </is>
      </c>
    </row>
    <row r="31" ht="18" customHeight="1">
      <c r="B31" s="8" t="inlineStr">
        <is>
          <t>Disclaimer</t>
        </is>
      </c>
      <c r="C31"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1.2 · Practice</t>
        </is>
      </c>
    </row>
    <row r="2" ht="49" customHeight="1">
      <c r="A2" s="14" t="inlineStr">
        <is>
          <t>Most tasks are done on the other sheets (Entries, Schedule, Beds, Q15 Log, Admissions, Supplies, Order, Roster). Type in the yellow cells here. A gray cell is a pre-filled formula that reads your work on another sheet, and its Check turns green when that work is right. Do the tasks in order, because the Schedule tasks build on each other.</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66" customHeight="1">
      <c r="A6" s="18" t="inlineStr">
        <is>
          <t>1</t>
        </is>
      </c>
      <c r="B6" s="19" t="inlineStr">
        <is>
          <t>On the Entries sheet, select the Entry column (B4:B15). How many of those 12 entries did Excel store as numbers? Dates and times count as numbers. Read the status bar (right-click it to turn on Numerical Count) or use the alignment clue.</t>
        </is>
      </c>
      <c r="C6" s="20" t="inlineStr">
        <is>
          <t>By default, numbers line up on the right of a cell and text on the left</t>
        </is>
      </c>
      <c r="D6" s="21" t="n"/>
      <c r="E6" s="22">
        <f>IF(IFERROR(D6="",FALSE),"",IF(IFERROR(AND(ISNUMBER(D6),OR(ABS(D6-'Answer Key'!$C$5)&lt;=0.0001)),FALSE),"✔ Correct","✘ Not yet"))</f>
        <v/>
      </c>
    </row>
    <row r="7" ht="51" customHeight="1">
      <c r="A7" s="18" t="inlineStr">
        <is>
          <t>2</t>
        </is>
      </c>
      <c r="B7" s="19" t="inlineStr">
        <is>
          <t>Entries!B7 shows the ED arrival as a date and time. What number does Excel actually store in that cell? Switch the cell to General format to see it, then type that number in the yellow cell, rounded to 2 decimal places.</t>
        </is>
      </c>
      <c r="C7" s="20" t="inlineStr">
        <is>
          <t>The whole part counts days and the decimal part is the time of day</t>
        </is>
      </c>
      <c r="D7" s="23" t="n"/>
      <c r="E7" s="22">
        <f>IF(IFERROR(D7="",FALSE),"",IF(IFERROR(AND(ISNUMBER(D7),OR(ABS(D7-'Answer Key'!$C$6)&lt;=0.0051)),FALSE),"✔ Correct","✘ Not yet"))</f>
        <v/>
      </c>
    </row>
    <row r="8" ht="51" customHeight="1">
      <c r="A8" s="18" t="inlineStr">
        <is>
          <t>3</t>
        </is>
      </c>
      <c r="B8" s="19" t="inlineStr">
        <is>
          <t>The MRN on the Entries sheet lost its leading zeros. In the yellow cell, enter the patient's real 8-digit MRN, 00393694, so that Excel keeps it as text with both zeros.</t>
        </is>
      </c>
      <c r="C8" s="20" t="inlineStr">
        <is>
          <t>Start the entry with an apostrophe</t>
        </is>
      </c>
      <c r="D8" s="24" t="n"/>
      <c r="E8" s="22">
        <f>IF(IFERROR(D8="",FALSE),"",IF(IFERROR(OR(LOWER(TRIM(D8&amp;""))=LOWER(TRIM('Answer Key'!$C$7&amp;""))),FALSE),"✔ Correct","✘ Not yet"))</f>
        <v/>
      </c>
    </row>
    <row r="9" ht="51" customHeight="1">
      <c r="A9" s="18" t="inlineStr">
        <is>
          <t>4</t>
        </is>
      </c>
      <c r="B9" s="19" t="inlineStr">
        <is>
          <t>Type this two-line handoff note into the yellow cell, with "Allergy: Penicillin" on the first line and "Isolation: Contact" on the second line of the same cell.</t>
        </is>
      </c>
      <c r="C9" s="20" t="inlineStr">
        <is>
          <t>Enter on its own leaves the cell, so you need a different key combination</t>
        </is>
      </c>
      <c r="D9" s="21" t="n"/>
      <c r="E9" s="22">
        <f>IF(IFERROR(D9="",FALSE),"",IF(IFERROR(SUBSTITUTE(LOWER(D9&amp;"")," ","")=SUBSTITUTE(LOWER('Answer Key'!$C$8&amp;"")," ",""),FALSE),"✔ Correct","✘ Not yet"))</f>
        <v/>
      </c>
    </row>
    <row r="10" ht="51" customHeight="1">
      <c r="A10" s="18" t="inlineStr">
        <is>
          <t>5</t>
        </is>
      </c>
      <c r="B10" s="19" t="inlineStr">
        <is>
          <t>On the Schedule sheet, A5 holds 12/01/2025. Use the fill handle to fill the yellow cells A6:A35 with the rest of December, one day per row. The gray cell shows your last date.</t>
        </is>
      </c>
      <c r="C10" s="20" t="inlineStr">
        <is>
          <t>Drag the fill handle. A single date counts up one day at a time</t>
        </is>
      </c>
      <c r="D10" cm="1" s="25">
        <f t="array" ref="D10">IF(COUNT(Schedule!A6:A35)=0,"",Schedule!A35)</f>
        <v/>
      </c>
      <c r="E10" s="22">
        <f>IF(IFERROR(D10="",FALSE),"",IF(IFERROR(AND(ISNUMBER(D10),INT(D10)=INT('Answer Key'!$C$9)),FALSE),"✔ Correct","✘ Not yet"))</f>
        <v/>
      </c>
    </row>
    <row r="11" ht="51" customHeight="1">
      <c r="A11" s="18" t="inlineStr">
        <is>
          <t>6</t>
        </is>
      </c>
      <c r="B11" s="19" t="inlineStr">
        <is>
          <t>On the Schedule sheet, B5 holds "Mon". Fill the weekday names down to B35 by double-clicking the fill handle instead of dragging. The gray cell shows the day name in B35.</t>
        </is>
      </c>
      <c r="C11" s="20" t="inlineStr">
        <is>
          <t>Finish task 5 first: double-click fills as far as the neighboring column goes</t>
        </is>
      </c>
      <c r="D11" cm="1" s="26">
        <f t="array" ref="D11">IF(COUNTA(Schedule!B6:B35)=0,"",Schedule!B35)</f>
        <v/>
      </c>
      <c r="E11" s="22">
        <f>IF(IFERROR(D11="",FALSE),"",IF(IFERROR(OR(LOWER(TRIM(D11&amp;""))=LOWER(TRIM('Answer Key'!$C$10&amp;"")),LOWER(TRIM(D11&amp;""))="wednesday"),FALSE),"✔ Correct","✘ Not yet"))</f>
        <v/>
      </c>
    </row>
    <row r="12" ht="51" customHeight="1">
      <c r="A12" s="18" t="inlineStr">
        <is>
          <t>7</t>
        </is>
      </c>
      <c r="B12" s="19" t="inlineStr">
        <is>
          <t>On the Beds sheet, A4 holds the first bed label, 4W-01. Fill the yellow cells below it so the list runs through all 36 of 4 West's staffed beds. The gray cell shows the label in the last row (A39).</t>
        </is>
      </c>
      <c r="C12" s="20" t="inlineStr">
        <is>
          <t>AutoFill increases the number at the end of a text entry</t>
        </is>
      </c>
      <c r="D12" cm="1" s="26">
        <f t="array" ref="D12">IF(COUNTA(Beds!A5:A39)=0,"",Beds!A39)</f>
        <v/>
      </c>
      <c r="E12" s="22">
        <f>IF(IFERROR(D12="",FALSE),"",IF(IFERROR(OR(LOWER(TRIM(D12&amp;""))=LOWER(TRIM('Answer Key'!$C$11&amp;""))),FALSE),"✔ Correct","✘ Not yet"))</f>
        <v/>
      </c>
    </row>
    <row r="13" ht="51" customHeight="1">
      <c r="A13" s="18" t="inlineStr">
        <is>
          <t>8</t>
        </is>
      </c>
      <c r="B13" s="19" t="inlineStr">
        <is>
          <t>On the Q15 Log sheet, A4 holds 07:00. Fill the yellow cells below it with a check time every 15 minutes, ending at 18:45. Use Home → Fill → Series, or the two-cell AutoFill pattern. The gray cell shows the latest time in column A.</t>
        </is>
      </c>
      <c r="C13" s="20" t="inlineStr">
        <is>
          <t>Step value 0:15, with the Stop value a few minutes past the last time</t>
        </is>
      </c>
      <c r="D13" cm="1" s="27">
        <f t="array" ref="D13">IF(COUNT('Q15 Log'!A5:A71)=0,"",MAX('Q15 Log'!A4:A71))</f>
        <v/>
      </c>
      <c r="E13" s="22">
        <f>IF(IFERROR(D13="",FALSE),"",IF(IFERROR(AND(ISNUMBER(D13),ABS(D13-'Answer Key'!$C$12)&lt;=0.0006944454444444445),FALSE),"✔ Correct","✘ Not yet"))</f>
        <v/>
      </c>
    </row>
    <row r="14" ht="81" customHeight="1">
      <c r="A14" s="18" t="inlineStr">
        <is>
          <t>9</t>
        </is>
      </c>
      <c r="B14" s="19" t="inlineStr">
        <is>
          <t>4 West gets one float-pool RN on every Saturday and Sunday. In the Weekend float column (O) of the Schedule sheet, put FLOAT in every weekend row and nowhere else, using a single entry: Ctrl+click (Mac: ⌘+click) the weekend cells, type FLOAT, and press Ctrl+Enter (Mac: ⌘+Return). The gray cell counts correctly placed FLOATs minus any entries on weekdays.</t>
        </is>
      </c>
      <c r="C14" s="20" t="inlineStr">
        <is>
          <t>Finish tasks 5–6 first so you can see which rows are weekends</t>
        </is>
      </c>
      <c r="D14" cm="1" s="28">
        <f t="array" ref="D14">IF(COUNTA(Schedule!O5:O35)=0,"",SUMPRODUCT((Schedule!O5:O35="FLOAT")*(Schedule!A5:A35&lt;&gt;"")*(WEEKDAY(Schedule!A5:A35,2)&gt;5))-SUMPRODUCT((Schedule!O5:O35&lt;&gt;"")*(1-(Schedule!A5:A35&lt;&gt;"")*(WEEKDAY(Schedule!A5:A35,2)&gt;5))))</f>
        <v/>
      </c>
      <c r="E14" s="22">
        <f>IF(IFERROR(D14="",FALSE),"",IF(IFERROR(AND(ISNUMBER(D14),OR(ABS(D14-'Answer Key'!$C$13)&lt;=0.0001)),FALSE),"✔ Correct","✘ Not yet"))</f>
        <v/>
      </c>
    </row>
    <row r="15" ht="66" customHeight="1">
      <c r="A15" s="18" t="inlineStr">
        <is>
          <t>10</t>
        </is>
      </c>
      <c r="B15" s="19" t="inlineStr">
        <is>
          <t>On the Admissions sheet, use Flash Fill to fill the yellow WhiteboardName column with each patient's first name and last initial, such as "Russell Y." for "Yilmaz, Russell". The gray cell counts how many of the 24 labels are exactly right.</t>
        </is>
      </c>
      <c r="C15" s="20" t="inlineStr">
        <is>
          <t>Type an example that can only mean one thing, then press Ctrl + E (Mac: Data → Flash Fill)</t>
        </is>
      </c>
      <c r="D15" cm="1" s="28">
        <f t="array" ref="D15">IF(COUNTA(Admissions!D2:D25)=0,"",SUMPRODUCT(--(Admissions!D2:D25=MID(Admissions!C2:C25,FIND(",",Admissions!C2:C25)+2,50)&amp;" "&amp;LEFT(Admissions!C2:C25,1)&amp;".")))</f>
        <v/>
      </c>
      <c r="E15" s="22">
        <f>IF(IFERROR(D15="",FALSE),"",IF(IFERROR(AND(ISNUMBER(D15),OR(ABS(D15-'Answer Key'!$C$14)&lt;=0.0001)),FALSE),"✔ Correct","✘ Not yet"))</f>
        <v/>
      </c>
    </row>
    <row r="16" ht="51" customHeight="1">
      <c r="A16" s="18" t="inlineStr">
        <is>
          <t>11</t>
        </is>
      </c>
      <c r="B16" s="19" t="inlineStr">
        <is>
          <t>The buyer needs 4 West's suggested restock quantities on the Order sheet as plain numbers. Copy Supplies!H4:H17 (SuggestedOrder) and paste only the values into the yellow cells Order!D4:D17. The gray cell totals your Order Qty column.</t>
        </is>
      </c>
      <c r="C16" s="20" t="inlineStr">
        <is>
          <t>A normal paste brings the formulas, and their references move</t>
        </is>
      </c>
      <c r="D16" cm="1" s="28">
        <f t="array" ref="D16">IF(COUNTA(Order!D4:D17)=0,"",SUM(Order!D4:D17))</f>
        <v/>
      </c>
      <c r="E16" s="22">
        <f>IF(IFERROR(D16="",FALSE),"",IF(IFERROR(AND(ISNUMBER(D16),OR(ABS(D16-'Answer Key'!$C$15)&lt;=0.0001)),FALSE),"✔ Correct","✘ Not yet"))</f>
        <v/>
      </c>
    </row>
    <row r="17" ht="66" customHeight="1">
      <c r="A17" s="18" t="inlineStr">
        <is>
          <t>12</t>
        </is>
      </c>
      <c r="B17" s="19" t="inlineStr">
        <is>
          <t>Most people read schedules with staff down the side and dates across the top. Copy Schedule!A4:N35 and use Paste Special → Transpose with the top-left corner in Roster!A3. The gray cell checks that Jean Herrera landed in column A, then counts that nurse's December shifts.</t>
        </is>
      </c>
      <c r="C17" s="20" t="inlineStr">
        <is>
          <t>It's a checkbox in the Paste Special dialog</t>
        </is>
      </c>
      <c r="D17" cm="1" s="28">
        <f t="array" ref="D17">IF(COUNTA(Roster!A3:AH21)=0,"",IF(Roster!A11="Jean Herrera",COUNTA(Roster!B11:AF11),"Not transposed into A3 yet"))</f>
        <v/>
      </c>
      <c r="E17" s="22">
        <f>IF(IFERROR(D17="",FALSE),"",IF(IFERROR(AND(ISNUMBER(D17),OR(ABS(D17-'Answer Key'!$C$16)&lt;=0.0001)),FALSE),"✔ Correct","✘ Not yet"))</f>
        <v/>
      </c>
    </row>
    <row r="18" ht="66" customHeight="1">
      <c r="A18" s="18" t="inlineStr">
        <is>
          <t>13</t>
        </is>
      </c>
      <c r="B18" s="19" t="inlineStr">
        <is>
          <t>The new scheduling system uses N12 instead of N for a 12-hour night shift. On the Schedule sheet, use Find &amp; Replace to change every N code to N12 without touching any names or day labels. The gray cell counts N12 codes in the grid (C5:N35) and warns you if a name or day label changed too.</t>
        </is>
      </c>
      <c r="C18" s="20" t="inlineStr">
        <is>
          <t>Look under Options &gt;&gt; before you click Replace All</t>
        </is>
      </c>
      <c r="D18" cm="1" s="28">
        <f t="array" ref="D18">IF(COUNTIF(Schedule!C5:N35,"N12")=0,"",IF(COUNTIF(Schedule!A4:O4,"*N12*")+COUNTIF(Schedule!B5:B35,"*N12*")&gt;0,"Undo: names or days changed too",COUNTIF(Schedule!C5:N35,"N12")))</f>
        <v/>
      </c>
      <c r="E18" s="22">
        <f>IF(IFERROR(D18="",FALSE),"",IF(IFERROR(AND(ISNUMBER(D18),OR(ABS(D18-'Answer Key'!$C$17)&lt;=0.0001)),FALSE),"✔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2E75B6"/>
    <outlinePr summaryBelow="1" summaryRight="1"/>
    <pageSetUpPr/>
  </sheetPr>
  <dimension ref="A1:C15"/>
  <sheetViews>
    <sheetView tabSelected="0" workbookViewId="0">
      <pane ySplit="3" topLeftCell="A4" activePane="bottomLeft" state="frozen"/>
      <selection pane="bottomLeft" activeCell="A1" sqref="A1"/>
    </sheetView>
  </sheetViews>
  <sheetFormatPr baseColWidth="8" defaultRowHeight="15"/>
  <cols>
    <col width="24" customWidth="1" min="1" max="1"/>
    <col width="20" customWidth="1" min="2" max="2"/>
    <col width="48" customWidth="1" min="3" max="3"/>
  </cols>
  <sheetData>
    <row r="1">
      <c r="A1" s="29" t="inlineStr">
        <is>
          <t>Registration entries · Kennedy, Linda · ED visit 12/14/2025</t>
        </is>
      </c>
    </row>
    <row r="2">
      <c r="A2" s="30" t="inlineStr">
        <is>
          <t>A registration clerk entered these values. Column C says exactly what was typed. Compare it with what Excel stored in column B.</t>
        </is>
      </c>
    </row>
    <row r="3">
      <c r="A3" s="31" t="inlineStr">
        <is>
          <t>Field</t>
        </is>
      </c>
      <c r="B3" s="31" t="inlineStr">
        <is>
          <t>Entry</t>
        </is>
      </c>
      <c r="C3" s="31" t="inlineStr">
        <is>
          <t>What the clerk typed or did</t>
        </is>
      </c>
    </row>
    <row r="4">
      <c r="A4" s="32" t="inlineStr">
        <is>
          <t>Patient name</t>
        </is>
      </c>
      <c r="B4" s="32" t="inlineStr">
        <is>
          <t>Kennedy, Linda</t>
        </is>
      </c>
      <c r="C4" s="33" t="inlineStr">
        <is>
          <t>Typed it</t>
        </is>
      </c>
    </row>
    <row r="5">
      <c r="A5" s="32" t="inlineStr">
        <is>
          <t>MRN</t>
        </is>
      </c>
      <c r="B5" s="32" t="n">
        <v>393694</v>
      </c>
      <c r="C5" s="33" t="inlineStr">
        <is>
          <t>Typed 00393694</t>
        </is>
      </c>
    </row>
    <row r="6">
      <c r="A6" s="32" t="inlineStr">
        <is>
          <t>Date of birth</t>
        </is>
      </c>
      <c r="B6" s="34" t="n">
        <v>26134</v>
      </c>
      <c r="C6" s="33" t="inlineStr">
        <is>
          <t>Typed 7/20/1971</t>
        </is>
      </c>
    </row>
    <row r="7">
      <c r="A7" s="32" t="inlineStr">
        <is>
          <t>ED arrival</t>
        </is>
      </c>
      <c r="B7" s="35" t="n">
        <v>46005.96111111111</v>
      </c>
      <c r="C7" s="33" t="inlineStr">
        <is>
          <t>Typed 12/14/2025 23:04</t>
        </is>
      </c>
    </row>
    <row r="8">
      <c r="A8" s="32" t="inlineStr">
        <is>
          <t>ED pod-bed</t>
        </is>
      </c>
      <c r="B8" s="36" t="n">
        <v>45728</v>
      </c>
      <c r="C8" s="33" t="inlineStr">
        <is>
          <t>Typed 3-12 (pod 3, bed 12)</t>
        </is>
      </c>
    </row>
    <row r="9">
      <c r="A9" s="32" t="inlineStr">
        <is>
          <t>Temperature (°F)</t>
        </is>
      </c>
      <c r="B9" s="32" t="n">
        <v>97.7</v>
      </c>
      <c r="C9" s="33" t="inlineStr">
        <is>
          <t>Typed 97.7</t>
        </is>
      </c>
    </row>
    <row r="10">
      <c r="A10" s="32" t="inlineStr">
        <is>
          <t>Weight (lb)</t>
        </is>
      </c>
      <c r="B10" s="32" t="inlineStr">
        <is>
          <t>251.5</t>
        </is>
      </c>
      <c r="C10" s="33" t="inlineStr">
        <is>
          <t>Pasted from the bedside scale's export file</t>
        </is>
      </c>
    </row>
    <row r="11">
      <c r="A11" s="32" t="inlineStr">
        <is>
          <t>Isolation needed</t>
        </is>
      </c>
      <c r="B11" s="32" t="b">
        <v>1</v>
      </c>
      <c r="C11" s="33" t="inlineStr">
        <is>
          <t>Typed true</t>
        </is>
      </c>
    </row>
    <row r="12">
      <c r="A12" s="32" t="inlineStr">
        <is>
          <t>Allergies</t>
        </is>
      </c>
      <c r="B12" s="32" t="inlineStr">
        <is>
          <t>Penicillin</t>
        </is>
      </c>
      <c r="C12" s="33" t="inlineStr">
        <is>
          <t>Typed it</t>
        </is>
      </c>
    </row>
    <row r="13">
      <c r="A13" s="32" t="inlineStr">
        <is>
          <t>Insurance member ID</t>
        </is>
      </c>
      <c r="B13" s="32" t="n">
        <v>4410287366519080</v>
      </c>
      <c r="C13" s="33" t="inlineStr">
        <is>
          <t>Typed the 16-digit ID 4410287366519087</t>
        </is>
      </c>
    </row>
    <row r="14">
      <c r="A14" s="32" t="inlineStr">
        <is>
          <t>Copay</t>
        </is>
      </c>
      <c r="B14" s="37" t="n">
        <v>25</v>
      </c>
      <c r="C14" s="33" t="inlineStr">
        <is>
          <t>Typed $25</t>
        </is>
      </c>
    </row>
    <row r="15">
      <c r="A15" s="32" t="inlineStr">
        <is>
          <t>Pain score (0–10)</t>
        </is>
      </c>
      <c r="B15" s="32" t="n">
        <v>0</v>
      </c>
      <c r="C15" s="33" t="inlineStr">
        <is>
          <t>Typed it</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O35"/>
  <sheetViews>
    <sheetView tabSelected="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7"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29" t="inlineStr">
        <is>
          <t>4 West (Medical-Surgical) · Rotating RN schedule · December 2025</t>
        </is>
      </c>
    </row>
    <row r="2">
      <c r="A2" s="30" t="inlineStr">
        <is>
          <t>Codes: D = Day 12h (07:00–19:30) · N = Night 12h (19:00–07:30) · blank = off. Yellow cells are yours to fill.</t>
        </is>
      </c>
    </row>
    <row r="4" ht="32" customHeight="1">
      <c r="A4" s="38" t="inlineStr">
        <is>
          <t>Date</t>
        </is>
      </c>
      <c r="B4" s="38" t="inlineStr">
        <is>
          <t>Day</t>
        </is>
      </c>
      <c r="C4" s="38" t="inlineStr">
        <is>
          <t>Abigail Castro</t>
        </is>
      </c>
      <c r="D4" s="38" t="inlineStr">
        <is>
          <t>Randy Castro</t>
        </is>
      </c>
      <c r="E4" s="38" t="inlineStr">
        <is>
          <t>Mia Duncan</t>
        </is>
      </c>
      <c r="F4" s="38" t="inlineStr">
        <is>
          <t>Ashley Gordon</t>
        </is>
      </c>
      <c r="G4" s="38" t="inlineStr">
        <is>
          <t>Natalie Hayes</t>
        </is>
      </c>
      <c r="H4" s="38" t="inlineStr">
        <is>
          <t>Andrea Henry</t>
        </is>
      </c>
      <c r="I4" s="38" t="inlineStr">
        <is>
          <t>Jean Herrera</t>
        </is>
      </c>
      <c r="J4" s="38" t="inlineStr">
        <is>
          <t>Sarah Moore</t>
        </is>
      </c>
      <c r="K4" s="38" t="inlineStr">
        <is>
          <t>Frances Parker</t>
        </is>
      </c>
      <c r="L4" s="38" t="inlineStr">
        <is>
          <t>Jennifer Patterson</t>
        </is>
      </c>
      <c r="M4" s="38" t="inlineStr">
        <is>
          <t>Wei Payne</t>
        </is>
      </c>
      <c r="N4" s="38" t="inlineStr">
        <is>
          <t>Nicole Price</t>
        </is>
      </c>
      <c r="O4" s="38" t="inlineStr">
        <is>
          <t>Weekend float</t>
        </is>
      </c>
    </row>
    <row r="5">
      <c r="A5" s="34" t="n">
        <v>45992</v>
      </c>
      <c r="B5" s="32" t="inlineStr">
        <is>
          <t>Mon</t>
        </is>
      </c>
      <c r="C5" s="39" t="n"/>
      <c r="D5" s="39" t="n"/>
      <c r="E5" s="39" t="n"/>
      <c r="F5" s="39" t="n"/>
      <c r="G5" s="39" t="n"/>
      <c r="H5" s="39" t="inlineStr">
        <is>
          <t>N</t>
        </is>
      </c>
      <c r="I5" s="39" t="inlineStr">
        <is>
          <t>N</t>
        </is>
      </c>
      <c r="J5" s="39" t="n"/>
      <c r="K5" s="39" t="inlineStr">
        <is>
          <t>D</t>
        </is>
      </c>
      <c r="L5" s="39" t="n"/>
      <c r="M5" s="39" t="inlineStr">
        <is>
          <t>D</t>
        </is>
      </c>
      <c r="N5" s="39" t="inlineStr">
        <is>
          <t>D</t>
        </is>
      </c>
      <c r="O5" s="40" t="n"/>
    </row>
    <row r="6">
      <c r="A6" s="41" t="n"/>
      <c r="B6" s="40" t="n"/>
      <c r="C6" s="39" t="inlineStr">
        <is>
          <t>D</t>
        </is>
      </c>
      <c r="D6" s="39" t="inlineStr">
        <is>
          <t>N</t>
        </is>
      </c>
      <c r="E6" s="39" t="inlineStr">
        <is>
          <t>N</t>
        </is>
      </c>
      <c r="F6" s="39" t="inlineStr">
        <is>
          <t>N</t>
        </is>
      </c>
      <c r="G6" s="39" t="inlineStr">
        <is>
          <t>N</t>
        </is>
      </c>
      <c r="H6" s="39" t="inlineStr">
        <is>
          <t>N</t>
        </is>
      </c>
      <c r="I6" s="39" t="n"/>
      <c r="J6" s="39" t="n"/>
      <c r="K6" s="39" t="n"/>
      <c r="L6" s="39" t="inlineStr">
        <is>
          <t>D</t>
        </is>
      </c>
      <c r="M6" s="39" t="n"/>
      <c r="N6" s="39" t="inlineStr">
        <is>
          <t>D</t>
        </is>
      </c>
      <c r="O6" s="40" t="n"/>
    </row>
    <row r="7">
      <c r="A7" s="41" t="n"/>
      <c r="B7" s="40" t="n"/>
      <c r="C7" s="39" t="inlineStr">
        <is>
          <t>D</t>
        </is>
      </c>
      <c r="D7" s="39" t="n"/>
      <c r="E7" s="39" t="n"/>
      <c r="F7" s="39" t="n"/>
      <c r="G7" s="39" t="n"/>
      <c r="H7" s="39" t="n"/>
      <c r="I7" s="39" t="inlineStr">
        <is>
          <t>D</t>
        </is>
      </c>
      <c r="J7" s="39" t="n"/>
      <c r="K7" s="39" t="inlineStr">
        <is>
          <t>N</t>
        </is>
      </c>
      <c r="L7" s="39" t="n"/>
      <c r="M7" s="39" t="inlineStr">
        <is>
          <t>D</t>
        </is>
      </c>
      <c r="N7" s="39" t="n"/>
      <c r="O7" s="40" t="n"/>
    </row>
    <row r="8">
      <c r="A8" s="41" t="n"/>
      <c r="B8" s="40" t="n"/>
      <c r="C8" s="39" t="n"/>
      <c r="D8" s="39" t="inlineStr">
        <is>
          <t>N</t>
        </is>
      </c>
      <c r="E8" s="39" t="n"/>
      <c r="F8" s="39" t="inlineStr">
        <is>
          <t>D</t>
        </is>
      </c>
      <c r="G8" s="39" t="n"/>
      <c r="H8" s="39" t="n"/>
      <c r="I8" s="39" t="n"/>
      <c r="J8" s="39" t="n"/>
      <c r="K8" s="39" t="n"/>
      <c r="L8" s="39" t="n"/>
      <c r="M8" s="39" t="n"/>
      <c r="N8" s="39" t="inlineStr">
        <is>
          <t>N</t>
        </is>
      </c>
      <c r="O8" s="40" t="n"/>
    </row>
    <row r="9">
      <c r="A9" s="41" t="n"/>
      <c r="B9" s="40" t="n"/>
      <c r="C9" s="39" t="n"/>
      <c r="D9" s="39" t="n"/>
      <c r="E9" s="39" t="inlineStr">
        <is>
          <t>N</t>
        </is>
      </c>
      <c r="F9" s="39" t="n"/>
      <c r="G9" s="39" t="n"/>
      <c r="H9" s="39" t="n"/>
      <c r="I9" s="39" t="n"/>
      <c r="J9" s="39" t="n"/>
      <c r="K9" s="39" t="n"/>
      <c r="L9" s="39" t="inlineStr">
        <is>
          <t>D</t>
        </is>
      </c>
      <c r="M9" s="39" t="n"/>
      <c r="N9" s="39" t="n"/>
      <c r="O9" s="40" t="n"/>
    </row>
    <row r="10">
      <c r="A10" s="41" t="n"/>
      <c r="B10" s="40" t="n"/>
      <c r="C10" s="39" t="n"/>
      <c r="D10" s="39" t="inlineStr">
        <is>
          <t>N</t>
        </is>
      </c>
      <c r="E10" s="39" t="n"/>
      <c r="F10" s="39" t="n"/>
      <c r="G10" s="39" t="n"/>
      <c r="H10" s="39" t="n"/>
      <c r="I10" s="39" t="n"/>
      <c r="J10" s="39" t="n"/>
      <c r="K10" s="39" t="inlineStr">
        <is>
          <t>D</t>
        </is>
      </c>
      <c r="L10" s="39" t="n"/>
      <c r="M10" s="39" t="n"/>
      <c r="N10" s="39" t="n"/>
      <c r="O10" s="40" t="n"/>
    </row>
    <row r="11">
      <c r="A11" s="41" t="n"/>
      <c r="B11" s="40" t="n"/>
      <c r="C11" s="39" t="inlineStr">
        <is>
          <t>N</t>
        </is>
      </c>
      <c r="D11" s="39" t="n"/>
      <c r="E11" s="39" t="n"/>
      <c r="F11" s="39" t="inlineStr">
        <is>
          <t>D</t>
        </is>
      </c>
      <c r="G11" s="39" t="n"/>
      <c r="H11" s="39" t="n"/>
      <c r="I11" s="39" t="inlineStr">
        <is>
          <t>N</t>
        </is>
      </c>
      <c r="J11" s="39" t="n"/>
      <c r="K11" s="39" t="n"/>
      <c r="L11" s="39" t="inlineStr">
        <is>
          <t>N</t>
        </is>
      </c>
      <c r="M11" s="39" t="n"/>
      <c r="N11" s="39" t="n"/>
      <c r="O11" s="40" t="n"/>
    </row>
    <row r="12">
      <c r="A12" s="41" t="n"/>
      <c r="B12" s="40" t="n"/>
      <c r="C12" s="39" t="inlineStr">
        <is>
          <t>N</t>
        </is>
      </c>
      <c r="D12" s="39" t="n"/>
      <c r="E12" s="39" t="n"/>
      <c r="F12" s="39" t="inlineStr">
        <is>
          <t>N</t>
        </is>
      </c>
      <c r="G12" s="39" t="inlineStr">
        <is>
          <t>D</t>
        </is>
      </c>
      <c r="H12" s="39" t="n"/>
      <c r="I12" s="39" t="n"/>
      <c r="J12" s="39" t="n"/>
      <c r="K12" s="39" t="inlineStr">
        <is>
          <t>D</t>
        </is>
      </c>
      <c r="L12" s="39" t="n"/>
      <c r="M12" s="39" t="n"/>
      <c r="N12" s="39" t="n"/>
      <c r="O12" s="40" t="n"/>
    </row>
    <row r="13">
      <c r="A13" s="41" t="n"/>
      <c r="B13" s="40" t="n"/>
      <c r="C13" s="39" t="inlineStr">
        <is>
          <t>N</t>
        </is>
      </c>
      <c r="D13" s="39" t="inlineStr">
        <is>
          <t>D</t>
        </is>
      </c>
      <c r="E13" s="39" t="inlineStr">
        <is>
          <t>N</t>
        </is>
      </c>
      <c r="F13" s="39" t="n"/>
      <c r="G13" s="39" t="n"/>
      <c r="H13" s="39" t="inlineStr">
        <is>
          <t>D</t>
        </is>
      </c>
      <c r="I13" s="39" t="inlineStr">
        <is>
          <t>D</t>
        </is>
      </c>
      <c r="J13" s="39" t="n"/>
      <c r="K13" s="39" t="n"/>
      <c r="L13" s="39" t="n"/>
      <c r="M13" s="39" t="n"/>
      <c r="N13" s="39" t="inlineStr">
        <is>
          <t>N</t>
        </is>
      </c>
      <c r="O13" s="40" t="n"/>
    </row>
    <row r="14">
      <c r="A14" s="41" t="n"/>
      <c r="B14" s="40" t="n"/>
      <c r="C14" s="39" t="n"/>
      <c r="D14" s="39" t="n"/>
      <c r="E14" s="39" t="n"/>
      <c r="F14" s="39" t="n"/>
      <c r="G14" s="39" t="n"/>
      <c r="H14" s="39" t="n"/>
      <c r="I14" s="39" t="inlineStr">
        <is>
          <t>D</t>
        </is>
      </c>
      <c r="J14" s="39" t="n"/>
      <c r="K14" s="39" t="n"/>
      <c r="L14" s="39" t="inlineStr">
        <is>
          <t>N</t>
        </is>
      </c>
      <c r="M14" s="39" t="inlineStr">
        <is>
          <t>D</t>
        </is>
      </c>
      <c r="N14" s="39" t="inlineStr">
        <is>
          <t>D</t>
        </is>
      </c>
      <c r="O14" s="40" t="n"/>
    </row>
    <row r="15">
      <c r="A15" s="41" t="n"/>
      <c r="B15" s="40" t="n"/>
      <c r="C15" s="39" t="inlineStr">
        <is>
          <t>N</t>
        </is>
      </c>
      <c r="D15" s="39" t="n"/>
      <c r="E15" s="39" t="inlineStr">
        <is>
          <t>N</t>
        </is>
      </c>
      <c r="F15" s="39" t="n"/>
      <c r="G15" s="39" t="n"/>
      <c r="H15" s="39" t="n"/>
      <c r="I15" s="39" t="n"/>
      <c r="J15" s="39" t="n"/>
      <c r="K15" s="39" t="inlineStr">
        <is>
          <t>N</t>
        </is>
      </c>
      <c r="L15" s="39" t="inlineStr">
        <is>
          <t>N</t>
        </is>
      </c>
      <c r="M15" s="39" t="n"/>
      <c r="N15" s="39" t="n"/>
      <c r="O15" s="40" t="n"/>
    </row>
    <row r="16">
      <c r="A16" s="41" t="n"/>
      <c r="B16" s="40" t="n"/>
      <c r="C16" s="39" t="n"/>
      <c r="D16" s="39" t="inlineStr">
        <is>
          <t>D</t>
        </is>
      </c>
      <c r="E16" s="39" t="n"/>
      <c r="F16" s="39" t="n"/>
      <c r="G16" s="39" t="n"/>
      <c r="H16" s="39" t="n"/>
      <c r="I16" s="39" t="inlineStr">
        <is>
          <t>N</t>
        </is>
      </c>
      <c r="J16" s="39" t="n"/>
      <c r="K16" s="39" t="n"/>
      <c r="L16" s="39" t="n"/>
      <c r="M16" s="39" t="n"/>
      <c r="N16" s="39" t="inlineStr">
        <is>
          <t>D</t>
        </is>
      </c>
      <c r="O16" s="40" t="n"/>
    </row>
    <row r="17">
      <c r="A17" s="41" t="n"/>
      <c r="B17" s="40" t="n"/>
      <c r="C17" s="39" t="n"/>
      <c r="D17" s="39" t="inlineStr">
        <is>
          <t>D</t>
        </is>
      </c>
      <c r="E17" s="39" t="n"/>
      <c r="F17" s="39" t="inlineStr">
        <is>
          <t>N</t>
        </is>
      </c>
      <c r="G17" s="39" t="n"/>
      <c r="H17" s="39" t="inlineStr">
        <is>
          <t>N</t>
        </is>
      </c>
      <c r="I17" s="39" t="inlineStr">
        <is>
          <t>D</t>
        </is>
      </c>
      <c r="J17" s="39" t="n"/>
      <c r="K17" s="39" t="n"/>
      <c r="L17" s="39" t="inlineStr">
        <is>
          <t>D</t>
        </is>
      </c>
      <c r="M17" s="39" t="inlineStr">
        <is>
          <t>D</t>
        </is>
      </c>
      <c r="N17" s="39" t="n"/>
      <c r="O17" s="40" t="n"/>
    </row>
    <row r="18">
      <c r="A18" s="41" t="n"/>
      <c r="B18" s="40" t="n"/>
      <c r="C18" s="39" t="n"/>
      <c r="D18" s="39" t="n"/>
      <c r="E18" s="39" t="n"/>
      <c r="F18" s="39" t="inlineStr">
        <is>
          <t>N</t>
        </is>
      </c>
      <c r="G18" s="39" t="n"/>
      <c r="H18" s="39" t="inlineStr">
        <is>
          <t>D</t>
        </is>
      </c>
      <c r="I18" s="39" t="n"/>
      <c r="J18" s="39" t="n"/>
      <c r="K18" s="39" t="inlineStr">
        <is>
          <t>N</t>
        </is>
      </c>
      <c r="L18" s="39" t="n"/>
      <c r="M18" s="39" t="n"/>
      <c r="N18" s="39" t="n"/>
      <c r="O18" s="40" t="n"/>
    </row>
    <row r="19">
      <c r="A19" s="41" t="n"/>
      <c r="B19" s="40" t="n"/>
      <c r="C19" s="39" t="n"/>
      <c r="D19" s="39" t="n"/>
      <c r="E19" s="39" t="n"/>
      <c r="F19" s="39" t="inlineStr">
        <is>
          <t>D</t>
        </is>
      </c>
      <c r="G19" s="39" t="n"/>
      <c r="H19" s="39" t="n"/>
      <c r="I19" s="39" t="n"/>
      <c r="J19" s="39" t="n"/>
      <c r="K19" s="39" t="inlineStr">
        <is>
          <t>N</t>
        </is>
      </c>
      <c r="L19" s="39" t="n"/>
      <c r="M19" s="39" t="n"/>
      <c r="N19" s="39" t="n"/>
      <c r="O19" s="40" t="n"/>
    </row>
    <row r="20">
      <c r="A20" s="41" t="n"/>
      <c r="B20" s="40" t="n"/>
      <c r="C20" s="39" t="n"/>
      <c r="D20" s="39" t="inlineStr">
        <is>
          <t>N</t>
        </is>
      </c>
      <c r="E20" s="39" t="n"/>
      <c r="F20" s="39" t="n"/>
      <c r="G20" s="39" t="n"/>
      <c r="H20" s="39" t="n"/>
      <c r="I20" s="39" t="n"/>
      <c r="J20" s="39" t="n"/>
      <c r="K20" s="39" t="n"/>
      <c r="L20" s="39" t="inlineStr">
        <is>
          <t>D</t>
        </is>
      </c>
      <c r="M20" s="39" t="inlineStr">
        <is>
          <t>N</t>
        </is>
      </c>
      <c r="N20" s="39" t="inlineStr">
        <is>
          <t>D</t>
        </is>
      </c>
      <c r="O20" s="40" t="n"/>
    </row>
    <row r="21">
      <c r="A21" s="41" t="n"/>
      <c r="B21" s="40" t="n"/>
      <c r="C21" s="39" t="n"/>
      <c r="D21" s="39" t="n"/>
      <c r="E21" s="39" t="n"/>
      <c r="F21" s="39" t="n"/>
      <c r="G21" s="39" t="n"/>
      <c r="H21" s="39" t="inlineStr">
        <is>
          <t>N</t>
        </is>
      </c>
      <c r="I21" s="39" t="inlineStr">
        <is>
          <t>D</t>
        </is>
      </c>
      <c r="J21" s="39" t="n"/>
      <c r="K21" s="39" t="n"/>
      <c r="L21" s="39" t="n"/>
      <c r="M21" s="39" t="n"/>
      <c r="N21" s="39" t="n"/>
      <c r="O21" s="40" t="n"/>
    </row>
    <row r="22">
      <c r="A22" s="41" t="n"/>
      <c r="B22" s="40" t="n"/>
      <c r="C22" s="39" t="n"/>
      <c r="D22" s="39" t="n"/>
      <c r="E22" s="39" t="n"/>
      <c r="F22" s="39" t="n"/>
      <c r="G22" s="39" t="n"/>
      <c r="H22" s="39" t="n"/>
      <c r="I22" s="39" t="n"/>
      <c r="J22" s="39" t="n"/>
      <c r="K22" s="39" t="n"/>
      <c r="L22" s="39" t="inlineStr">
        <is>
          <t>D</t>
        </is>
      </c>
      <c r="M22" s="39" t="n"/>
      <c r="N22" s="39" t="n"/>
      <c r="O22" s="40" t="n"/>
    </row>
    <row r="23">
      <c r="A23" s="41" t="n"/>
      <c r="B23" s="40" t="n"/>
      <c r="C23" s="39" t="inlineStr">
        <is>
          <t>D</t>
        </is>
      </c>
      <c r="D23" s="39" t="n"/>
      <c r="E23" s="39" t="inlineStr">
        <is>
          <t>D</t>
        </is>
      </c>
      <c r="F23" s="39" t="inlineStr">
        <is>
          <t>N</t>
        </is>
      </c>
      <c r="G23" s="39" t="n"/>
      <c r="H23" s="39" t="inlineStr">
        <is>
          <t>D</t>
        </is>
      </c>
      <c r="I23" s="39" t="inlineStr">
        <is>
          <t>D</t>
        </is>
      </c>
      <c r="J23" s="39" t="n"/>
      <c r="K23" s="39" t="inlineStr">
        <is>
          <t>D</t>
        </is>
      </c>
      <c r="L23" s="39" t="inlineStr">
        <is>
          <t>D</t>
        </is>
      </c>
      <c r="M23" s="39" t="n"/>
      <c r="N23" s="39" t="inlineStr">
        <is>
          <t>N</t>
        </is>
      </c>
      <c r="O23" s="40" t="n"/>
    </row>
    <row r="24">
      <c r="A24" s="41" t="n"/>
      <c r="B24" s="40" t="n"/>
      <c r="C24" s="39" t="inlineStr">
        <is>
          <t>N</t>
        </is>
      </c>
      <c r="D24" s="39" t="inlineStr">
        <is>
          <t>N</t>
        </is>
      </c>
      <c r="E24" s="39" t="n"/>
      <c r="F24" s="39" t="inlineStr">
        <is>
          <t>D</t>
        </is>
      </c>
      <c r="G24" s="39" t="n"/>
      <c r="H24" s="39" t="n"/>
      <c r="I24" s="39" t="n"/>
      <c r="J24" s="39" t="n"/>
      <c r="K24" s="39" t="inlineStr">
        <is>
          <t>D</t>
        </is>
      </c>
      <c r="L24" s="39" t="n"/>
      <c r="M24" s="39" t="inlineStr">
        <is>
          <t>D</t>
        </is>
      </c>
      <c r="N24" s="39" t="inlineStr">
        <is>
          <t>D</t>
        </is>
      </c>
      <c r="O24" s="40" t="n"/>
    </row>
    <row r="25">
      <c r="A25" s="41" t="n"/>
      <c r="B25" s="40" t="n"/>
      <c r="C25" s="39" t="inlineStr">
        <is>
          <t>N</t>
        </is>
      </c>
      <c r="D25" s="39" t="inlineStr">
        <is>
          <t>N</t>
        </is>
      </c>
      <c r="E25" s="39" t="inlineStr">
        <is>
          <t>D</t>
        </is>
      </c>
      <c r="F25" s="39" t="n"/>
      <c r="G25" s="39" t="inlineStr">
        <is>
          <t>D</t>
        </is>
      </c>
      <c r="H25" s="39" t="n"/>
      <c r="I25" s="39" t="inlineStr">
        <is>
          <t>N</t>
        </is>
      </c>
      <c r="J25" s="39" t="n"/>
      <c r="K25" s="39" t="n"/>
      <c r="L25" s="39" t="n"/>
      <c r="M25" s="39" t="inlineStr">
        <is>
          <t>D</t>
        </is>
      </c>
      <c r="N25" s="39" t="n"/>
      <c r="O25" s="40" t="n"/>
    </row>
    <row r="26">
      <c r="A26" s="41" t="n"/>
      <c r="B26" s="40" t="n"/>
      <c r="C26" s="39" t="inlineStr">
        <is>
          <t>N</t>
        </is>
      </c>
      <c r="D26" s="39" t="n"/>
      <c r="E26" s="39" t="n"/>
      <c r="F26" s="39" t="inlineStr">
        <is>
          <t>N</t>
        </is>
      </c>
      <c r="G26" s="39" t="n"/>
      <c r="H26" s="39" t="inlineStr">
        <is>
          <t>D</t>
        </is>
      </c>
      <c r="I26" s="39" t="inlineStr">
        <is>
          <t>N</t>
        </is>
      </c>
      <c r="J26" s="39" t="n"/>
      <c r="K26" s="39" t="n"/>
      <c r="L26" s="39" t="inlineStr">
        <is>
          <t>N</t>
        </is>
      </c>
      <c r="M26" s="39" t="n"/>
      <c r="N26" s="39" t="inlineStr">
        <is>
          <t>D</t>
        </is>
      </c>
      <c r="O26" s="40" t="n"/>
    </row>
    <row r="27">
      <c r="A27" s="41" t="n"/>
      <c r="B27" s="40" t="n"/>
      <c r="C27" s="39" t="n"/>
      <c r="D27" s="39" t="n"/>
      <c r="E27" s="39" t="n"/>
      <c r="F27" s="39" t="n"/>
      <c r="G27" s="39" t="n"/>
      <c r="H27" s="39" t="n"/>
      <c r="I27" s="39" t="n"/>
      <c r="J27" s="39" t="n"/>
      <c r="K27" s="39" t="n"/>
      <c r="L27" s="39" t="inlineStr">
        <is>
          <t>N</t>
        </is>
      </c>
      <c r="M27" s="39" t="inlineStr">
        <is>
          <t>N</t>
        </is>
      </c>
      <c r="N27" s="39" t="inlineStr">
        <is>
          <t>N</t>
        </is>
      </c>
      <c r="O27" s="40" t="n"/>
    </row>
    <row r="28">
      <c r="A28" s="41" t="n"/>
      <c r="B28" s="40" t="n"/>
      <c r="C28" s="39" t="inlineStr">
        <is>
          <t>D</t>
        </is>
      </c>
      <c r="D28" s="39" t="inlineStr">
        <is>
          <t>D</t>
        </is>
      </c>
      <c r="E28" s="39" t="inlineStr">
        <is>
          <t>D</t>
        </is>
      </c>
      <c r="F28" s="39" t="n"/>
      <c r="G28" s="39" t="n"/>
      <c r="H28" s="39" t="n"/>
      <c r="I28" s="39" t="inlineStr">
        <is>
          <t>N</t>
        </is>
      </c>
      <c r="J28" s="39" t="n"/>
      <c r="K28" s="39" t="inlineStr">
        <is>
          <t>N</t>
        </is>
      </c>
      <c r="L28" s="39" t="inlineStr">
        <is>
          <t>D</t>
        </is>
      </c>
      <c r="M28" s="39" t="n"/>
      <c r="N28" s="39" t="n"/>
      <c r="O28" s="40" t="n"/>
    </row>
    <row r="29">
      <c r="A29" s="41" t="n"/>
      <c r="B29" s="40" t="n"/>
      <c r="C29" s="39" t="inlineStr">
        <is>
          <t>D</t>
        </is>
      </c>
      <c r="D29" s="39" t="inlineStr">
        <is>
          <t>N</t>
        </is>
      </c>
      <c r="E29" s="39" t="n"/>
      <c r="F29" s="39" t="n"/>
      <c r="G29" s="39" t="n"/>
      <c r="H29" s="39" t="inlineStr">
        <is>
          <t>N</t>
        </is>
      </c>
      <c r="I29" s="39" t="inlineStr">
        <is>
          <t>D</t>
        </is>
      </c>
      <c r="J29" s="39" t="n"/>
      <c r="K29" s="39" t="inlineStr">
        <is>
          <t>D</t>
        </is>
      </c>
      <c r="L29" s="39" t="inlineStr">
        <is>
          <t>D</t>
        </is>
      </c>
      <c r="M29" s="39" t="n"/>
      <c r="N29" s="39" t="n"/>
      <c r="O29" s="40" t="n"/>
    </row>
    <row r="30">
      <c r="A30" s="41" t="n"/>
      <c r="B30" s="40" t="n"/>
      <c r="C30" s="39" t="n"/>
      <c r="D30" s="39" t="n"/>
      <c r="E30" s="39" t="inlineStr">
        <is>
          <t>D</t>
        </is>
      </c>
      <c r="F30" s="39" t="inlineStr">
        <is>
          <t>D</t>
        </is>
      </c>
      <c r="G30" s="39" t="n"/>
      <c r="H30" s="39" t="n"/>
      <c r="I30" s="39" t="n"/>
      <c r="J30" s="39" t="n"/>
      <c r="K30" s="39" t="n"/>
      <c r="L30" s="39" t="n"/>
      <c r="M30" s="39" t="n"/>
      <c r="N30" s="39" t="n"/>
      <c r="O30" s="40" t="n"/>
    </row>
    <row r="31">
      <c r="A31" s="41" t="n"/>
      <c r="B31" s="40" t="n"/>
      <c r="C31" s="39" t="inlineStr">
        <is>
          <t>D</t>
        </is>
      </c>
      <c r="D31" s="39" t="n"/>
      <c r="E31" s="39" t="n"/>
      <c r="F31" s="39" t="inlineStr">
        <is>
          <t>D</t>
        </is>
      </c>
      <c r="G31" s="39" t="n"/>
      <c r="H31" s="39" t="n"/>
      <c r="I31" s="39" t="n"/>
      <c r="J31" s="39" t="inlineStr">
        <is>
          <t>N</t>
        </is>
      </c>
      <c r="K31" s="39" t="n"/>
      <c r="L31" s="39" t="n"/>
      <c r="M31" s="39" t="n"/>
      <c r="N31" s="39" t="inlineStr">
        <is>
          <t>D</t>
        </is>
      </c>
      <c r="O31" s="40" t="n"/>
    </row>
    <row r="32">
      <c r="A32" s="41" t="n"/>
      <c r="B32" s="40" t="n"/>
      <c r="C32" s="39" t="n"/>
      <c r="D32" s="39" t="inlineStr">
        <is>
          <t>D</t>
        </is>
      </c>
      <c r="E32" s="39" t="n"/>
      <c r="F32" s="39" t="n"/>
      <c r="G32" s="39" t="n"/>
      <c r="H32" s="39" t="n"/>
      <c r="I32" s="39" t="n"/>
      <c r="J32" s="39" t="inlineStr">
        <is>
          <t>N</t>
        </is>
      </c>
      <c r="K32" s="39" t="inlineStr">
        <is>
          <t>N</t>
        </is>
      </c>
      <c r="L32" s="39" t="n"/>
      <c r="M32" s="39" t="inlineStr">
        <is>
          <t>D</t>
        </is>
      </c>
      <c r="N32" s="39" t="n"/>
      <c r="O32" s="40" t="n"/>
    </row>
    <row r="33">
      <c r="A33" s="41" t="n"/>
      <c r="B33" s="40" t="n"/>
      <c r="C33" s="39" t="n"/>
      <c r="D33" s="39" t="n"/>
      <c r="E33" s="39" t="inlineStr">
        <is>
          <t>N</t>
        </is>
      </c>
      <c r="F33" s="39" t="inlineStr">
        <is>
          <t>N</t>
        </is>
      </c>
      <c r="G33" s="39" t="n"/>
      <c r="H33" s="39" t="n"/>
      <c r="I33" s="39" t="inlineStr">
        <is>
          <t>D</t>
        </is>
      </c>
      <c r="J33" s="39" t="n"/>
      <c r="K33" s="39" t="n"/>
      <c r="L33" s="39" t="inlineStr">
        <is>
          <t>N</t>
        </is>
      </c>
      <c r="M33" s="39" t="n"/>
      <c r="N33" s="39" t="inlineStr">
        <is>
          <t>N</t>
        </is>
      </c>
      <c r="O33" s="40" t="n"/>
    </row>
    <row r="34">
      <c r="A34" s="41" t="n"/>
      <c r="B34" s="40" t="n"/>
      <c r="C34" s="39" t="n"/>
      <c r="D34" s="39" t="n"/>
      <c r="E34" s="39" t="inlineStr">
        <is>
          <t>D</t>
        </is>
      </c>
      <c r="F34" s="39" t="n"/>
      <c r="G34" s="39" t="n"/>
      <c r="H34" s="39" t="inlineStr">
        <is>
          <t>D</t>
        </is>
      </c>
      <c r="I34" s="39" t="n"/>
      <c r="J34" s="39" t="n"/>
      <c r="K34" s="39" t="n"/>
      <c r="L34" s="39" t="n"/>
      <c r="M34" s="39" t="n"/>
      <c r="N34" s="39" t="inlineStr">
        <is>
          <t>N</t>
        </is>
      </c>
      <c r="O34" s="40" t="n"/>
    </row>
    <row r="35">
      <c r="A35" s="41" t="n"/>
      <c r="B35" s="40" t="n"/>
      <c r="C35" s="39" t="inlineStr">
        <is>
          <t>N</t>
        </is>
      </c>
      <c r="D35" s="39" t="n"/>
      <c r="E35" s="39" t="n"/>
      <c r="F35" s="39" t="inlineStr">
        <is>
          <t>D</t>
        </is>
      </c>
      <c r="G35" s="39" t="n"/>
      <c r="H35" s="39" t="n"/>
      <c r="I35" s="39" t="n"/>
      <c r="J35" s="39" t="n"/>
      <c r="K35" s="39" t="n"/>
      <c r="L35" s="39" t="inlineStr">
        <is>
          <t>D</t>
        </is>
      </c>
      <c r="M35" s="39" t="n"/>
      <c r="N35" s="39" t="inlineStr">
        <is>
          <t>D</t>
        </is>
      </c>
      <c r="O35" s="40" t="n"/>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C39"/>
  <sheetViews>
    <sheetView tabSelected="0" workbookViewId="0">
      <pane ySplit="3" topLeftCell="A4" activePane="bottomLeft" state="frozen"/>
      <selection pane="bottomLeft" activeCell="A1" sqref="A1"/>
    </sheetView>
  </sheetViews>
  <sheetFormatPr baseColWidth="8" defaultRowHeight="15"/>
  <cols>
    <col width="10" customWidth="1" min="1" max="1"/>
    <col width="8" customWidth="1" min="2" max="2"/>
    <col width="10" customWidth="1" min="3" max="3"/>
  </cols>
  <sheetData>
    <row r="1">
      <c r="A1" s="29" t="inlineStr">
        <is>
          <t>4 West · bed list (36 staffed beds, two per room)</t>
        </is>
      </c>
    </row>
    <row r="2">
      <c r="A2" s="30" t="inlineStr">
        <is>
          <t>Fill the yellow Bed column from 4W-01 down to the last bed.</t>
        </is>
      </c>
    </row>
    <row r="3">
      <c r="A3" s="31" t="inlineStr">
        <is>
          <t>Bed</t>
        </is>
      </c>
      <c r="B3" s="31" t="inlineStr">
        <is>
          <t>Room</t>
        </is>
      </c>
      <c r="C3" s="31" t="inlineStr">
        <is>
          <t>Position</t>
        </is>
      </c>
    </row>
    <row r="4">
      <c r="A4" s="32" t="inlineStr">
        <is>
          <t>4W-01</t>
        </is>
      </c>
      <c r="B4" s="42" t="n">
        <v>401</v>
      </c>
      <c r="C4" s="32" t="inlineStr">
        <is>
          <t>Window</t>
        </is>
      </c>
    </row>
    <row r="5">
      <c r="A5" s="40" t="n"/>
      <c r="B5" s="42" t="n">
        <v>401</v>
      </c>
      <c r="C5" s="32" t="inlineStr">
        <is>
          <t>Door</t>
        </is>
      </c>
    </row>
    <row r="6">
      <c r="A6" s="40" t="n"/>
      <c r="B6" s="42" t="n">
        <v>402</v>
      </c>
      <c r="C6" s="32" t="inlineStr">
        <is>
          <t>Window</t>
        </is>
      </c>
    </row>
    <row r="7">
      <c r="A7" s="40" t="n"/>
      <c r="B7" s="42" t="n">
        <v>402</v>
      </c>
      <c r="C7" s="32" t="inlineStr">
        <is>
          <t>Door</t>
        </is>
      </c>
    </row>
    <row r="8">
      <c r="A8" s="40" t="n"/>
      <c r="B8" s="42" t="n">
        <v>403</v>
      </c>
      <c r="C8" s="32" t="inlineStr">
        <is>
          <t>Window</t>
        </is>
      </c>
    </row>
    <row r="9">
      <c r="A9" s="40" t="n"/>
      <c r="B9" s="42" t="n">
        <v>403</v>
      </c>
      <c r="C9" s="32" t="inlineStr">
        <is>
          <t>Door</t>
        </is>
      </c>
    </row>
    <row r="10">
      <c r="A10" s="40" t="n"/>
      <c r="B10" s="42" t="n">
        <v>404</v>
      </c>
      <c r="C10" s="32" t="inlineStr">
        <is>
          <t>Window</t>
        </is>
      </c>
    </row>
    <row r="11">
      <c r="A11" s="40" t="n"/>
      <c r="B11" s="42" t="n">
        <v>404</v>
      </c>
      <c r="C11" s="32" t="inlineStr">
        <is>
          <t>Door</t>
        </is>
      </c>
    </row>
    <row r="12">
      <c r="A12" s="40" t="n"/>
      <c r="B12" s="42" t="n">
        <v>405</v>
      </c>
      <c r="C12" s="32" t="inlineStr">
        <is>
          <t>Window</t>
        </is>
      </c>
    </row>
    <row r="13">
      <c r="A13" s="40" t="n"/>
      <c r="B13" s="42" t="n">
        <v>405</v>
      </c>
      <c r="C13" s="32" t="inlineStr">
        <is>
          <t>Door</t>
        </is>
      </c>
    </row>
    <row r="14">
      <c r="A14" s="40" t="n"/>
      <c r="B14" s="42" t="n">
        <v>406</v>
      </c>
      <c r="C14" s="32" t="inlineStr">
        <is>
          <t>Window</t>
        </is>
      </c>
    </row>
    <row r="15">
      <c r="A15" s="40" t="n"/>
      <c r="B15" s="42" t="n">
        <v>406</v>
      </c>
      <c r="C15" s="32" t="inlineStr">
        <is>
          <t>Door</t>
        </is>
      </c>
    </row>
    <row r="16">
      <c r="A16" s="40" t="n"/>
      <c r="B16" s="42" t="n">
        <v>407</v>
      </c>
      <c r="C16" s="32" t="inlineStr">
        <is>
          <t>Window</t>
        </is>
      </c>
    </row>
    <row r="17">
      <c r="A17" s="40" t="n"/>
      <c r="B17" s="42" t="n">
        <v>407</v>
      </c>
      <c r="C17" s="32" t="inlineStr">
        <is>
          <t>Door</t>
        </is>
      </c>
    </row>
    <row r="18">
      <c r="A18" s="40" t="n"/>
      <c r="B18" s="42" t="n">
        <v>408</v>
      </c>
      <c r="C18" s="32" t="inlineStr">
        <is>
          <t>Window</t>
        </is>
      </c>
    </row>
    <row r="19">
      <c r="A19" s="40" t="n"/>
      <c r="B19" s="42" t="n">
        <v>408</v>
      </c>
      <c r="C19" s="32" t="inlineStr">
        <is>
          <t>Door</t>
        </is>
      </c>
    </row>
    <row r="20">
      <c r="A20" s="40" t="n"/>
      <c r="B20" s="42" t="n">
        <v>409</v>
      </c>
      <c r="C20" s="32" t="inlineStr">
        <is>
          <t>Window</t>
        </is>
      </c>
    </row>
    <row r="21">
      <c r="A21" s="40" t="n"/>
      <c r="B21" s="42" t="n">
        <v>409</v>
      </c>
      <c r="C21" s="32" t="inlineStr">
        <is>
          <t>Door</t>
        </is>
      </c>
    </row>
    <row r="22">
      <c r="A22" s="40" t="n"/>
      <c r="B22" s="42" t="n">
        <v>410</v>
      </c>
      <c r="C22" s="32" t="inlineStr">
        <is>
          <t>Window</t>
        </is>
      </c>
    </row>
    <row r="23">
      <c r="A23" s="40" t="n"/>
      <c r="B23" s="42" t="n">
        <v>410</v>
      </c>
      <c r="C23" s="32" t="inlineStr">
        <is>
          <t>Door</t>
        </is>
      </c>
    </row>
    <row r="24">
      <c r="A24" s="40" t="n"/>
      <c r="B24" s="42" t="n">
        <v>411</v>
      </c>
      <c r="C24" s="32" t="inlineStr">
        <is>
          <t>Window</t>
        </is>
      </c>
    </row>
    <row r="25">
      <c r="A25" s="40" t="n"/>
      <c r="B25" s="42" t="n">
        <v>411</v>
      </c>
      <c r="C25" s="32" t="inlineStr">
        <is>
          <t>Door</t>
        </is>
      </c>
    </row>
    <row r="26">
      <c r="A26" s="40" t="n"/>
      <c r="B26" s="42" t="n">
        <v>412</v>
      </c>
      <c r="C26" s="32" t="inlineStr">
        <is>
          <t>Window</t>
        </is>
      </c>
    </row>
    <row r="27">
      <c r="A27" s="40" t="n"/>
      <c r="B27" s="42" t="n">
        <v>412</v>
      </c>
      <c r="C27" s="32" t="inlineStr">
        <is>
          <t>Door</t>
        </is>
      </c>
    </row>
    <row r="28">
      <c r="A28" s="40" t="n"/>
      <c r="B28" s="42" t="n">
        <v>413</v>
      </c>
      <c r="C28" s="32" t="inlineStr">
        <is>
          <t>Window</t>
        </is>
      </c>
    </row>
    <row r="29">
      <c r="A29" s="40" t="n"/>
      <c r="B29" s="42" t="n">
        <v>413</v>
      </c>
      <c r="C29" s="32" t="inlineStr">
        <is>
          <t>Door</t>
        </is>
      </c>
    </row>
    <row r="30">
      <c r="A30" s="40" t="n"/>
      <c r="B30" s="42" t="n">
        <v>414</v>
      </c>
      <c r="C30" s="32" t="inlineStr">
        <is>
          <t>Window</t>
        </is>
      </c>
    </row>
    <row r="31">
      <c r="A31" s="40" t="n"/>
      <c r="B31" s="42" t="n">
        <v>414</v>
      </c>
      <c r="C31" s="32" t="inlineStr">
        <is>
          <t>Door</t>
        </is>
      </c>
    </row>
    <row r="32">
      <c r="A32" s="40" t="n"/>
      <c r="B32" s="42" t="n">
        <v>415</v>
      </c>
      <c r="C32" s="32" t="inlineStr">
        <is>
          <t>Window</t>
        </is>
      </c>
    </row>
    <row r="33">
      <c r="A33" s="40" t="n"/>
      <c r="B33" s="42" t="n">
        <v>415</v>
      </c>
      <c r="C33" s="32" t="inlineStr">
        <is>
          <t>Door</t>
        </is>
      </c>
    </row>
    <row r="34">
      <c r="A34" s="40" t="n"/>
      <c r="B34" s="42" t="n">
        <v>416</v>
      </c>
      <c r="C34" s="32" t="inlineStr">
        <is>
          <t>Window</t>
        </is>
      </c>
    </row>
    <row r="35">
      <c r="A35" s="40" t="n"/>
      <c r="B35" s="42" t="n">
        <v>416</v>
      </c>
      <c r="C35" s="32" t="inlineStr">
        <is>
          <t>Door</t>
        </is>
      </c>
    </row>
    <row r="36">
      <c r="A36" s="40" t="n"/>
      <c r="B36" s="42" t="n">
        <v>417</v>
      </c>
      <c r="C36" s="32" t="inlineStr">
        <is>
          <t>Window</t>
        </is>
      </c>
    </row>
    <row r="37">
      <c r="A37" s="40" t="n"/>
      <c r="B37" s="42" t="n">
        <v>417</v>
      </c>
      <c r="C37" s="32" t="inlineStr">
        <is>
          <t>Door</t>
        </is>
      </c>
    </row>
    <row r="38">
      <c r="A38" s="40" t="n"/>
      <c r="B38" s="42" t="n">
        <v>418</v>
      </c>
      <c r="C38" s="32" t="inlineStr">
        <is>
          <t>Window</t>
        </is>
      </c>
    </row>
    <row r="39">
      <c r="A39" s="40" t="n"/>
      <c r="B39" s="42" t="n">
        <v>418</v>
      </c>
      <c r="C39" s="32" t="inlineStr">
        <is>
          <t>Door</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D51"/>
  <sheetViews>
    <sheetView tabSelected="0" workbookViewId="0">
      <pane ySplit="3" topLeftCell="A4" activePane="bottomLeft" state="frozen"/>
      <selection pane="bottomLeft" activeCell="A1" sqref="A1"/>
    </sheetView>
  </sheetViews>
  <sheetFormatPr baseColWidth="8" defaultRowHeight="15"/>
  <cols>
    <col width="9" customWidth="1" min="1" max="1"/>
    <col width="18" customWidth="1" min="2" max="2"/>
    <col width="28" customWidth="1" min="3" max="3"/>
    <col width="14" customWidth="1" min="4" max="4"/>
  </cols>
  <sheetData>
    <row r="1">
      <c r="A1" s="29" t="inlineStr">
        <is>
          <t>Behavioral Health · Q15 safety observation record · 12/16/2025 day shift</t>
        </is>
      </c>
    </row>
    <row r="2">
      <c r="A2" s="30" t="inlineStr">
        <is>
          <t>Staff check on the patient every 15 minutes from 07:00 until 18:45 and record location, behavior, and initials.</t>
        </is>
      </c>
    </row>
    <row r="3">
      <c r="A3" s="31" t="inlineStr">
        <is>
          <t>Time</t>
        </is>
      </c>
      <c r="B3" s="31" t="inlineStr">
        <is>
          <t>Location</t>
        </is>
      </c>
      <c r="C3" s="31" t="inlineStr">
        <is>
          <t>Behavior</t>
        </is>
      </c>
      <c r="D3" s="31" t="inlineStr">
        <is>
          <t>Staff initials</t>
        </is>
      </c>
    </row>
    <row r="4">
      <c r="A4" s="43" t="n">
        <v>0.2916666666666667</v>
      </c>
      <c r="B4" s="32" t="n"/>
      <c r="C4" s="32" t="n"/>
      <c r="D4" s="32" t="n"/>
    </row>
    <row r="5">
      <c r="A5" s="44" t="n"/>
      <c r="B5" s="32" t="n"/>
      <c r="C5" s="32" t="n"/>
      <c r="D5" s="32" t="n"/>
    </row>
    <row r="6">
      <c r="A6" s="44" t="n"/>
      <c r="B6" s="32" t="n"/>
      <c r="C6" s="32" t="n"/>
      <c r="D6" s="32" t="n"/>
    </row>
    <row r="7">
      <c r="A7" s="44" t="n"/>
      <c r="B7" s="32" t="n"/>
      <c r="C7" s="32" t="n"/>
      <c r="D7" s="32" t="n"/>
    </row>
    <row r="8">
      <c r="A8" s="44" t="n"/>
      <c r="B8" s="32" t="n"/>
      <c r="C8" s="32" t="n"/>
      <c r="D8" s="32" t="n"/>
    </row>
    <row r="9">
      <c r="A9" s="44" t="n"/>
      <c r="B9" s="32" t="n"/>
      <c r="C9" s="32" t="n"/>
      <c r="D9" s="32" t="n"/>
    </row>
    <row r="10">
      <c r="A10" s="44" t="n"/>
      <c r="B10" s="32" t="n"/>
      <c r="C10" s="32" t="n"/>
      <c r="D10" s="32" t="n"/>
    </row>
    <row r="11">
      <c r="A11" s="44" t="n"/>
      <c r="B11" s="32" t="n"/>
      <c r="C11" s="32" t="n"/>
      <c r="D11" s="32" t="n"/>
    </row>
    <row r="12">
      <c r="A12" s="44" t="n"/>
      <c r="B12" s="32" t="n"/>
      <c r="C12" s="32" t="n"/>
      <c r="D12" s="32" t="n"/>
    </row>
    <row r="13">
      <c r="A13" s="44" t="n"/>
      <c r="B13" s="32" t="n"/>
      <c r="C13" s="32" t="n"/>
      <c r="D13" s="32" t="n"/>
    </row>
    <row r="14">
      <c r="A14" s="44" t="n"/>
      <c r="B14" s="32" t="n"/>
      <c r="C14" s="32" t="n"/>
      <c r="D14" s="32" t="n"/>
    </row>
    <row r="15">
      <c r="A15" s="44" t="n"/>
      <c r="B15" s="32" t="n"/>
      <c r="C15" s="32" t="n"/>
      <c r="D15" s="32" t="n"/>
    </row>
    <row r="16">
      <c r="A16" s="44" t="n"/>
      <c r="B16" s="32" t="n"/>
      <c r="C16" s="32" t="n"/>
      <c r="D16" s="32" t="n"/>
    </row>
    <row r="17">
      <c r="A17" s="44" t="n"/>
      <c r="B17" s="32" t="n"/>
      <c r="C17" s="32" t="n"/>
      <c r="D17" s="32" t="n"/>
    </row>
    <row r="18">
      <c r="A18" s="44" t="n"/>
      <c r="B18" s="32" t="n"/>
      <c r="C18" s="32" t="n"/>
      <c r="D18" s="32" t="n"/>
    </row>
    <row r="19">
      <c r="A19" s="44" t="n"/>
      <c r="B19" s="32" t="n"/>
      <c r="C19" s="32" t="n"/>
      <c r="D19" s="32" t="n"/>
    </row>
    <row r="20">
      <c r="A20" s="44" t="n"/>
      <c r="B20" s="32" t="n"/>
      <c r="C20" s="32" t="n"/>
      <c r="D20" s="32" t="n"/>
    </row>
    <row r="21">
      <c r="A21" s="44" t="n"/>
      <c r="B21" s="32" t="n"/>
      <c r="C21" s="32" t="n"/>
      <c r="D21" s="32" t="n"/>
    </row>
    <row r="22">
      <c r="A22" s="44" t="n"/>
      <c r="B22" s="32" t="n"/>
      <c r="C22" s="32" t="n"/>
      <c r="D22" s="32" t="n"/>
    </row>
    <row r="23">
      <c r="A23" s="44" t="n"/>
      <c r="B23" s="32" t="n"/>
      <c r="C23" s="32" t="n"/>
      <c r="D23" s="32" t="n"/>
    </row>
    <row r="24">
      <c r="A24" s="44" t="n"/>
      <c r="B24" s="32" t="n"/>
      <c r="C24" s="32" t="n"/>
      <c r="D24" s="32" t="n"/>
    </row>
    <row r="25">
      <c r="A25" s="44" t="n"/>
      <c r="B25" s="32" t="n"/>
      <c r="C25" s="32" t="n"/>
      <c r="D25" s="32" t="n"/>
    </row>
    <row r="26">
      <c r="A26" s="44" t="n"/>
      <c r="B26" s="32" t="n"/>
      <c r="C26" s="32" t="n"/>
      <c r="D26" s="32" t="n"/>
    </row>
    <row r="27">
      <c r="A27" s="44" t="n"/>
      <c r="B27" s="32" t="n"/>
      <c r="C27" s="32" t="n"/>
      <c r="D27" s="32" t="n"/>
    </row>
    <row r="28">
      <c r="A28" s="44" t="n"/>
      <c r="B28" s="32" t="n"/>
      <c r="C28" s="32" t="n"/>
      <c r="D28" s="32" t="n"/>
    </row>
    <row r="29">
      <c r="A29" s="44" t="n"/>
      <c r="B29" s="32" t="n"/>
      <c r="C29" s="32" t="n"/>
      <c r="D29" s="32" t="n"/>
    </row>
    <row r="30">
      <c r="A30" s="44" t="n"/>
      <c r="B30" s="32" t="n"/>
      <c r="C30" s="32" t="n"/>
      <c r="D30" s="32" t="n"/>
    </row>
    <row r="31">
      <c r="A31" s="44" t="n"/>
      <c r="B31" s="32" t="n"/>
      <c r="C31" s="32" t="n"/>
      <c r="D31" s="32" t="n"/>
    </row>
    <row r="32">
      <c r="A32" s="44" t="n"/>
      <c r="B32" s="32" t="n"/>
      <c r="C32" s="32" t="n"/>
      <c r="D32" s="32" t="n"/>
    </row>
    <row r="33">
      <c r="A33" s="44" t="n"/>
      <c r="B33" s="32" t="n"/>
      <c r="C33" s="32" t="n"/>
      <c r="D33" s="32" t="n"/>
    </row>
    <row r="34">
      <c r="A34" s="44" t="n"/>
      <c r="B34" s="32" t="n"/>
      <c r="C34" s="32" t="n"/>
      <c r="D34" s="32" t="n"/>
    </row>
    <row r="35">
      <c r="A35" s="44" t="n"/>
      <c r="B35" s="32" t="n"/>
      <c r="C35" s="32" t="n"/>
      <c r="D35" s="32" t="n"/>
    </row>
    <row r="36">
      <c r="A36" s="44" t="n"/>
      <c r="B36" s="32" t="n"/>
      <c r="C36" s="32" t="n"/>
      <c r="D36" s="32" t="n"/>
    </row>
    <row r="37">
      <c r="A37" s="44" t="n"/>
      <c r="B37" s="32" t="n"/>
      <c r="C37" s="32" t="n"/>
      <c r="D37" s="32" t="n"/>
    </row>
    <row r="38">
      <c r="A38" s="44" t="n"/>
      <c r="B38" s="32" t="n"/>
      <c r="C38" s="32" t="n"/>
      <c r="D38" s="32" t="n"/>
    </row>
    <row r="39">
      <c r="A39" s="44" t="n"/>
      <c r="B39" s="32" t="n"/>
      <c r="C39" s="32" t="n"/>
      <c r="D39" s="32" t="n"/>
    </row>
    <row r="40">
      <c r="A40" s="44" t="n"/>
      <c r="B40" s="32" t="n"/>
      <c r="C40" s="32" t="n"/>
      <c r="D40" s="32" t="n"/>
    </row>
    <row r="41">
      <c r="A41" s="44" t="n"/>
      <c r="B41" s="32" t="n"/>
      <c r="C41" s="32" t="n"/>
      <c r="D41" s="32" t="n"/>
    </row>
    <row r="42">
      <c r="A42" s="44" t="n"/>
      <c r="B42" s="32" t="n"/>
      <c r="C42" s="32" t="n"/>
      <c r="D42" s="32" t="n"/>
    </row>
    <row r="43">
      <c r="A43" s="44" t="n"/>
      <c r="B43" s="32" t="n"/>
      <c r="C43" s="32" t="n"/>
      <c r="D43" s="32" t="n"/>
    </row>
    <row r="44">
      <c r="A44" s="44" t="n"/>
      <c r="B44" s="32" t="n"/>
      <c r="C44" s="32" t="n"/>
      <c r="D44" s="32" t="n"/>
    </row>
    <row r="45">
      <c r="A45" s="44" t="n"/>
      <c r="B45" s="32" t="n"/>
      <c r="C45" s="32" t="n"/>
      <c r="D45" s="32" t="n"/>
    </row>
    <row r="46">
      <c r="A46" s="44" t="n"/>
      <c r="B46" s="32" t="n"/>
      <c r="C46" s="32" t="n"/>
      <c r="D46" s="32" t="n"/>
    </row>
    <row r="47">
      <c r="A47" s="44" t="n"/>
      <c r="B47" s="32" t="n"/>
      <c r="C47" s="32" t="n"/>
      <c r="D47" s="32" t="n"/>
    </row>
    <row r="48">
      <c r="A48" s="44" t="n"/>
      <c r="B48" s="32" t="n"/>
      <c r="C48" s="32" t="n"/>
      <c r="D48" s="32" t="n"/>
    </row>
    <row r="49">
      <c r="A49" s="44" t="n"/>
      <c r="B49" s="32" t="n"/>
      <c r="C49" s="32" t="n"/>
      <c r="D49" s="32" t="n"/>
    </row>
    <row r="50">
      <c r="A50" s="44" t="n"/>
      <c r="B50" s="32" t="n"/>
      <c r="C50" s="32" t="n"/>
      <c r="D50" s="32" t="n"/>
    </row>
    <row r="51">
      <c r="A51" s="44" t="n"/>
      <c r="B51" s="32" t="n"/>
      <c r="C51" s="32" t="n"/>
      <c r="D51" s="3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5"/>
  <sheetViews>
    <sheetView tabSelected="0" workbookViewId="0">
      <pane ySplit="1" topLeftCell="A2" activePane="bottomLeft" state="frozen"/>
      <selection pane="bottomLeft" activeCell="A1" sqref="A1"/>
    </sheetView>
  </sheetViews>
  <sheetFormatPr baseColWidth="8" defaultRowHeight="15"/>
  <cols>
    <col width="18" customWidth="1" min="1" max="1"/>
    <col width="13" customWidth="1" min="2" max="2"/>
    <col width="24" customWidth="1" min="3" max="3"/>
    <col width="20" customWidth="1" min="4" max="4"/>
  </cols>
  <sheetData>
    <row r="1">
      <c r="A1" s="45" t="inlineStr">
        <is>
          <t>Admitted</t>
        </is>
      </c>
      <c r="B1" s="45" t="inlineStr">
        <is>
          <t>EncounterID</t>
        </is>
      </c>
      <c r="C1" s="45" t="inlineStr">
        <is>
          <t>PatientName</t>
        </is>
      </c>
      <c r="D1" s="46" t="inlineStr">
        <is>
          <t>WhiteboardName</t>
        </is>
      </c>
    </row>
    <row r="2">
      <c r="A2" s="47" t="n">
        <v>45993.67430555556</v>
      </c>
      <c r="B2" t="inlineStr">
        <is>
          <t>ENC120804</t>
        </is>
      </c>
      <c r="C2" t="inlineStr">
        <is>
          <t>Richardson, Rebecca</t>
        </is>
      </c>
      <c r="D2" s="48" t="n"/>
    </row>
    <row r="3">
      <c r="A3" s="47" t="n">
        <v>45994.59166666667</v>
      </c>
      <c r="B3" t="inlineStr">
        <is>
          <t>ENC120834</t>
        </is>
      </c>
      <c r="C3" t="inlineStr">
        <is>
          <t>Yilmaz, Russell</t>
        </is>
      </c>
      <c r="D3" s="48" t="n"/>
    </row>
    <row r="4">
      <c r="A4" s="47" t="n">
        <v>45994.70138888889</v>
      </c>
      <c r="B4" t="inlineStr">
        <is>
          <t>ENC120848</t>
        </is>
      </c>
      <c r="C4" t="inlineStr">
        <is>
          <t>Nakamura, Roger</t>
        </is>
      </c>
      <c r="D4" s="48" t="n"/>
    </row>
    <row r="5">
      <c r="A5" s="47" t="n">
        <v>45994.93194444444</v>
      </c>
      <c r="B5" t="inlineStr">
        <is>
          <t>ENC120862</t>
        </is>
      </c>
      <c r="C5" t="inlineStr">
        <is>
          <t>Munoz, Jack</t>
        </is>
      </c>
      <c r="D5" s="48" t="n"/>
    </row>
    <row r="6">
      <c r="A6" s="47" t="n">
        <v>45995.14861111111</v>
      </c>
      <c r="B6" t="inlineStr">
        <is>
          <t>ENC120867</t>
        </is>
      </c>
      <c r="C6" t="inlineStr">
        <is>
          <t>Long, Alice</t>
        </is>
      </c>
      <c r="D6" s="48" t="n"/>
    </row>
    <row r="7">
      <c r="A7" s="47" t="n">
        <v>45996.28194444445</v>
      </c>
      <c r="B7" t="inlineStr">
        <is>
          <t>ENC120910</t>
        </is>
      </c>
      <c r="C7" t="inlineStr">
        <is>
          <t>Shaw, Eugene</t>
        </is>
      </c>
      <c r="D7" s="48" t="n"/>
    </row>
    <row r="8">
      <c r="A8" s="47" t="n">
        <v>45997.56111111111</v>
      </c>
      <c r="B8" t="inlineStr">
        <is>
          <t>ENC120964</t>
        </is>
      </c>
      <c r="C8" t="inlineStr">
        <is>
          <t>Soto, Paul</t>
        </is>
      </c>
      <c r="D8" s="48" t="n"/>
    </row>
    <row r="9">
      <c r="A9" s="47" t="n">
        <v>45997.58472222222</v>
      </c>
      <c r="B9" t="inlineStr">
        <is>
          <t>ENC120963</t>
        </is>
      </c>
      <c r="C9" t="inlineStr">
        <is>
          <t>Hunt, Karen</t>
        </is>
      </c>
      <c r="D9" s="48" t="n"/>
    </row>
    <row r="10">
      <c r="A10" s="47" t="n">
        <v>45997.69513888889</v>
      </c>
      <c r="B10" t="inlineStr">
        <is>
          <t>ENC120973</t>
        </is>
      </c>
      <c r="C10" t="inlineStr">
        <is>
          <t>Marshall, Charles</t>
        </is>
      </c>
      <c r="D10" s="48" t="n"/>
    </row>
    <row r="11">
      <c r="A11" s="47" t="n">
        <v>45997.96458333333</v>
      </c>
      <c r="B11" t="inlineStr">
        <is>
          <t>ENC120977</t>
        </is>
      </c>
      <c r="C11" t="inlineStr">
        <is>
          <t>Jenkins, Paul</t>
        </is>
      </c>
      <c r="D11" s="48" t="n"/>
    </row>
    <row r="12">
      <c r="A12" s="47" t="n">
        <v>45998.47847222222</v>
      </c>
      <c r="B12" t="inlineStr">
        <is>
          <t>ENC120983</t>
        </is>
      </c>
      <c r="C12" t="inlineStr">
        <is>
          <t>Castro, Benjamin</t>
        </is>
      </c>
      <c r="D12" s="48" t="n"/>
    </row>
    <row r="13">
      <c r="A13" s="47" t="n">
        <v>45998.48125</v>
      </c>
      <c r="B13" t="inlineStr">
        <is>
          <t>ENC120986</t>
        </is>
      </c>
      <c r="C13" t="inlineStr">
        <is>
          <t>Chen, Betty</t>
        </is>
      </c>
      <c r="D13" s="48" t="n"/>
    </row>
    <row r="14">
      <c r="A14" s="47" t="n">
        <v>45999.55833333333</v>
      </c>
      <c r="B14" t="inlineStr">
        <is>
          <t>ENC121022</t>
        </is>
      </c>
      <c r="C14" t="inlineStr">
        <is>
          <t>Kim, Isabella</t>
        </is>
      </c>
      <c r="D14" s="48" t="n"/>
    </row>
    <row r="15">
      <c r="A15" s="47" t="n">
        <v>45999.66111111111</v>
      </c>
      <c r="B15" t="inlineStr">
        <is>
          <t>ENC121037</t>
        </is>
      </c>
      <c r="C15" t="inlineStr">
        <is>
          <t>Lindqvist, Lucia</t>
        </is>
      </c>
      <c r="D15" s="48" t="n"/>
    </row>
    <row r="16">
      <c r="A16" s="47" t="n">
        <v>45999.68819444445</v>
      </c>
      <c r="B16" t="inlineStr">
        <is>
          <t>ENC121019</t>
        </is>
      </c>
      <c r="C16" t="inlineStr">
        <is>
          <t>Soto, Diego</t>
        </is>
      </c>
      <c r="D16" s="48" t="n"/>
    </row>
    <row r="17">
      <c r="A17" s="47" t="n">
        <v>46000.44305555556</v>
      </c>
      <c r="B17" t="inlineStr">
        <is>
          <t>ENC121053</t>
        </is>
      </c>
      <c r="C17" t="inlineStr">
        <is>
          <t>Collins, Kayla</t>
        </is>
      </c>
      <c r="D17" s="48" t="n"/>
    </row>
    <row r="18">
      <c r="A18" s="47" t="n">
        <v>46000.58194444444</v>
      </c>
      <c r="B18" t="inlineStr">
        <is>
          <t>ENC121068</t>
        </is>
      </c>
      <c r="C18" t="inlineStr">
        <is>
          <t>Webb, Emma</t>
        </is>
      </c>
      <c r="D18" s="48" t="n"/>
    </row>
    <row r="19">
      <c r="A19" s="47" t="n">
        <v>46000.67430555556</v>
      </c>
      <c r="B19" t="inlineStr">
        <is>
          <t>ENC121078</t>
        </is>
      </c>
      <c r="C19" t="inlineStr">
        <is>
          <t>Perez, Denise</t>
        </is>
      </c>
      <c r="D19" s="48" t="n"/>
    </row>
    <row r="20">
      <c r="A20" s="47" t="n">
        <v>46000.77361111111</v>
      </c>
      <c r="B20" t="inlineStr">
        <is>
          <t>ENC121090</t>
        </is>
      </c>
      <c r="C20" t="inlineStr">
        <is>
          <t>Howard, Richard</t>
        </is>
      </c>
      <c r="D20" s="48" t="n"/>
    </row>
    <row r="21">
      <c r="A21" s="47" t="n">
        <v>46000.81319444445</v>
      </c>
      <c r="B21" t="inlineStr">
        <is>
          <t>ENC121081</t>
        </is>
      </c>
      <c r="C21" t="inlineStr">
        <is>
          <t>Pierce, Bradley</t>
        </is>
      </c>
      <c r="D21" s="48" t="n"/>
    </row>
    <row r="22">
      <c r="A22" s="47" t="n">
        <v>46000.82638888889</v>
      </c>
      <c r="B22" t="inlineStr">
        <is>
          <t>ENC121086</t>
        </is>
      </c>
      <c r="C22" t="inlineStr">
        <is>
          <t>Rogers, Benjamin</t>
        </is>
      </c>
      <c r="D22" s="48" t="n"/>
    </row>
    <row r="23">
      <c r="A23" s="47" t="n">
        <v>46002.58680555555</v>
      </c>
      <c r="B23" t="inlineStr">
        <is>
          <t>ENC121154</t>
        </is>
      </c>
      <c r="C23" t="inlineStr">
        <is>
          <t>Hunt, Billy</t>
        </is>
      </c>
      <c r="D23" s="48" t="n"/>
    </row>
    <row r="24">
      <c r="A24" s="47" t="n">
        <v>46003.75555555556</v>
      </c>
      <c r="B24" t="inlineStr">
        <is>
          <t>ENC121210</t>
        </is>
      </c>
      <c r="C24" t="inlineStr">
        <is>
          <t>Carpenter, Ethan</t>
        </is>
      </c>
      <c r="D24" s="48" t="n"/>
    </row>
    <row r="25">
      <c r="A25" s="47" t="n">
        <v>46004.63680555556</v>
      </c>
      <c r="B25" t="inlineStr">
        <is>
          <t>ENC121225</t>
        </is>
      </c>
      <c r="C25" t="inlineStr">
        <is>
          <t>Mills, Frank</t>
        </is>
      </c>
      <c r="D25" s="48" t="n"/>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H17"/>
  <sheetViews>
    <sheetView tabSelected="0" workbookViewId="0">
      <pane ySplit="3" topLeftCell="A4" activePane="bottomLeft" state="frozen"/>
      <selection pane="bottomLeft" activeCell="A1" sqref="A1"/>
    </sheetView>
  </sheetViews>
  <sheetFormatPr baseColWidth="8" defaultRowHeight="15"/>
  <cols>
    <col width="11" customWidth="1" min="1" max="1"/>
    <col width="40" customWidth="1" min="2" max="2"/>
    <col width="26" customWidth="1" min="3" max="3"/>
    <col width="15" customWidth="1" min="4" max="4"/>
    <col width="10" customWidth="1" min="5" max="5"/>
    <col width="11" customWidth="1" min="6" max="6"/>
    <col width="10" customWidth="1" min="7" max="7"/>
    <col width="16" customWidth="1" min="8" max="8"/>
  </cols>
  <sheetData>
    <row r="1">
      <c r="A1" s="29" t="inlineStr">
        <is>
          <t>4 West supply room · restock-to-par list · 12/31/2025</t>
        </is>
      </c>
    </row>
    <row r="2">
      <c r="A2" s="30" t="inlineStr">
        <is>
          <t>SuggestedOrder is a formula: =MAX(0, ParLevel − QtyOnHand). Click any cell in that column and read the formula bar.</t>
        </is>
      </c>
    </row>
    <row r="3">
      <c r="A3" s="45" t="inlineStr">
        <is>
          <t>SKU</t>
        </is>
      </c>
      <c r="B3" s="45" t="inlineStr">
        <is>
          <t>ItemDescription</t>
        </is>
      </c>
      <c r="C3" s="45" t="inlineStr">
        <is>
          <t>Vendor</t>
        </is>
      </c>
      <c r="D3" s="45" t="inlineStr">
        <is>
          <t>UnitOfMeasure</t>
        </is>
      </c>
      <c r="E3" s="45" t="inlineStr">
        <is>
          <t>UnitCost</t>
        </is>
      </c>
      <c r="F3" s="45" t="inlineStr">
        <is>
          <t>QtyOnHand</t>
        </is>
      </c>
      <c r="G3" s="45" t="inlineStr">
        <is>
          <t>ParLevel</t>
        </is>
      </c>
      <c r="H3" s="45" t="inlineStr">
        <is>
          <t>SuggestedOrder</t>
        </is>
      </c>
    </row>
    <row r="4">
      <c r="A4" t="inlineStr">
        <is>
          <t>SKU-10014</t>
        </is>
      </c>
      <c r="B4" t="inlineStr">
        <is>
          <t>Nitrile Exam Gloves Medium (Box/100)</t>
        </is>
      </c>
      <c r="C4" t="inlineStr">
        <is>
          <t>Northstar Medical Supply</t>
        </is>
      </c>
      <c r="D4" t="inlineStr">
        <is>
          <t>Box</t>
        </is>
      </c>
      <c r="E4" s="49" t="n">
        <v>7.8</v>
      </c>
      <c r="F4" t="n">
        <v>403</v>
      </c>
      <c r="G4" t="n">
        <v>800</v>
      </c>
      <c r="H4">
        <f>MAX(0,G4-F4)</f>
        <v/>
      </c>
    </row>
    <row r="5">
      <c r="A5" t="inlineStr">
        <is>
          <t>SKU-10077</t>
        </is>
      </c>
      <c r="B5" t="inlineStr">
        <is>
          <t>Shoe Covers, Non-Skid (Case/300)</t>
        </is>
      </c>
      <c r="C5" t="inlineStr">
        <is>
          <t>Keystone Lab Solutions</t>
        </is>
      </c>
      <c r="D5" t="inlineStr">
        <is>
          <t>Case</t>
        </is>
      </c>
      <c r="E5" s="49" t="n">
        <v>40.02</v>
      </c>
      <c r="F5" t="n">
        <v>121</v>
      </c>
      <c r="G5" t="n">
        <v>115</v>
      </c>
      <c r="H5">
        <f>MAX(0,G5-F5)</f>
        <v/>
      </c>
    </row>
    <row r="6">
      <c r="A6" t="inlineStr">
        <is>
          <t>SKU-10084</t>
        </is>
      </c>
      <c r="B6" t="inlineStr">
        <is>
          <t>IV Catheter 14G x 1.16 in</t>
        </is>
      </c>
      <c r="C6" t="inlineStr">
        <is>
          <t>Pinnacle Biomedical</t>
        </is>
      </c>
      <c r="D6" t="inlineStr">
        <is>
          <t>Box</t>
        </is>
      </c>
      <c r="E6" s="49" t="n">
        <v>60.04</v>
      </c>
      <c r="F6" t="n">
        <v>44</v>
      </c>
      <c r="G6" t="n">
        <v>64</v>
      </c>
      <c r="H6">
        <f>MAX(0,G6-F6)</f>
        <v/>
      </c>
    </row>
    <row r="7">
      <c r="A7" t="inlineStr">
        <is>
          <t>SKU-10147</t>
        </is>
      </c>
      <c r="B7" t="inlineStr">
        <is>
          <t>Saline Flush Syringe 3 mL (Box/30)</t>
        </is>
      </c>
      <c r="C7" t="inlineStr">
        <is>
          <t>Northstar Medical Supply</t>
        </is>
      </c>
      <c r="D7" t="inlineStr">
        <is>
          <t>Box</t>
        </is>
      </c>
      <c r="E7" s="49" t="n">
        <v>8.76</v>
      </c>
      <c r="F7" t="n">
        <v>0</v>
      </c>
      <c r="G7" t="n">
        <v>569</v>
      </c>
      <c r="H7">
        <f>MAX(0,G7-F7)</f>
        <v/>
      </c>
    </row>
    <row r="8">
      <c r="A8" t="inlineStr">
        <is>
          <t>SKU-10175</t>
        </is>
      </c>
      <c r="B8" t="inlineStr">
        <is>
          <t>IV Extension Set 7 in</t>
        </is>
      </c>
      <c r="C8" t="inlineStr">
        <is>
          <t>Pinnacle Biomedical</t>
        </is>
      </c>
      <c r="D8" t="inlineStr">
        <is>
          <t>Each</t>
        </is>
      </c>
      <c r="E8" s="49" t="n">
        <v>2.06</v>
      </c>
      <c r="F8" t="n">
        <v>268</v>
      </c>
      <c r="G8" t="n">
        <v>800</v>
      </c>
      <c r="H8">
        <f>MAX(0,G8-F8)</f>
        <v/>
      </c>
    </row>
    <row r="9">
      <c r="A9" t="inlineStr">
        <is>
          <t>SKU-10224</t>
        </is>
      </c>
      <c r="B9" t="inlineStr">
        <is>
          <t>Transparent Film Dressing 2.4x2.8</t>
        </is>
      </c>
      <c r="C9" t="inlineStr">
        <is>
          <t>Harbor Health Products</t>
        </is>
      </c>
      <c r="D9" t="inlineStr">
        <is>
          <t>Each</t>
        </is>
      </c>
      <c r="E9" s="49" t="n">
        <v>0.79</v>
      </c>
      <c r="F9" t="n">
        <v>977</v>
      </c>
      <c r="G9" t="n">
        <v>800</v>
      </c>
      <c r="H9">
        <f>MAX(0,G9-F9)</f>
        <v/>
      </c>
    </row>
    <row r="10">
      <c r="A10" t="inlineStr">
        <is>
          <t>SKU-10287</t>
        </is>
      </c>
      <c r="B10" t="inlineStr">
        <is>
          <t>Nasal Cannula, Pediatric</t>
        </is>
      </c>
      <c r="C10" t="inlineStr">
        <is>
          <t>Northstar Medical Supply</t>
        </is>
      </c>
      <c r="D10" t="inlineStr">
        <is>
          <t>Each</t>
        </is>
      </c>
      <c r="E10" s="49" t="n">
        <v>0.91</v>
      </c>
      <c r="F10" t="n">
        <v>809</v>
      </c>
      <c r="G10" t="n">
        <v>800</v>
      </c>
      <c r="H10">
        <f>MAX(0,G10-F10)</f>
        <v/>
      </c>
    </row>
    <row r="11">
      <c r="A11" t="inlineStr">
        <is>
          <t>SKU-10301</t>
        </is>
      </c>
      <c r="B11" t="inlineStr">
        <is>
          <t>Non-Rebreather Mask, Adult</t>
        </is>
      </c>
      <c r="C11" t="inlineStr">
        <is>
          <t>CareLine Distributors</t>
        </is>
      </c>
      <c r="D11" t="inlineStr">
        <is>
          <t>Each</t>
        </is>
      </c>
      <c r="E11" s="49" t="n">
        <v>2.29</v>
      </c>
      <c r="F11" t="n">
        <v>947</v>
      </c>
      <c r="G11" t="n">
        <v>800</v>
      </c>
      <c r="H11">
        <f>MAX(0,G11-F11)</f>
        <v/>
      </c>
    </row>
    <row r="12">
      <c r="A12" t="inlineStr">
        <is>
          <t>SKU-10308</t>
        </is>
      </c>
      <c r="B12" t="inlineStr">
        <is>
          <t>Non-Rebreather Mask, Pediatric</t>
        </is>
      </c>
      <c r="C12" t="inlineStr">
        <is>
          <t>Northstar Medical Supply</t>
        </is>
      </c>
      <c r="D12" t="inlineStr">
        <is>
          <t>Each</t>
        </is>
      </c>
      <c r="E12" s="49" t="n">
        <v>2.16</v>
      </c>
      <c r="F12" t="n">
        <v>586</v>
      </c>
      <c r="G12" t="n">
        <v>800</v>
      </c>
      <c r="H12">
        <f>MAX(0,G12-F12)</f>
        <v/>
      </c>
    </row>
    <row r="13">
      <c r="A13" t="inlineStr">
        <is>
          <t>SKU-10315</t>
        </is>
      </c>
      <c r="B13" t="inlineStr">
        <is>
          <t>Nebulizer Kit with Mouthpiece</t>
        </is>
      </c>
      <c r="C13" t="inlineStr">
        <is>
          <t>CareLine Distributors</t>
        </is>
      </c>
      <c r="D13" t="inlineStr">
        <is>
          <t>Each</t>
        </is>
      </c>
      <c r="E13" s="49" t="n">
        <v>3.11</v>
      </c>
      <c r="F13" t="n">
        <v>1026</v>
      </c>
      <c r="G13" t="n">
        <v>800</v>
      </c>
      <c r="H13">
        <f>MAX(0,G13-F13)</f>
        <v/>
      </c>
    </row>
    <row r="14">
      <c r="A14" t="inlineStr">
        <is>
          <t>SKU-10350</t>
        </is>
      </c>
      <c r="B14" t="inlineStr">
        <is>
          <t>Endotracheal Tube 6.5 mm Cuffed</t>
        </is>
      </c>
      <c r="C14" t="inlineStr">
        <is>
          <t>CareLine Distributors</t>
        </is>
      </c>
      <c r="D14" t="inlineStr">
        <is>
          <t>Each</t>
        </is>
      </c>
      <c r="E14" s="49" t="n">
        <v>7.47</v>
      </c>
      <c r="F14" t="n">
        <v>0</v>
      </c>
      <c r="G14" t="n">
        <v>487</v>
      </c>
      <c r="H14">
        <f>MAX(0,G14-F14)</f>
        <v/>
      </c>
    </row>
    <row r="15">
      <c r="A15" t="inlineStr">
        <is>
          <t>SKU-10735</t>
        </is>
      </c>
      <c r="B15" t="inlineStr">
        <is>
          <t>Patient Gown, Standard</t>
        </is>
      </c>
      <c r="C15" t="inlineStr">
        <is>
          <t>Harbor Health Products</t>
        </is>
      </c>
      <c r="D15" t="inlineStr">
        <is>
          <t>Dozen</t>
        </is>
      </c>
      <c r="E15" s="49" t="n">
        <v>39.37</v>
      </c>
      <c r="F15" t="n">
        <v>171</v>
      </c>
      <c r="G15" t="n">
        <v>172</v>
      </c>
      <c r="H15">
        <f>MAX(0,G15-F15)</f>
        <v/>
      </c>
    </row>
    <row r="16">
      <c r="A16" t="inlineStr">
        <is>
          <t>SKU-10784</t>
        </is>
      </c>
      <c r="B16" t="inlineStr">
        <is>
          <t>Foley Catheter Tray 18 Fr</t>
        </is>
      </c>
      <c r="C16" t="inlineStr">
        <is>
          <t>Northstar Medical Supply</t>
        </is>
      </c>
      <c r="D16" t="inlineStr">
        <is>
          <t>Each</t>
        </is>
      </c>
      <c r="E16" s="49" t="n">
        <v>11.62</v>
      </c>
      <c r="F16" t="n">
        <v>240</v>
      </c>
      <c r="G16" t="n">
        <v>255</v>
      </c>
      <c r="H16">
        <f>MAX(0,G16-F16)</f>
        <v/>
      </c>
    </row>
    <row r="17">
      <c r="A17" t="inlineStr">
        <is>
          <t>SKU-10840</t>
        </is>
      </c>
      <c r="B17" t="inlineStr">
        <is>
          <t>Hand Sanitizer Foam 1000 mL</t>
        </is>
      </c>
      <c r="C17" t="inlineStr">
        <is>
          <t>Harbor Health Products</t>
        </is>
      </c>
      <c r="D17" t="inlineStr">
        <is>
          <t>Each</t>
        </is>
      </c>
      <c r="E17" s="49" t="n">
        <v>9.56</v>
      </c>
      <c r="F17" t="n">
        <v>303</v>
      </c>
      <c r="G17" t="n">
        <v>594</v>
      </c>
      <c r="H17">
        <f>MAX(0,G17-F17)</f>
        <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2E75B6"/>
    <outlinePr summaryBelow="1" summaryRight="1"/>
    <pageSetUpPr/>
  </sheetPr>
  <dimension ref="A1:D17"/>
  <sheetViews>
    <sheetView tabSelected="0" workbookViewId="0">
      <pane ySplit="3" topLeftCell="A4" activePane="bottomLeft" state="frozen"/>
      <selection pane="bottomLeft" activeCell="A1" sqref="A1"/>
    </sheetView>
  </sheetViews>
  <sheetFormatPr baseColWidth="8" defaultRowHeight="15"/>
  <cols>
    <col width="12" customWidth="1" min="1" max="1"/>
    <col width="40" customWidth="1" min="2" max="2"/>
    <col width="8" customWidth="1" min="3" max="3"/>
    <col width="11" customWidth="1" min="4" max="4"/>
  </cols>
  <sheetData>
    <row r="1">
      <c r="A1" s="29" t="inlineStr">
        <is>
          <t>4 West · supply requisition · 12/31/2025</t>
        </is>
      </c>
    </row>
    <row r="2">
      <c r="A2" s="30" t="inlineStr">
        <is>
          <t>Order Qty must hold plain numbers (values), not formulas.</t>
        </is>
      </c>
    </row>
    <row r="3">
      <c r="A3" s="31" t="inlineStr">
        <is>
          <t>SKU</t>
        </is>
      </c>
      <c r="B3" s="31" t="inlineStr">
        <is>
          <t>Item</t>
        </is>
      </c>
      <c r="C3" s="31" t="inlineStr">
        <is>
          <t>Unit</t>
        </is>
      </c>
      <c r="D3" s="31" t="inlineStr">
        <is>
          <t>Order Qty</t>
        </is>
      </c>
    </row>
    <row r="4">
      <c r="A4" s="32" t="inlineStr">
        <is>
          <t>SKU-10014</t>
        </is>
      </c>
      <c r="B4" s="32" t="inlineStr">
        <is>
          <t>Nitrile Exam Gloves Medium (Box/100)</t>
        </is>
      </c>
      <c r="C4" s="32" t="inlineStr">
        <is>
          <t>Box</t>
        </is>
      </c>
      <c r="D4" s="50" t="n"/>
    </row>
    <row r="5">
      <c r="A5" s="32" t="inlineStr">
        <is>
          <t>SKU-10077</t>
        </is>
      </c>
      <c r="B5" s="32" t="inlineStr">
        <is>
          <t>Shoe Covers, Non-Skid (Case/300)</t>
        </is>
      </c>
      <c r="C5" s="32" t="inlineStr">
        <is>
          <t>Case</t>
        </is>
      </c>
      <c r="D5" s="50" t="n"/>
    </row>
    <row r="6">
      <c r="A6" s="32" t="inlineStr">
        <is>
          <t>SKU-10084</t>
        </is>
      </c>
      <c r="B6" s="32" t="inlineStr">
        <is>
          <t>IV Catheter 14G x 1.16 in</t>
        </is>
      </c>
      <c r="C6" s="32" t="inlineStr">
        <is>
          <t>Box</t>
        </is>
      </c>
      <c r="D6" s="50" t="n"/>
    </row>
    <row r="7">
      <c r="A7" s="32" t="inlineStr">
        <is>
          <t>SKU-10147</t>
        </is>
      </c>
      <c r="B7" s="32" t="inlineStr">
        <is>
          <t>Saline Flush Syringe 3 mL (Box/30)</t>
        </is>
      </c>
      <c r="C7" s="32" t="inlineStr">
        <is>
          <t>Box</t>
        </is>
      </c>
      <c r="D7" s="50" t="n"/>
    </row>
    <row r="8">
      <c r="A8" s="32" t="inlineStr">
        <is>
          <t>SKU-10175</t>
        </is>
      </c>
      <c r="B8" s="32" t="inlineStr">
        <is>
          <t>IV Extension Set 7 in</t>
        </is>
      </c>
      <c r="C8" s="32" t="inlineStr">
        <is>
          <t>Each</t>
        </is>
      </c>
      <c r="D8" s="50" t="n"/>
    </row>
    <row r="9">
      <c r="A9" s="32" t="inlineStr">
        <is>
          <t>SKU-10224</t>
        </is>
      </c>
      <c r="B9" s="32" t="inlineStr">
        <is>
          <t>Transparent Film Dressing 2.4x2.8</t>
        </is>
      </c>
      <c r="C9" s="32" t="inlineStr">
        <is>
          <t>Each</t>
        </is>
      </c>
      <c r="D9" s="50" t="n"/>
    </row>
    <row r="10">
      <c r="A10" s="32" t="inlineStr">
        <is>
          <t>SKU-10287</t>
        </is>
      </c>
      <c r="B10" s="32" t="inlineStr">
        <is>
          <t>Nasal Cannula, Pediatric</t>
        </is>
      </c>
      <c r="C10" s="32" t="inlineStr">
        <is>
          <t>Each</t>
        </is>
      </c>
      <c r="D10" s="50" t="n"/>
    </row>
    <row r="11">
      <c r="A11" s="32" t="inlineStr">
        <is>
          <t>SKU-10301</t>
        </is>
      </c>
      <c r="B11" s="32" t="inlineStr">
        <is>
          <t>Non-Rebreather Mask, Adult</t>
        </is>
      </c>
      <c r="C11" s="32" t="inlineStr">
        <is>
          <t>Each</t>
        </is>
      </c>
      <c r="D11" s="50" t="n"/>
    </row>
    <row r="12">
      <c r="A12" s="32" t="inlineStr">
        <is>
          <t>SKU-10308</t>
        </is>
      </c>
      <c r="B12" s="32" t="inlineStr">
        <is>
          <t>Non-Rebreather Mask, Pediatric</t>
        </is>
      </c>
      <c r="C12" s="32" t="inlineStr">
        <is>
          <t>Each</t>
        </is>
      </c>
      <c r="D12" s="50" t="n"/>
    </row>
    <row r="13">
      <c r="A13" s="32" t="inlineStr">
        <is>
          <t>SKU-10315</t>
        </is>
      </c>
      <c r="B13" s="32" t="inlineStr">
        <is>
          <t>Nebulizer Kit with Mouthpiece</t>
        </is>
      </c>
      <c r="C13" s="32" t="inlineStr">
        <is>
          <t>Each</t>
        </is>
      </c>
      <c r="D13" s="50" t="n"/>
    </row>
    <row r="14">
      <c r="A14" s="32" t="inlineStr">
        <is>
          <t>SKU-10350</t>
        </is>
      </c>
      <c r="B14" s="32" t="inlineStr">
        <is>
          <t>Endotracheal Tube 6.5 mm Cuffed</t>
        </is>
      </c>
      <c r="C14" s="32" t="inlineStr">
        <is>
          <t>Each</t>
        </is>
      </c>
      <c r="D14" s="50" t="n"/>
    </row>
    <row r="15">
      <c r="A15" s="32" t="inlineStr">
        <is>
          <t>SKU-10735</t>
        </is>
      </c>
      <c r="B15" s="32" t="inlineStr">
        <is>
          <t>Patient Gown, Standard</t>
        </is>
      </c>
      <c r="C15" s="32" t="inlineStr">
        <is>
          <t>Dozen</t>
        </is>
      </c>
      <c r="D15" s="50" t="n"/>
    </row>
    <row r="16">
      <c r="A16" s="32" t="inlineStr">
        <is>
          <t>SKU-10784</t>
        </is>
      </c>
      <c r="B16" s="32" t="inlineStr">
        <is>
          <t>Foley Catheter Tray 18 Fr</t>
        </is>
      </c>
      <c r="C16" s="32" t="inlineStr">
        <is>
          <t>Each</t>
        </is>
      </c>
      <c r="D16" s="50" t="n"/>
    </row>
    <row r="17">
      <c r="A17" s="32" t="inlineStr">
        <is>
          <t>SKU-10840</t>
        </is>
      </c>
      <c r="B17" s="32" t="inlineStr">
        <is>
          <t>Hand Sanitizer Foam 1000 mL</t>
        </is>
      </c>
      <c r="C17" s="32" t="inlineStr">
        <is>
          <t>Each</t>
        </is>
      </c>
      <c r="D17" s="50" t="n"/>
    </row>
  </sheetData>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A3"/>
  <sheetViews>
    <sheetView tabSelected="0" workbookViewId="0">
      <selection activeCell="A1" sqref="A1"/>
    </sheetView>
  </sheetViews>
  <sheetFormatPr baseColWidth="8" defaultRowHeight="15"/>
  <cols>
    <col width="1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s>
  <sheetData>
    <row r="1">
      <c r="A1" s="29" t="inlineStr">
        <is>
          <t>4 West · December 2025 roster (staff down the side, dates across the top)</t>
        </is>
      </c>
    </row>
    <row r="2">
      <c r="A2" s="30" t="inlineStr">
        <is>
          <t>Paste the transposed Schedule here, with its top-left corner in the yellow cell A3.</t>
        </is>
      </c>
    </row>
    <row r="3">
      <c r="A3" s="40" t="n"/>
    </row>
  </sheetData>
  <pageMargins left="0.75" right="0.75" top="1" bottom="1" header="0.5" footer="0.5"/>
</worksheet>
</file>

<file path=xl/worksheets/sheet11.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1.2 · Bonus: Build a two-week clinic template</t>
        </is>
      </c>
    </row>
    <row r="2" ht="79" customHeight="1">
      <c r="A2" s="14" t="inlineStr">
        <is>
          <t>Julie Osei, MD, at the Primary Care Clinic in the Bluestone Outpatient Pavilion, needs an appointment template for the two weeks of Monday 01/05/2026 through Friday 01/16/2026. The clinic books 15-minute slots from 08:00 to 16:45 on weekdays only. Lunch (12:00–12:45) is blocked every day, Wednesday afternoons (13:00 onward) are admin time, and Friday afternoons become video visits. Build the whole grid on the Clinic Grid sheet with AutoFill, Fill Series, Ctrl+Enter, and Find &amp; Replace, without typing cell by cell. B3 (01/05/2026) and A4 (08:00) are filled in for you. The first four parts are checked by gray cells that read the Clinic Grid, so don't type over them. The last part has a yellow cell for your answer.</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B1</t>
        </is>
      </c>
      <c r="B6" s="19" t="inlineStr">
        <is>
          <t>Fill the date header C3:K3 with the next nine weekdays, skipping Saturdays and Sundays. The gray cell shows the date in K3.</t>
        </is>
      </c>
      <c r="C6" s="20" t="inlineStr">
        <is>
          <t>Date unit: Weekday (or Fill Weekdays)</t>
        </is>
      </c>
      <c r="D6" cm="1" s="25">
        <f t="array" ref="D6">IF(COUNT('Clinic Grid'!C3:K3)=0,"",'Clinic Grid'!K3)</f>
        <v/>
      </c>
      <c r="E6" s="22">
        <f>IF(IFERROR(D6="",FALSE),"",IF(IFERROR(AND(ISNUMBER(D6),INT(D6)=INT('Bonus Key'!$C$5)),FALSE),"✔ Correct","✘ Not yet"))</f>
        <v/>
      </c>
    </row>
    <row r="7" ht="36" customHeight="1">
      <c r="A7" s="18" t="inlineStr">
        <is>
          <t>B2</t>
        </is>
      </c>
      <c r="B7" s="19" t="inlineStr">
        <is>
          <t>Fill the time column A5:A39 with 15-minute slots after 08:00, ending at 16:45. The gray cell shows the latest time in column A.</t>
        </is>
      </c>
      <c r="C7" s="20" t="inlineStr">
        <is>
          <t>Same technique as the Q15 Log, with a different stop</t>
        </is>
      </c>
      <c r="D7" cm="1" s="27">
        <f t="array" ref="D7">IF(COUNT('Clinic Grid'!A5:A59)=0,"",MAX('Clinic Grid'!A4:A59))</f>
        <v/>
      </c>
      <c r="E7" s="22">
        <f>IF(IFERROR(D7="",FALSE),"",IF(IFERROR(AND(ISNUMBER(D7),ABS(D7-'Bonus Key'!$C$6)&lt;=0.0006944454444444445),FALSE),"✔ Correct","✘ Not yet"))</f>
        <v/>
      </c>
    </row>
    <row r="8" ht="66" customHeight="1">
      <c r="A8" s="18" t="inlineStr">
        <is>
          <t>B3</t>
        </is>
      </c>
      <c r="B8" s="19" t="inlineStr">
        <is>
          <t>Fill the whole grid B4:K39 with Open in one entry. Then type Lunch over the 12:00–12:45 rows for every day, and Admin over both Wednesday afternoons (13:00–16:45). Use one Ctrl+Enter for each step. The gray cell counts Lunch and Admin slots in the right places, minus any in the wrong place.</t>
        </is>
      </c>
      <c r="C8" s="20" t="inlineStr">
        <is>
          <t>Holding Ctrl (Mac: ⌘) while you drag adds a second block to the selection</t>
        </is>
      </c>
      <c r="D8" cm="1" s="28">
        <f t="array" ref="D8">IF(COUNTA('Clinic Grid'!B4:K39)=0,"",2*(COUNTIF('Clinic Grid'!B20:K23,"Lunch")+COUNTIF('Clinic Grid'!D24:D39,"Admin")+COUNTIF('Clinic Grid'!I24:I39,"Admin"))-COUNTIF('Clinic Grid'!B4:K39,"Lunch")-COUNTIF('Clinic Grid'!B4:K39,"Admin"))</f>
        <v/>
      </c>
      <c r="E8" s="22">
        <f>IF(IFERROR(D8="",FALSE),"",IF(IFERROR(AND(ISNUMBER(D8),OR(ABS(D8-'Bonus Key'!$C$7)&lt;=0.0001)),FALSE),"✔ Correct","✘ Not yet"))</f>
        <v/>
      </c>
    </row>
    <row r="9" ht="66" customHeight="1">
      <c r="A9" s="18" t="inlineStr">
        <is>
          <t>B4</t>
        </is>
      </c>
      <c r="B9" s="19" t="inlineStr">
        <is>
          <t>Select both Friday-afternoon blocks (13:00–16:45), then use Find &amp; Replace to change Open to Telehealth inside that selection only. Excel reports how many replacements it made. The gray cell counts Telehealth slots in the right places, minus any in the wrong place, so the two numbers should agree.</t>
        </is>
      </c>
      <c r="C9" s="20" t="inlineStr">
        <is>
          <t>With several cells selected, Replace All stays inside the selection</t>
        </is>
      </c>
      <c r="D9" cm="1" s="28">
        <f t="array" ref="D9">IF(COUNTA('Clinic Grid'!B4:K39)=0,"",2*(COUNTIF('Clinic Grid'!F24:F39,"Telehealth")+COUNTIF('Clinic Grid'!K24:K39,"Telehealth"))-COUNTIF('Clinic Grid'!B4:K39,"Telehealth"))</f>
        <v/>
      </c>
      <c r="E9" s="22">
        <f>IF(IFERROR(D9="",FALSE),"",IF(IFERROR(AND(ISNUMBER(D9),OR(ABS(D9-'Bonus Key'!$C$8)&lt;=0.0001)),FALSE),"✔ Correct","✘ Not yet"))</f>
        <v/>
      </c>
    </row>
    <row r="10" ht="51" customHeight="1">
      <c r="A10" s="18" t="inlineStr">
        <is>
          <t>B5</t>
        </is>
      </c>
      <c r="B10" s="19" t="inlineStr">
        <is>
          <t>How many slots are still Open for in-person booking? Work it out from the size of the grid and the slots you blocked or converted, then confirm it on the Clinic Grid with Find All. Type the number in the yellow cell.</t>
        </is>
      </c>
      <c r="C10" s="20" t="inlineStr">
        <is>
          <t>Total slots minus everything you blocked or converted</t>
        </is>
      </c>
      <c r="D10" s="21" t="n"/>
      <c r="E10" s="22">
        <f>IF(IFERROR(D10="",FALSE),"",IF(IFERROR(AND(ISNUMBER(D10),OR(ABS(D10-'Bonus Key'!$C$9)&lt;=0.0001)),FALSE),"✔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tabColor rgb="00BF9000"/>
    <outlinePr summaryBelow="1" summaryRight="1"/>
    <pageSetUpPr/>
  </sheetPr>
  <dimension ref="A1:K39"/>
  <sheetViews>
    <sheetView tabSelected="0" workbookViewId="0">
      <pane xSplit="1" ySplit="3" topLeftCell="B4"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c r="A1" s="29" t="inlineStr">
        <is>
          <t>Primary Care Clinic · Julie Osei, MD · appointment template, 01/05/2026 – 01/16/2026</t>
        </is>
      </c>
    </row>
    <row r="2">
      <c r="A2" s="30" t="inlineStr">
        <is>
          <t>Build the grid with AutoFill, Fill Series, Ctrl+Enter, and Find &amp; Replace. No typing cell by cell.</t>
        </is>
      </c>
    </row>
    <row r="3">
      <c r="A3" s="31" t="inlineStr">
        <is>
          <t>Time</t>
        </is>
      </c>
      <c r="B3" s="51" t="n">
        <v>46027</v>
      </c>
      <c r="C3" s="52" t="n"/>
      <c r="D3" s="52" t="n"/>
      <c r="E3" s="52" t="n"/>
      <c r="F3" s="52" t="n"/>
      <c r="G3" s="52" t="n"/>
      <c r="H3" s="52" t="n"/>
      <c r="I3" s="52" t="n"/>
      <c r="J3" s="52" t="n"/>
      <c r="K3" s="52" t="n"/>
    </row>
    <row r="4">
      <c r="A4" s="43" t="n">
        <v>0.3333333333333333</v>
      </c>
      <c r="B4" s="53" t="n"/>
      <c r="C4" s="53" t="n"/>
      <c r="D4" s="53" t="n"/>
      <c r="E4" s="53" t="n"/>
      <c r="F4" s="53" t="n"/>
      <c r="G4" s="53" t="n"/>
      <c r="H4" s="53" t="n"/>
      <c r="I4" s="53" t="n"/>
      <c r="J4" s="53" t="n"/>
      <c r="K4" s="53" t="n"/>
    </row>
    <row r="5">
      <c r="A5" s="44" t="n"/>
      <c r="B5" s="53" t="n"/>
      <c r="C5" s="53" t="n"/>
      <c r="D5" s="53" t="n"/>
      <c r="E5" s="53" t="n"/>
      <c r="F5" s="53" t="n"/>
      <c r="G5" s="53" t="n"/>
      <c r="H5" s="53" t="n"/>
      <c r="I5" s="53" t="n"/>
      <c r="J5" s="53" t="n"/>
      <c r="K5" s="53" t="n"/>
    </row>
    <row r="6">
      <c r="A6" s="44" t="n"/>
      <c r="B6" s="53" t="n"/>
      <c r="C6" s="53" t="n"/>
      <c r="D6" s="53" t="n"/>
      <c r="E6" s="53" t="n"/>
      <c r="F6" s="53" t="n"/>
      <c r="G6" s="53" t="n"/>
      <c r="H6" s="53" t="n"/>
      <c r="I6" s="53" t="n"/>
      <c r="J6" s="53" t="n"/>
      <c r="K6" s="53" t="n"/>
    </row>
    <row r="7">
      <c r="A7" s="44" t="n"/>
      <c r="B7" s="53" t="n"/>
      <c r="C7" s="53" t="n"/>
      <c r="D7" s="53" t="n"/>
      <c r="E7" s="53" t="n"/>
      <c r="F7" s="53" t="n"/>
      <c r="G7" s="53" t="n"/>
      <c r="H7" s="53" t="n"/>
      <c r="I7" s="53" t="n"/>
      <c r="J7" s="53" t="n"/>
      <c r="K7" s="53" t="n"/>
    </row>
    <row r="8">
      <c r="A8" s="44" t="n"/>
      <c r="B8" s="53" t="n"/>
      <c r="C8" s="53" t="n"/>
      <c r="D8" s="53" t="n"/>
      <c r="E8" s="53" t="n"/>
      <c r="F8" s="53" t="n"/>
      <c r="G8" s="53" t="n"/>
      <c r="H8" s="53" t="n"/>
      <c r="I8" s="53" t="n"/>
      <c r="J8" s="53" t="n"/>
      <c r="K8" s="53" t="n"/>
    </row>
    <row r="9">
      <c r="A9" s="44" t="n"/>
      <c r="B9" s="53" t="n"/>
      <c r="C9" s="53" t="n"/>
      <c r="D9" s="53" t="n"/>
      <c r="E9" s="53" t="n"/>
      <c r="F9" s="53" t="n"/>
      <c r="G9" s="53" t="n"/>
      <c r="H9" s="53" t="n"/>
      <c r="I9" s="53" t="n"/>
      <c r="J9" s="53" t="n"/>
      <c r="K9" s="53" t="n"/>
    </row>
    <row r="10">
      <c r="A10" s="44" t="n"/>
      <c r="B10" s="53" t="n"/>
      <c r="C10" s="53" t="n"/>
      <c r="D10" s="53" t="n"/>
      <c r="E10" s="53" t="n"/>
      <c r="F10" s="53" t="n"/>
      <c r="G10" s="53" t="n"/>
      <c r="H10" s="53" t="n"/>
      <c r="I10" s="53" t="n"/>
      <c r="J10" s="53" t="n"/>
      <c r="K10" s="53" t="n"/>
    </row>
    <row r="11">
      <c r="A11" s="44" t="n"/>
      <c r="B11" s="53" t="n"/>
      <c r="C11" s="53" t="n"/>
      <c r="D11" s="53" t="n"/>
      <c r="E11" s="53" t="n"/>
      <c r="F11" s="53" t="n"/>
      <c r="G11" s="53" t="n"/>
      <c r="H11" s="53" t="n"/>
      <c r="I11" s="53" t="n"/>
      <c r="J11" s="53" t="n"/>
      <c r="K11" s="53" t="n"/>
    </row>
    <row r="12">
      <c r="A12" s="44" t="n"/>
      <c r="B12" s="53" t="n"/>
      <c r="C12" s="53" t="n"/>
      <c r="D12" s="53" t="n"/>
      <c r="E12" s="53" t="n"/>
      <c r="F12" s="53" t="n"/>
      <c r="G12" s="53" t="n"/>
      <c r="H12" s="53" t="n"/>
      <c r="I12" s="53" t="n"/>
      <c r="J12" s="53" t="n"/>
      <c r="K12" s="53" t="n"/>
    </row>
    <row r="13">
      <c r="A13" s="44" t="n"/>
      <c r="B13" s="53" t="n"/>
      <c r="C13" s="53" t="n"/>
      <c r="D13" s="53" t="n"/>
      <c r="E13" s="53" t="n"/>
      <c r="F13" s="53" t="n"/>
      <c r="G13" s="53" t="n"/>
      <c r="H13" s="53" t="n"/>
      <c r="I13" s="53" t="n"/>
      <c r="J13" s="53" t="n"/>
      <c r="K13" s="53" t="n"/>
    </row>
    <row r="14">
      <c r="A14" s="44" t="n"/>
      <c r="B14" s="53" t="n"/>
      <c r="C14" s="53" t="n"/>
      <c r="D14" s="53" t="n"/>
      <c r="E14" s="53" t="n"/>
      <c r="F14" s="53" t="n"/>
      <c r="G14" s="53" t="n"/>
      <c r="H14" s="53" t="n"/>
      <c r="I14" s="53" t="n"/>
      <c r="J14" s="53" t="n"/>
      <c r="K14" s="53" t="n"/>
    </row>
    <row r="15">
      <c r="A15" s="44" t="n"/>
      <c r="B15" s="53" t="n"/>
      <c r="C15" s="53" t="n"/>
      <c r="D15" s="53" t="n"/>
      <c r="E15" s="53" t="n"/>
      <c r="F15" s="53" t="n"/>
      <c r="G15" s="53" t="n"/>
      <c r="H15" s="53" t="n"/>
      <c r="I15" s="53" t="n"/>
      <c r="J15" s="53" t="n"/>
      <c r="K15" s="53" t="n"/>
    </row>
    <row r="16">
      <c r="A16" s="44" t="n"/>
      <c r="B16" s="53" t="n"/>
      <c r="C16" s="53" t="n"/>
      <c r="D16" s="53" t="n"/>
      <c r="E16" s="53" t="n"/>
      <c r="F16" s="53" t="n"/>
      <c r="G16" s="53" t="n"/>
      <c r="H16" s="53" t="n"/>
      <c r="I16" s="53" t="n"/>
      <c r="J16" s="53" t="n"/>
      <c r="K16" s="53" t="n"/>
    </row>
    <row r="17">
      <c r="A17" s="44" t="n"/>
      <c r="B17" s="53" t="n"/>
      <c r="C17" s="53" t="n"/>
      <c r="D17" s="53" t="n"/>
      <c r="E17" s="53" t="n"/>
      <c r="F17" s="53" t="n"/>
      <c r="G17" s="53" t="n"/>
      <c r="H17" s="53" t="n"/>
      <c r="I17" s="53" t="n"/>
      <c r="J17" s="53" t="n"/>
      <c r="K17" s="53" t="n"/>
    </row>
    <row r="18">
      <c r="A18" s="44" t="n"/>
      <c r="B18" s="53" t="n"/>
      <c r="C18" s="53" t="n"/>
      <c r="D18" s="53" t="n"/>
      <c r="E18" s="53" t="n"/>
      <c r="F18" s="53" t="n"/>
      <c r="G18" s="53" t="n"/>
      <c r="H18" s="53" t="n"/>
      <c r="I18" s="53" t="n"/>
      <c r="J18" s="53" t="n"/>
      <c r="K18" s="53" t="n"/>
    </row>
    <row r="19">
      <c r="A19" s="44" t="n"/>
      <c r="B19" s="53" t="n"/>
      <c r="C19" s="53" t="n"/>
      <c r="D19" s="53" t="n"/>
      <c r="E19" s="53" t="n"/>
      <c r="F19" s="53" t="n"/>
      <c r="G19" s="53" t="n"/>
      <c r="H19" s="53" t="n"/>
      <c r="I19" s="53" t="n"/>
      <c r="J19" s="53" t="n"/>
      <c r="K19" s="53" t="n"/>
    </row>
    <row r="20">
      <c r="A20" s="44" t="n"/>
      <c r="B20" s="53" t="n"/>
      <c r="C20" s="53" t="n"/>
      <c r="D20" s="53" t="n"/>
      <c r="E20" s="53" t="n"/>
      <c r="F20" s="53" t="n"/>
      <c r="G20" s="53" t="n"/>
      <c r="H20" s="53" t="n"/>
      <c r="I20" s="53" t="n"/>
      <c r="J20" s="53" t="n"/>
      <c r="K20" s="53" t="n"/>
    </row>
    <row r="21">
      <c r="A21" s="44" t="n"/>
      <c r="B21" s="53" t="n"/>
      <c r="C21" s="53" t="n"/>
      <c r="D21" s="53" t="n"/>
      <c r="E21" s="53" t="n"/>
      <c r="F21" s="53" t="n"/>
      <c r="G21" s="53" t="n"/>
      <c r="H21" s="53" t="n"/>
      <c r="I21" s="53" t="n"/>
      <c r="J21" s="53" t="n"/>
      <c r="K21" s="53" t="n"/>
    </row>
    <row r="22">
      <c r="A22" s="44" t="n"/>
      <c r="B22" s="53" t="n"/>
      <c r="C22" s="53" t="n"/>
      <c r="D22" s="53" t="n"/>
      <c r="E22" s="53" t="n"/>
      <c r="F22" s="53" t="n"/>
      <c r="G22" s="53" t="n"/>
      <c r="H22" s="53" t="n"/>
      <c r="I22" s="53" t="n"/>
      <c r="J22" s="53" t="n"/>
      <c r="K22" s="53" t="n"/>
    </row>
    <row r="23">
      <c r="A23" s="44" t="n"/>
      <c r="B23" s="53" t="n"/>
      <c r="C23" s="53" t="n"/>
      <c r="D23" s="53" t="n"/>
      <c r="E23" s="53" t="n"/>
      <c r="F23" s="53" t="n"/>
      <c r="G23" s="53" t="n"/>
      <c r="H23" s="53" t="n"/>
      <c r="I23" s="53" t="n"/>
      <c r="J23" s="53" t="n"/>
      <c r="K23" s="53" t="n"/>
    </row>
    <row r="24">
      <c r="A24" s="44" t="n"/>
      <c r="B24" s="53" t="n"/>
      <c r="C24" s="53" t="n"/>
      <c r="D24" s="53" t="n"/>
      <c r="E24" s="53" t="n"/>
      <c r="F24" s="53" t="n"/>
      <c r="G24" s="53" t="n"/>
      <c r="H24" s="53" t="n"/>
      <c r="I24" s="53" t="n"/>
      <c r="J24" s="53" t="n"/>
      <c r="K24" s="53" t="n"/>
    </row>
    <row r="25">
      <c r="A25" s="44" t="n"/>
      <c r="B25" s="53" t="n"/>
      <c r="C25" s="53" t="n"/>
      <c r="D25" s="53" t="n"/>
      <c r="E25" s="53" t="n"/>
      <c r="F25" s="53" t="n"/>
      <c r="G25" s="53" t="n"/>
      <c r="H25" s="53" t="n"/>
      <c r="I25" s="53" t="n"/>
      <c r="J25" s="53" t="n"/>
      <c r="K25" s="53" t="n"/>
    </row>
    <row r="26">
      <c r="A26" s="44" t="n"/>
      <c r="B26" s="53" t="n"/>
      <c r="C26" s="53" t="n"/>
      <c r="D26" s="53" t="n"/>
      <c r="E26" s="53" t="n"/>
      <c r="F26" s="53" t="n"/>
      <c r="G26" s="53" t="n"/>
      <c r="H26" s="53" t="n"/>
      <c r="I26" s="53" t="n"/>
      <c r="J26" s="53" t="n"/>
      <c r="K26" s="53" t="n"/>
    </row>
    <row r="27">
      <c r="A27" s="44" t="n"/>
      <c r="B27" s="53" t="n"/>
      <c r="C27" s="53" t="n"/>
      <c r="D27" s="53" t="n"/>
      <c r="E27" s="53" t="n"/>
      <c r="F27" s="53" t="n"/>
      <c r="G27" s="53" t="n"/>
      <c r="H27" s="53" t="n"/>
      <c r="I27" s="53" t="n"/>
      <c r="J27" s="53" t="n"/>
      <c r="K27" s="53" t="n"/>
    </row>
    <row r="28">
      <c r="A28" s="44" t="n"/>
      <c r="B28" s="53" t="n"/>
      <c r="C28" s="53" t="n"/>
      <c r="D28" s="53" t="n"/>
      <c r="E28" s="53" t="n"/>
      <c r="F28" s="53" t="n"/>
      <c r="G28" s="53" t="n"/>
      <c r="H28" s="53" t="n"/>
      <c r="I28" s="53" t="n"/>
      <c r="J28" s="53" t="n"/>
      <c r="K28" s="53" t="n"/>
    </row>
    <row r="29">
      <c r="A29" s="44" t="n"/>
      <c r="B29" s="53" t="n"/>
      <c r="C29" s="53" t="n"/>
      <c r="D29" s="53" t="n"/>
      <c r="E29" s="53" t="n"/>
      <c r="F29" s="53" t="n"/>
      <c r="G29" s="53" t="n"/>
      <c r="H29" s="53" t="n"/>
      <c r="I29" s="53" t="n"/>
      <c r="J29" s="53" t="n"/>
      <c r="K29" s="53" t="n"/>
    </row>
    <row r="30">
      <c r="A30" s="44" t="n"/>
      <c r="B30" s="53" t="n"/>
      <c r="C30" s="53" t="n"/>
      <c r="D30" s="53" t="n"/>
      <c r="E30" s="53" t="n"/>
      <c r="F30" s="53" t="n"/>
      <c r="G30" s="53" t="n"/>
      <c r="H30" s="53" t="n"/>
      <c r="I30" s="53" t="n"/>
      <c r="J30" s="53" t="n"/>
      <c r="K30" s="53" t="n"/>
    </row>
    <row r="31">
      <c r="A31" s="44" t="n"/>
      <c r="B31" s="53" t="n"/>
      <c r="C31" s="53" t="n"/>
      <c r="D31" s="53" t="n"/>
      <c r="E31" s="53" t="n"/>
      <c r="F31" s="53" t="n"/>
      <c r="G31" s="53" t="n"/>
      <c r="H31" s="53" t="n"/>
      <c r="I31" s="53" t="n"/>
      <c r="J31" s="53" t="n"/>
      <c r="K31" s="53" t="n"/>
    </row>
    <row r="32">
      <c r="A32" s="44" t="n"/>
      <c r="B32" s="53" t="n"/>
      <c r="C32" s="53" t="n"/>
      <c r="D32" s="53" t="n"/>
      <c r="E32" s="53" t="n"/>
      <c r="F32" s="53" t="n"/>
      <c r="G32" s="53" t="n"/>
      <c r="H32" s="53" t="n"/>
      <c r="I32" s="53" t="n"/>
      <c r="J32" s="53" t="n"/>
      <c r="K32" s="53" t="n"/>
    </row>
    <row r="33">
      <c r="A33" s="44" t="n"/>
      <c r="B33" s="53" t="n"/>
      <c r="C33" s="53" t="n"/>
      <c r="D33" s="53" t="n"/>
      <c r="E33" s="53" t="n"/>
      <c r="F33" s="53" t="n"/>
      <c r="G33" s="53" t="n"/>
      <c r="H33" s="53" t="n"/>
      <c r="I33" s="53" t="n"/>
      <c r="J33" s="53" t="n"/>
      <c r="K33" s="53" t="n"/>
    </row>
    <row r="34">
      <c r="A34" s="44" t="n"/>
      <c r="B34" s="53" t="n"/>
      <c r="C34" s="53" t="n"/>
      <c r="D34" s="53" t="n"/>
      <c r="E34" s="53" t="n"/>
      <c r="F34" s="53" t="n"/>
      <c r="G34" s="53" t="n"/>
      <c r="H34" s="53" t="n"/>
      <c r="I34" s="53" t="n"/>
      <c r="J34" s="53" t="n"/>
      <c r="K34" s="53" t="n"/>
    </row>
    <row r="35">
      <c r="A35" s="44" t="n"/>
      <c r="B35" s="53" t="n"/>
      <c r="C35" s="53" t="n"/>
      <c r="D35" s="53" t="n"/>
      <c r="E35" s="53" t="n"/>
      <c r="F35" s="53" t="n"/>
      <c r="G35" s="53" t="n"/>
      <c r="H35" s="53" t="n"/>
      <c r="I35" s="53" t="n"/>
      <c r="J35" s="53" t="n"/>
      <c r="K35" s="53" t="n"/>
    </row>
    <row r="36">
      <c r="A36" s="44" t="n"/>
      <c r="B36" s="53" t="n"/>
      <c r="C36" s="53" t="n"/>
      <c r="D36" s="53" t="n"/>
      <c r="E36" s="53" t="n"/>
      <c r="F36" s="53" t="n"/>
      <c r="G36" s="53" t="n"/>
      <c r="H36" s="53" t="n"/>
      <c r="I36" s="53" t="n"/>
      <c r="J36" s="53" t="n"/>
      <c r="K36" s="53" t="n"/>
    </row>
    <row r="37">
      <c r="A37" s="44" t="n"/>
      <c r="B37" s="53" t="n"/>
      <c r="C37" s="53" t="n"/>
      <c r="D37" s="53" t="n"/>
      <c r="E37" s="53" t="n"/>
      <c r="F37" s="53" t="n"/>
      <c r="G37" s="53" t="n"/>
      <c r="H37" s="53" t="n"/>
      <c r="I37" s="53" t="n"/>
      <c r="J37" s="53" t="n"/>
      <c r="K37" s="53" t="n"/>
    </row>
    <row r="38">
      <c r="A38" s="44" t="n"/>
      <c r="B38" s="53" t="n"/>
      <c r="C38" s="53" t="n"/>
      <c r="D38" s="53" t="n"/>
      <c r="E38" s="53" t="n"/>
      <c r="F38" s="53" t="n"/>
      <c r="G38" s="53" t="n"/>
      <c r="H38" s="53" t="n"/>
      <c r="I38" s="53" t="n"/>
      <c r="J38" s="53" t="n"/>
      <c r="K38" s="53" t="n"/>
    </row>
    <row r="39">
      <c r="A39" s="44" t="n"/>
      <c r="B39" s="53" t="n"/>
      <c r="C39" s="53" t="n"/>
      <c r="D39" s="53" t="n"/>
      <c r="E39" s="53" t="n"/>
      <c r="F39" s="53" t="n"/>
      <c r="G39" s="53" t="n"/>
      <c r="H39" s="53" t="n"/>
      <c r="I39" s="53" t="n"/>
      <c r="J39" s="53" t="n"/>
      <c r="K39" s="53" t="n"/>
    </row>
  </sheetData>
  <pageMargins left="0.75" right="0.75" top="1" bottom="1" header="0.5" footer="0.5"/>
</worksheet>
</file>

<file path=xl/worksheets/sheet13.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54" t="inlineStr">
        <is>
          <t>🔑 Answer Key — Lesson 1.2</t>
        </is>
      </c>
    </row>
    <row r="2" ht="32" customHeight="1">
      <c r="A2" s="55" t="inlineStr">
        <is>
          <t>Spoiler alert: try every task before reading this sheet. Column C is the value the Check column compares against. Column D is a sample solution, and column E recalculates a formula for it live, proving the answer.</t>
        </is>
      </c>
    </row>
    <row r="4">
      <c r="A4" s="56" t="inlineStr">
        <is>
          <t>#</t>
        </is>
      </c>
      <c r="B4" s="56" t="inlineStr">
        <is>
          <t>Task</t>
        </is>
      </c>
      <c r="C4" s="56" t="inlineStr">
        <is>
          <t>Answer</t>
        </is>
      </c>
      <c r="D4" s="56" t="inlineStr">
        <is>
          <t>Sample solution</t>
        </is>
      </c>
      <c r="E4" s="56" t="inlineStr">
        <is>
          <t>Live result</t>
        </is>
      </c>
      <c r="F4" s="56" t="inlineStr">
        <is>
          <t>Explanation</t>
        </is>
      </c>
    </row>
    <row r="5" ht="111" customHeight="1">
      <c r="A5" s="18" t="inlineStr">
        <is>
          <t>1</t>
        </is>
      </c>
      <c r="B5" s="19" t="inlineStr">
        <is>
          <t>On the Entries sheet, select the Entry column (B4:B15). How many of those 12 entries did Excel store as numbers? Dates and times count as numbers. Read the status bar (right-click it to turn on Numerical Count) or use the alignment clue.</t>
        </is>
      </c>
      <c r="C5" s="57" t="n">
        <v>8</v>
      </c>
      <c r="D5" s="58" t="inlineStr">
        <is>
          <t>1. Select Entries!B4:B15.
2. Right-click the status bar and tick Numerical Count if it isn't showing.
3. Read Numerical Count (Count shows 12, because it counts every non-empty cell).</t>
        </is>
      </c>
      <c r="E5" s="18" t="inlineStr">
        <is>
          <t>—</t>
        </is>
      </c>
      <c r="F5" s="19" t="inlineStr">
        <is>
          <t>Two entries surprise most people. The pod-bed 3-12 became a date (March 12), so it's a number. The weight was pasted in as text, so it isn't a number even though it looks like one. That's why it sits on the left with a green triangle. TRUE is a logical value (centered), and the name and allergy are text. Everything else, including the date of birth, the arrival time, the copay, and the long member ID, is a number.</t>
        </is>
      </c>
    </row>
    <row r="6" ht="81" customHeight="1">
      <c r="A6" s="18" t="inlineStr">
        <is>
          <t>2</t>
        </is>
      </c>
      <c r="B6" s="19" t="inlineStr">
        <is>
          <t>Entries!B7 shows the ED arrival as a date and time. What number does Excel actually store in that cell? Switch the cell to General format to see it, then type that number in the yellow cell, rounded to 2 decimal places.</t>
        </is>
      </c>
      <c r="C6" s="59" t="n">
        <v>46005.96</v>
      </c>
      <c r="D6" s="58" t="inlineStr">
        <is>
          <t>Select Entries!B7 and press Ctrl + Shift + ~ (Mac: ⌃ + Shift + ~), or choose Home → Number Format → General. Read the number, then press Ctrl + Z (Mac: ⌘ + Z) to put the date format back.</t>
        </is>
      </c>
      <c r="E6" cm="1" s="60">
        <f t="array" ref="E6">Entries!B7</f>
        <v/>
      </c>
      <c r="F6" s="19" t="inlineStr">
        <is>
          <t>Excel stores 12/14/2025 as the serial number 46,005 (day 1 is 1/1/1900). The time 23:04 is 1,384 minutes out of 1,440 in a day, which is 0.9611. Add them and you get 46,005.9611. Formatting only changes how that one number is displayed.</t>
        </is>
      </c>
    </row>
    <row r="7" ht="126" customHeight="1">
      <c r="A7" s="18" t="inlineStr">
        <is>
          <t>3</t>
        </is>
      </c>
      <c r="B7" s="19" t="inlineStr">
        <is>
          <t>The MRN on the Entries sheet lost its leading zeros. In the yellow cell, enter the patient's real 8-digit MRN, 00393694, so that Excel keeps it as text with both zeros.</t>
        </is>
      </c>
      <c r="C7" s="57" t="inlineStr">
        <is>
          <t>00393694</t>
        </is>
      </c>
      <c r="D7" s="58" t="inlineStr">
        <is>
          <t>Type '00393694 (start with an apostrophe) and press Enter. The apostrophe tells Excel "this is text" and is not shown in the cell.</t>
        </is>
      </c>
      <c r="E7" cm="1" s="19">
        <f t="array" ref="E7">TEXT(Entries!B5,"00000000")</f>
        <v/>
      </c>
      <c r="F7" s="19" t="inlineStr">
        <is>
          <t>Typed plainly, 00393694 becomes the number 393694, because numbers don't have leading zeros. An apostrophe (or formatting the cell as Text before you type) stores the characters exactly as typed. A custom number format like 00000000 only displays zeros on top of the number, so the stored value would still be wrong for matching and lookups. (The live formula in the key rebuilds the text with TEXT, which you'll meet in Lesson 2.2.)</t>
        </is>
      </c>
    </row>
    <row r="8" ht="66" customHeight="1">
      <c r="A8" s="18" t="inlineStr">
        <is>
          <t>4</t>
        </is>
      </c>
      <c r="B8" s="19" t="inlineStr">
        <is>
          <t>Type this two-line handoff note into the yellow cell, with "Allergy: Penicillin" on the first line and "Isolation: Contact" on the second line of the same cell.</t>
        </is>
      </c>
      <c r="C8" s="57" t="inlineStr">
        <is>
          <t>Allergy: Penicillin
Isolation: Contact</t>
        </is>
      </c>
      <c r="D8" s="58" t="inlineStr">
        <is>
          <t>Type Allergy: Penicillin, press Alt + Enter (Mac: ⌃ + ⌥ + Return), type Isolation: Contact, then press Enter.</t>
        </is>
      </c>
      <c r="E8" s="18" t="inlineStr">
        <is>
          <t>—</t>
        </is>
      </c>
      <c r="F8" s="19" t="inlineStr">
        <is>
          <t>Alt + Enter inserts a line-break character inside the cell and turns on Wrap Text for you. Pressing Enter on its own would finish the entry and jump to the next cell. The check ignores capitals and spaces, but it needs the line break.</t>
        </is>
      </c>
    </row>
    <row r="9" ht="66" customHeight="1">
      <c r="A9" s="18" t="inlineStr">
        <is>
          <t>5</t>
        </is>
      </c>
      <c r="B9" s="19" t="inlineStr">
        <is>
          <t>On the Schedule sheet, A5 holds 12/01/2025. Use the fill handle to fill the yellow cells A6:A35 with the rest of December, one day per row. The gray cell shows your last date.</t>
        </is>
      </c>
      <c r="C9" s="61" t="n">
        <v>46022</v>
      </c>
      <c r="D9" s="58" t="inlineStr">
        <is>
          <t>Select A5, point at the fill handle (the small square at its bottom-right corner) until the pointer becomes a thin +, and drag down to A35.</t>
        </is>
      </c>
      <c r="E9" cm="1" s="62">
        <f t="array" ref="E9">Schedule!A5+30</f>
        <v/>
      </c>
      <c r="F9" s="19" t="inlineStr">
        <is>
          <t>AutoFill recognizes a date and adds one day per cell. If every cell shows 12/01/2025 instead, you held Ctrl while dragging (which copies) or chose Copy Cells from the Auto Fill Options button.</t>
        </is>
      </c>
    </row>
    <row r="10" ht="81" customHeight="1">
      <c r="A10" s="18" t="inlineStr">
        <is>
          <t>6</t>
        </is>
      </c>
      <c r="B10" s="19" t="inlineStr">
        <is>
          <t>On the Schedule sheet, B5 holds "Mon". Fill the weekday names down to B35 by double-clicking the fill handle instead of dragging. The gray cell shows the day name in B35.</t>
        </is>
      </c>
      <c r="C10" s="57" t="inlineStr">
        <is>
          <t>Wed</t>
        </is>
      </c>
      <c r="D10" s="58" t="inlineStr">
        <is>
          <t>Select B5 and double-click its fill handle. Excel fills down as far as the dates in the neighboring column A go.</t>
        </is>
      </c>
      <c r="E10" cm="1" s="19">
        <f t="array" ref="E10">TEXT(Schedule!A5+30,"ddd")</f>
        <v/>
      </c>
      <c r="F10" s="19" t="inlineStr">
        <is>
          <t>Weekday names (Mon, Tue… and Monday, Tuesday…) are a built-in custom list, so AutoFill cycles through them. Double-clicking the fill handle copies down to the last row of the adjacent column's data, which is why column A had to be filled first.</t>
        </is>
      </c>
    </row>
    <row r="11" ht="66" customHeight="1">
      <c r="A11" s="18" t="inlineStr">
        <is>
          <t>7</t>
        </is>
      </c>
      <c r="B11" s="19" t="inlineStr">
        <is>
          <t>On the Beds sheet, A4 holds the first bed label, 4W-01. Fill the yellow cells below it so the list runs through all 36 of 4 West's staffed beds. The gray cell shows the label in the last row (A39).</t>
        </is>
      </c>
      <c r="C11" s="57" t="inlineStr">
        <is>
          <t>4W-36</t>
        </is>
      </c>
      <c r="D11" s="58" t="inlineStr">
        <is>
          <t>Select Beds!A4 and double-click the fill handle (column B is full, so Excel fills to row 39), or drag it down to A39.</t>
        </is>
      </c>
      <c r="E11" s="18" t="inlineStr">
        <is>
          <t>—</t>
        </is>
      </c>
      <c r="F11" s="19" t="inlineStr">
        <is>
          <t>When an entry is text that ends in a number, AutoFill increases that number and keeps the rest of the text, including the leading zero (4W-01, 4W-02 … 4W-36). Text with no number in it is just copied.</t>
        </is>
      </c>
    </row>
    <row r="12" ht="126" customHeight="1">
      <c r="A12" s="18" t="inlineStr">
        <is>
          <t>8</t>
        </is>
      </c>
      <c r="B12" s="19" t="inlineStr">
        <is>
          <t>On the Q15 Log sheet, A4 holds 07:00. Fill the yellow cells below it with a check time every 15 minutes, ending at 18:45. Use Home → Fill → Series, or the two-cell AutoFill pattern. The gray cell shows the latest time in column A.</t>
        </is>
      </c>
      <c r="C12" s="63" t="n">
        <v>0.78125</v>
      </c>
      <c r="D12" s="58" t="inlineStr">
        <is>
          <t>Option A (Fill Series): select A4, choose Home → Fill → Series…, pick Columns and Linear, type 0:15 as the Step value and 18:50 as the Stop value, then click OK.
Option B (AutoFill): type 7:15 in A5, select A4:A5, and drag the fill handle down to A51 (18:45).</t>
        </is>
      </c>
      <c r="E12" s="18" t="inlineStr">
        <is>
          <t>—</t>
        </is>
      </c>
      <c r="F12" s="19" t="inlineStr">
        <is>
          <t>Times are fractions of a day, so 15 minutes is 0:15 (0.0104…). The Fill Series dialog adds that step until it reaches the Stop value. A stop of 18:50 rather than 18:45 protects you from tiny rounding errors that can drop the last time. With two starting cells, AutoFill copies the gap between them. Either way you get 48 check times. A single time dragged on its own steps by a whole hour, not 15 minutes.</t>
        </is>
      </c>
    </row>
    <row r="13" ht="111" customHeight="1">
      <c r="A13" s="18" t="inlineStr">
        <is>
          <t>9</t>
        </is>
      </c>
      <c r="B13" s="19" t="inlineStr">
        <is>
          <t>4 West gets one float-pool RN on every Saturday and Sunday. In the Weekend float column (O) of the Schedule sheet, put FLOAT in every weekend row and nowhere else, using a single entry: Ctrl+click (Mac: ⌘+click) the weekend cells, type FLOAT, and press Ctrl+Enter (Mac: ⌘+Return). The gray cell counts correctly placed FLOATs minus any entries on weekdays.</t>
        </is>
      </c>
      <c r="C13" s="57" t="n">
        <v>8</v>
      </c>
      <c r="D13" s="58" t="inlineStr">
        <is>
          <t>1. Click the first weekend cell in column O (the first Sat row), then Ctrl+click (Mac: ⌘+click) every other Sat and Sun row.
2. Type FLOAT (it appears in the last cell you clicked).
3. Press Ctrl + Enter (Mac: ⌘ + Return) to enter it in every selected cell at once.</t>
        </is>
      </c>
      <c r="E13" s="18" t="inlineStr">
        <is>
          <t>—</t>
        </is>
      </c>
      <c r="F13" s="19" t="inlineStr">
        <is>
          <t>Ctrl + Enter puts the same entry into every selected cell, even when the cells aren't next to each other. Plain Enter would fill only the active cell. The gray formula subtracts any FLOAT typed on a weekday, so it only reaches the full count when every weekend row is marked and no weekday is.</t>
        </is>
      </c>
    </row>
    <row r="14" ht="156" customHeight="1">
      <c r="A14" s="18" t="inlineStr">
        <is>
          <t>10</t>
        </is>
      </c>
      <c r="B14" s="19" t="inlineStr">
        <is>
          <t>On the Admissions sheet, use Flash Fill to fill the yellow WhiteboardName column with each patient's first name and last initial, such as "Russell Y." for "Yilmaz, Russell". The gray cell counts how many of the 24 labels are exactly right.</t>
        </is>
      </c>
      <c r="C14" s="57" t="n">
        <v>24</v>
      </c>
      <c r="D14" s="58" t="inlineStr">
        <is>
          <t>1. In Admissions!D2, type Rebecca R. and press Enter.
2. In D3, type Russell Y. and press Enter. If Excel shows a gray preview of the remaining labels while you type, you can press Enter to accept it.
3. Otherwise press Ctrl + E (or choose Data → Flash Fill, on both Windows and Mac).
4. Scan the results, and correct any row Flash Fill got wrong.</t>
        </is>
      </c>
      <c r="E14" s="18" t="inlineStr">
        <is>
          <t>—</t>
        </is>
      </c>
      <c r="F14" s="19" t="inlineStr">
        <is>
          <t>Flash Fill studies your examples, finds the pattern ("the text after the comma, a space, the first letter, a period"), and applies it to every row. The first row needs help. In Richardson, Rebecca both names start with R, so Rebecca R. doesn't show which initial you want, and Flash Fill could turn Yilmaz, Russell into Russell R.. The second example, Russell Y., settles it. The results are typed-in values, not formulas, so they won't update if a name changes. A formula (Lesson 2.2) would. Many units use first name plus last initial on hallway whiteboards to protect patient privacy.</t>
        </is>
      </c>
    </row>
    <row r="15" ht="96" customHeight="1">
      <c r="A15" s="18" t="inlineStr">
        <is>
          <t>11</t>
        </is>
      </c>
      <c r="B15" s="19" t="inlineStr">
        <is>
          <t>The buyer needs 4 West's suggested restock quantities on the Order sheet as plain numbers. Copy Supplies!H4:H17 (SuggestedOrder) and paste only the values into the yellow cells Order!D4:D17. The gray cell totals your Order Qty column.</t>
        </is>
      </c>
      <c r="C15" s="57" t="n">
        <v>2526</v>
      </c>
      <c r="D15" s="58" t="inlineStr">
        <is>
          <t>1. Select Supplies!H4:H17 and press Ctrl + C (Mac: ⌘ + C).
2. Click Order!D4.
3. Press Ctrl + Alt + V (Mac: ⌃ + ⌘ + V) to open Paste Special, choose Values, and click OK. Or use Home → Paste ▾ → Values (123).</t>
        </is>
      </c>
      <c r="E15" cm="1" s="19">
        <f t="array" ref="E15">SUM(Supplies!H4:H17)</f>
        <v/>
      </c>
      <c r="F15" s="19" t="inlineStr">
        <is>
          <t>SuggestedOrder holds formulas such as =MAX(0,G4-F4). A normal paste copies the formula, and because its references are relative, it ends up pointing at the wrong cells on the Order sheet, so you see #VALUE! or wrong numbers. Paste Special → Values pastes only the results, which is what you want when the numbers must stay fixed or leave the workbook.</t>
        </is>
      </c>
    </row>
    <row r="16" ht="96" customHeight="1">
      <c r="A16" s="18" t="inlineStr">
        <is>
          <t>12</t>
        </is>
      </c>
      <c r="B16" s="19" t="inlineStr">
        <is>
          <t>Most people read schedules with staff down the side and dates across the top. Copy Schedule!A4:N35 and use Paste Special → Transpose with the top-left corner in Roster!A3. The gray cell checks that Jean Herrera landed in column A, then counts that nurse's December shifts.</t>
        </is>
      </c>
      <c r="C16" s="57" t="n">
        <v>14</v>
      </c>
      <c r="D16" s="58" t="inlineStr">
        <is>
          <t>1. Select Schedule!A4:N35 and press Ctrl + C (Mac: ⌘ + C).
2. Click Roster!A3.
3. Press Ctrl + Alt + V (Mac: ⌃ + ⌘ + V), tick Transpose, and click OK. Or use Home → Paste ▾ → Transpose.</t>
        </is>
      </c>
      <c r="E16" cm="1" s="19">
        <f t="array" ref="E16">COUNTA(Schedule!I5:I35)</f>
        <v/>
      </c>
      <c r="F16" s="19" t="inlineStr">
        <is>
          <t>Transpose turns the copied block on its side: row 4 (the names) becomes column A, and each date row becomes a column. Jean Herrera's column of codes becomes row 11. Transpose isn't available after Cut, and the paste area must not overlap the copied cells.</t>
        </is>
      </c>
    </row>
    <row r="17" ht="156" customHeight="1">
      <c r="A17" s="18" t="inlineStr">
        <is>
          <t>13</t>
        </is>
      </c>
      <c r="B17" s="19" t="inlineStr">
        <is>
          <t>The new scheduling system uses N12 instead of N for a 12-hour night shift. On the Schedule sheet, use Find &amp; Replace to change every N code to N12 without touching any names or day labels. The gray cell counts N12 codes in the grid (C5:N35) and warns you if a name or day label changed too.</t>
        </is>
      </c>
      <c r="C17" s="57" t="n">
        <v>61</v>
      </c>
      <c r="D17" s="58" t="inlineStr">
        <is>
          <t>1. Click any single cell on the Schedule sheet (so Excel searches the whole sheet).
2. Press Ctrl + H (Mac: ⌃ + H). Find what: N, Replace with: N12.
3. Tick Match entire cell contents (click Options &gt;&gt; first if you can't see it). On a Mac the box is called Find entire cells only.
4. Click Replace All. Excel reports how many replacements it made, which matches the gray cell.</t>
        </is>
      </c>
      <c r="E17" cm="1" s="19">
        <f t="array" ref="E17">COUNTIF(Schedule!C5:N35,"N")</f>
        <v/>
      </c>
      <c r="F17" s="19" t="inlineStr">
        <is>
          <t>Without Match entire cell contents, Excel replaces the letter n anywhere in a cell, and it ignores capitals, so "Mon" would become "MoN12" and every name with an n would be damaged. With the option ticked, only cells containing exactly N change. Selecting just the code grid before Replace All is another safe approach, because Excel then searches only the selection.</t>
        </is>
      </c>
    </row>
  </sheetData>
  <mergeCells count="1">
    <mergeCell ref="A2:F2"/>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54" t="inlineStr">
        <is>
          <t>🔑 Bonus Key — Lesson 1.2</t>
        </is>
      </c>
    </row>
    <row r="2" ht="32" customHeight="1">
      <c r="A2" s="55" t="inlineStr">
        <is>
          <t>Spoiler alert: try every task before reading this sheet. Column C is the value the Check column compares against. Column D is a sample solution, and column E recalculates a formula for it live, proving the answer.</t>
        </is>
      </c>
    </row>
    <row r="4">
      <c r="A4" s="56" t="inlineStr">
        <is>
          <t>#</t>
        </is>
      </c>
      <c r="B4" s="56" t="inlineStr">
        <is>
          <t>Task</t>
        </is>
      </c>
      <c r="C4" s="56" t="inlineStr">
        <is>
          <t>Answer</t>
        </is>
      </c>
      <c r="D4" s="56" t="inlineStr">
        <is>
          <t>Sample solution</t>
        </is>
      </c>
      <c r="E4" s="56" t="inlineStr">
        <is>
          <t>Live result</t>
        </is>
      </c>
      <c r="F4" s="56" t="inlineStr">
        <is>
          <t>Explanation</t>
        </is>
      </c>
    </row>
    <row r="5" ht="81" customHeight="1">
      <c r="A5" s="18" t="inlineStr">
        <is>
          <t>B1</t>
        </is>
      </c>
      <c r="B5" s="19" t="inlineStr">
        <is>
          <t>Fill the date header C3:K3 with the next nine weekdays, skipping Saturdays and Sundays. The gray cell shows the date in K3.</t>
        </is>
      </c>
      <c r="C5" s="61" t="n">
        <v>46038</v>
      </c>
      <c r="D5" s="58" t="inlineStr">
        <is>
          <t>Select B3:K3, then choose Home → Fill → Series…: Rows, Type Date, Date unit Weekday, Step 1, and click OK. Or drag B3's fill handle to K3 and choose Auto Fill Options → Fill Weekdays.</t>
        </is>
      </c>
      <c r="E5" cm="1" s="62">
        <f t="array" ref="E5">WORKDAY('Clinic Grid'!B3,9)</f>
        <v/>
      </c>
      <c r="F5" s="19" t="inlineStr">
        <is>
          <t>Ten weekdays from Monday 01/05 end on Friday 01/16. If you see 01/14 in the last cell, the series included the weekend of 01/10–01/11. (The live formula in the key uses WORKDAY, a date function from Lesson 2.3.)</t>
        </is>
      </c>
    </row>
    <row r="6" ht="66" customHeight="1">
      <c r="A6" s="18" t="inlineStr">
        <is>
          <t>B2</t>
        </is>
      </c>
      <c r="B6" s="19" t="inlineStr">
        <is>
          <t>Fill the time column A5:A39 with 15-minute slots after 08:00, ending at 16:45. The gray cell shows the latest time in column A.</t>
        </is>
      </c>
      <c r="C6" s="63" t="n">
        <v>0.6979166666666666</v>
      </c>
      <c r="D6" s="58" t="inlineStr">
        <is>
          <t>Select A4, choose Home → Fill → Series…: Columns, Linear, Step 0:15, Stop 16:50, and click OK. Or type 8:15 in A5, select both cells, and drag the fill handle to A39.</t>
        </is>
      </c>
      <c r="E6" s="18" t="inlineStr">
        <is>
          <t>—</t>
        </is>
      </c>
      <c r="F6" s="19" t="inlineStr">
        <is>
          <t>08:00 to 16:45 every 15 minutes is 36 slots per day, so the grid has 36 × 10 = 360 cells.</t>
        </is>
      </c>
    </row>
    <row r="7" ht="111" customHeight="1">
      <c r="A7" s="18" t="inlineStr">
        <is>
          <t>B3</t>
        </is>
      </c>
      <c r="B7" s="19" t="inlineStr">
        <is>
          <t>Fill the whole grid B4:K39 with Open in one entry. Then type Lunch over the 12:00–12:45 rows for every day, and Admin over both Wednesday afternoons (13:00–16:45). Use one Ctrl+Enter for each step. The gray cell counts Lunch and Admin slots in the right places, minus any in the wrong place.</t>
        </is>
      </c>
      <c r="C7" s="57" t="n">
        <v>72</v>
      </c>
      <c r="D7" s="58" t="inlineStr">
        <is>
          <t>1. Select B4:K39, type Open, and press Ctrl + Enter (Mac: ⌘ + Return).
2. Select B20:K23 (12:00–12:45), type Lunch, and press Ctrl + Enter.
3. Select D24:D39, Ctrl+drag (Mac: ⌘+drag) I24:I39 (the two Wednesday afternoons), type Admin, and press Ctrl + Enter.</t>
        </is>
      </c>
      <c r="E7" s="18" t="inlineStr">
        <is>
          <t>—</t>
        </is>
      </c>
      <c r="F7" s="19" t="inlineStr">
        <is>
          <t>Lunch is 4 slots × 10 days = 40, and Admin is 16 afternoon slots × 2 Wednesdays = 32, so 72 slots are blocked. Typing over a selection with Ctrl + Enter replaces whatever was there, which is why you can paint Open everywhere first and then overwrite the exceptions.</t>
        </is>
      </c>
    </row>
    <row r="8" ht="141" customHeight="1">
      <c r="A8" s="18" t="inlineStr">
        <is>
          <t>B4</t>
        </is>
      </c>
      <c r="B8" s="19" t="inlineStr">
        <is>
          <t>Select both Friday-afternoon blocks (13:00–16:45), then use Find &amp; Replace to change Open to Telehealth inside that selection only. Excel reports how many replacements it made. The gray cell counts Telehealth slots in the right places, minus any in the wrong place, so the two numbers should agree.</t>
        </is>
      </c>
      <c r="C8" s="57" t="n">
        <v>32</v>
      </c>
      <c r="D8" s="58" t="inlineStr">
        <is>
          <t>1. Select F24:F39, then Ctrl+drag (Mac: ⌘+drag) K24:K39.
2. Press Ctrl + H (Mac: ⌃ + H). Find what: Open, Replace with: Telehealth. Tick Match entire cell contents for safety.
3. Click Replace All. Because more than one cell is selected, Excel searches only the selection. (You can also do one Friday at a time and add the two counts.)</t>
        </is>
      </c>
      <c r="E8" s="18" t="inlineStr">
        <is>
          <t>—</t>
        </is>
      </c>
      <c r="F8" s="19" t="inlineStr">
        <is>
          <t>Two Fridays × 16 afternoon slots = 32. If you had only one cell selected, Excel would have replaced every Open on the sheet, so the whole template would have turned into Telehealth.</t>
        </is>
      </c>
    </row>
    <row r="9" ht="111" customHeight="1">
      <c r="A9" s="18" t="inlineStr">
        <is>
          <t>B5</t>
        </is>
      </c>
      <c r="B9" s="19" t="inlineStr">
        <is>
          <t>How many slots are still Open for in-person booking? Work it out from the size of the grid and the slots you blocked or converted, then confirm it on the Clinic Grid with Find All. Type the number in the yellow cell.</t>
        </is>
      </c>
      <c r="C9" s="57" t="n">
        <v>256</v>
      </c>
      <c r="D9" s="58" t="inlineStr">
        <is>
          <t>Work it out: 36 rows × 10 days = 360 slots, minus 40 Lunch, 32 Admin, and 32 Telehealth = 256. To confirm, click one cell on the Clinic Grid, press Ctrl + F (Mac: ⌃ + F), type Open, tick Match entire cell contents, and click Find All. The dialog reports "256 cell(s) found".</t>
        </is>
      </c>
      <c r="E9" s="18" t="inlineStr">
        <is>
          <t>—</t>
        </is>
      </c>
      <c r="F9" s="19" t="inlineStr">
        <is>
          <t>Lunch takes 4 slots on each of 10 days (40). Admin and Telehealth each take the 16 afternoon slots on 2 days (32 and 32). That leaves 360 − 40 − 32 − 32 = 256 Open slots. If Find All reports more, part of a block is missing. If it reports fewer, something extra was overwritten. Working the number out first and then counting is a quick way to catch a fill that went wrong.</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1.2 — Data Entry, AutoFill &amp; Editing</dc:title>
  <dcterms:created xsi:type="dcterms:W3CDTF">2026-10-02T17:37:04Z</dcterms:created>
  <dcterms:modified xsi:type="dcterms:W3CDTF">2026-10-02T17:37:04Z</dcterms:modified>
</cp:coreProperties>
</file>
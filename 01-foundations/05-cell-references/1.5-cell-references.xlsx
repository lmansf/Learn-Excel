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xpenses" sheetId="3" state="visible" r:id="rId3"/>
    <sheet name="4 West OT" sheetId="4" state="visible" r:id="rId4"/>
    <sheet name="Staffing Grid" sheetId="5" state="visible" r:id="rId5"/>
    <sheet name="Q4 Summary" sheetId="6" state="visible" r:id="rId6"/>
    <sheet name="Oct" sheetId="7" state="visible" r:id="rId7"/>
    <sheet name="Nov" sheetId="8" state="visible" r:id="rId8"/>
    <sheet name="Dec" sheetId="9" state="visible" r:id="rId9"/>
    <sheet name="Bonus" sheetId="10" state="visible" r:id="rId10"/>
    <sheet name="Plan 2026" sheetId="11" state="visible" r:id="rId11"/>
    <sheet name="Answer Key" sheetId="12" state="hidden" r:id="rId12"/>
    <sheet name="Bonus Key" sheetId="13" state="hidden" r:id="rId13"/>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2">
    <numFmt numFmtId="164" formatCode="0.0%"/>
    <numFmt numFmtId="165" formatCode="0.0"/>
  </numFmts>
  <fonts count="20">
    <font>
      <name val="Calibri"/>
      <family val="2"/>
      <color theme="1"/>
      <sz val="11"/>
      <scheme val="minor"/>
    </font>
    <font>
      <b val="1"/>
      <color rgb="001F4E79"/>
      <sz val="13"/>
    </font>
    <font>
      <i val="1"/>
      <color rgb="00595959"/>
      <sz val="10"/>
    </font>
    <font>
      <b val="1"/>
      <color rgb="00FFFFFF"/>
    </font>
    <font>
      <b val="1"/>
      <color rgb="00000000"/>
    </font>
    <font>
      <b val="1"/>
      <color rgb="007B2C2C"/>
      <sz val="16"/>
    </font>
    <font>
      <i val="1"/>
      <color rgb="00595959"/>
    </font>
    <font>
      <b val="1"/>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0000FF"/>
    </font>
  </fonts>
  <fills count="11">
    <fill>
      <patternFill/>
    </fill>
    <fill>
      <patternFill patternType="gray125"/>
    </fill>
    <fill>
      <patternFill patternType="solid">
        <fgColor rgb="001F4E79"/>
      </patternFill>
    </fill>
    <fill>
      <patternFill patternType="solid">
        <fgColor rgb="00FFD966"/>
      </patternFill>
    </fill>
    <fill>
      <patternFill patternType="solid">
        <fgColor rgb="00FFF2CC"/>
      </patternFill>
    </fill>
    <fill>
      <patternFill patternType="solid">
        <fgColor rgb="007B2C2C"/>
      </patternFill>
    </fill>
    <fill>
      <patternFill patternType="solid">
        <fgColor rgb="00EDEDED"/>
      </patternFill>
    </fill>
    <fill>
      <patternFill patternType="solid">
        <fgColor rgb="00C6EFCE"/>
      </patternFill>
    </fill>
    <fill>
      <patternFill patternType="solid">
        <fgColor rgb="00FFC7CE"/>
      </patternFill>
    </fill>
    <fill>
      <patternFill patternType="solid">
        <fgColor rgb="00DDEBF7"/>
      </patternFill>
    </fill>
    <fill>
      <patternFill patternType="solid">
        <fgColor rgb="00D9E1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
      <top style="thin">
        <color rgb="00000000"/>
      </top>
      <bottom style="double">
        <color rgb="00000000"/>
      </bottom>
    </border>
    <border/>
  </borders>
  <cellStyleXfs count="1">
    <xf numFmtId="0" fontId="0" fillId="0" borderId="0"/>
  </cellStyleXfs>
  <cellXfs count="66">
    <xf numFmtId="0" fontId="0" fillId="0" borderId="0" pivotButton="0" quotePrefix="0" xfId="0"/>
    <xf numFmtId="0" fontId="15" fillId="0" borderId="0" pivotButton="0" quotePrefix="0" xfId="0"/>
    <xf numFmtId="0" fontId="16" fillId="0" borderId="0" pivotButton="0" quotePrefix="0" xfId="0"/>
    <xf numFmtId="0" fontId="6" fillId="0" borderId="0" pivotButton="0" quotePrefix="0" xfId="0"/>
    <xf numFmtId="0" fontId="17" fillId="2" borderId="0" pivotButton="0" quotePrefix="0" xfId="0"/>
    <xf numFmtId="0" fontId="0" fillId="2" borderId="0" pivotButton="0" quotePrefix="0" xfId="0"/>
    <xf numFmtId="0" fontId="18"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7" fillId="4" borderId="0" applyAlignment="1" pivotButton="0" quotePrefix="0" xfId="0">
      <alignment vertical="top" wrapText="1"/>
    </xf>
    <xf numFmtId="0" fontId="7" fillId="6" borderId="0" applyAlignment="1" pivotButton="0" quotePrefix="0" xfId="0">
      <alignment vertical="top" wrapText="1"/>
    </xf>
    <xf numFmtId="0" fontId="7" fillId="7" borderId="0" applyAlignment="1" pivotButton="0" quotePrefix="0" xfId="0">
      <alignment vertical="top" wrapText="1"/>
    </xf>
    <xf numFmtId="0" fontId="7" fillId="8"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4" fillId="0" borderId="0" pivotButton="0" quotePrefix="0" xfId="0"/>
    <xf numFmtId="0" fontId="3"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2" fillId="0" borderId="1" applyAlignment="1" pivotButton="0" quotePrefix="0" xfId="0">
      <alignment vertical="top" wrapText="1"/>
    </xf>
    <xf numFmtId="0" fontId="0" fillId="4" borderId="2" applyAlignment="1" pivotButton="0" quotePrefix="0" xfId="0">
      <alignment horizontal="left" vertical="top"/>
    </xf>
    <xf numFmtId="0" fontId="7" fillId="0" borderId="1" applyAlignment="1" pivotButton="0" quotePrefix="0" xfId="0">
      <alignment vertical="top"/>
    </xf>
    <xf numFmtId="164" fontId="0" fillId="4" borderId="2" applyAlignment="1" pivotButton="0" quotePrefix="0" xfId="0">
      <alignment horizontal="right" vertical="top"/>
    </xf>
    <xf numFmtId="164" fontId="13" fillId="6" borderId="1" applyAlignment="1" pivotButton="0" quotePrefix="0" xfId="0">
      <alignment horizontal="right" vertical="top"/>
    </xf>
    <xf numFmtId="4" fontId="0" fillId="4" borderId="2" applyAlignment="1" pivotButton="0" quotePrefix="0" xfId="0">
      <alignment horizontal="right" vertical="top"/>
    </xf>
    <xf numFmtId="4" fontId="13" fillId="6" borderId="1" applyAlignment="1" pivotButton="0" quotePrefix="0" xfId="0">
      <alignment horizontal="right" vertical="top"/>
    </xf>
    <xf numFmtId="0" fontId="13" fillId="6" borderId="1" applyAlignment="1" pivotButton="0" quotePrefix="0" xfId="0">
      <alignment horizontal="right" vertical="top"/>
    </xf>
    <xf numFmtId="0" fontId="0" fillId="4" borderId="2" applyAlignment="1" pivotButton="0" quotePrefix="0" xfId="0">
      <alignment horizontal="right" vertical="top"/>
    </xf>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3" fontId="0" fillId="0" borderId="0" pivotButton="0" quotePrefix="0" xfId="0"/>
    <xf numFmtId="164" fontId="0" fillId="4" borderId="0" pivotButton="0" quotePrefix="0" xfId="0"/>
    <xf numFmtId="0" fontId="7" fillId="0" borderId="3" pivotButton="0" quotePrefix="0" xfId="0"/>
    <xf numFmtId="3" fontId="7" fillId="0" borderId="3" pivotButton="0" quotePrefix="0" xfId="0"/>
    <xf numFmtId="164" fontId="0" fillId="0" borderId="4" pivotButton="0" quotePrefix="0" xfId="0"/>
    <xf numFmtId="0" fontId="7" fillId="0" borderId="0" applyAlignment="1" pivotButton="0" quotePrefix="0" xfId="0">
      <alignment horizontal="right"/>
    </xf>
    <xf numFmtId="165" fontId="19" fillId="9" borderId="1" pivotButton="0" quotePrefix="0" xfId="0"/>
    <xf numFmtId="0" fontId="3" fillId="2" borderId="0" pivotButton="0" quotePrefix="0" xfId="0"/>
    <xf numFmtId="0" fontId="4" fillId="3" borderId="0" pivotButton="0" quotePrefix="0" xfId="0"/>
    <xf numFmtId="4" fontId="0" fillId="0" borderId="0" pivotButton="0" quotePrefix="0" xfId="0"/>
    <xf numFmtId="2" fontId="0" fillId="0" borderId="0" pivotButton="0" quotePrefix="0" xfId="0"/>
    <xf numFmtId="4" fontId="0" fillId="4" borderId="0" pivotButton="0" quotePrefix="0" xfId="0"/>
    <xf numFmtId="0" fontId="3" fillId="2" borderId="1" applyAlignment="1" pivotButton="0" quotePrefix="0" xfId="0">
      <alignment horizontal="center" vertical="center"/>
    </xf>
    <xf numFmtId="165" fontId="3" fillId="2" borderId="1" applyAlignment="1" pivotButton="0" quotePrefix="0" xfId="0">
      <alignment horizontal="center"/>
    </xf>
    <xf numFmtId="0" fontId="7" fillId="10" borderId="1" applyAlignment="1" pivotButton="0" quotePrefix="0" xfId="0">
      <alignment horizontal="center"/>
    </xf>
    <xf numFmtId="3" fontId="0" fillId="4" borderId="2" pivotButton="0" quotePrefix="0" xfId="0"/>
    <xf numFmtId="0" fontId="3" fillId="2" borderId="1" applyAlignment="1" pivotButton="0" quotePrefix="0" xfId="0">
      <alignment horizontal="center" vertical="center" wrapText="1"/>
    </xf>
    <xf numFmtId="0" fontId="0" fillId="0" borderId="1" pivotButton="0" quotePrefix="0" xfId="0"/>
    <xf numFmtId="3" fontId="0" fillId="0" borderId="1" pivotButton="0" quotePrefix="0" xfId="0"/>
    <xf numFmtId="3" fontId="0" fillId="4" borderId="2" applyAlignment="1" pivotButton="0" quotePrefix="0" xfId="0">
      <alignment horizontal="right" vertical="top"/>
    </xf>
    <xf numFmtId="164" fontId="19" fillId="9" borderId="1"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3" fillId="5" borderId="1" pivotButton="0" quotePrefix="0" xfId="0"/>
    <xf numFmtId="0" fontId="7" fillId="0" borderId="1" applyAlignment="1" pivotButton="0" quotePrefix="0" xfId="0">
      <alignment vertical="top" wrapText="1"/>
    </xf>
    <xf numFmtId="0" fontId="8" fillId="0" borderId="1" applyAlignment="1" pivotButton="0" quotePrefix="1" xfId="0">
      <alignment vertical="top" wrapText="1"/>
    </xf>
    <xf numFmtId="164" fontId="7" fillId="0" borderId="1" applyAlignment="1" pivotButton="0" quotePrefix="0" xfId="0">
      <alignment vertical="top" wrapText="1"/>
    </xf>
    <xf numFmtId="164" fontId="0" fillId="0" borderId="1" applyAlignment="1" pivotButton="0" quotePrefix="0" xfId="0">
      <alignment vertical="top"/>
    </xf>
    <xf numFmtId="4" fontId="7" fillId="0" borderId="1" applyAlignment="1" pivotButton="0" quotePrefix="0" xfId="0">
      <alignment vertical="top" wrapText="1"/>
    </xf>
    <xf numFmtId="4" fontId="0" fillId="0" borderId="1" applyAlignment="1" pivotButton="0" quotePrefix="0" xfId="0">
      <alignment vertical="top"/>
    </xf>
    <xf numFmtId="0" fontId="0" fillId="0" borderId="1" applyAlignment="1" pivotButton="0" quotePrefix="0" xfId="0">
      <alignment vertical="top"/>
    </xf>
    <xf numFmtId="3" fontId="7" fillId="0" borderId="1" applyAlignment="1" pivotButton="0" quotePrefix="0" xfId="0">
      <alignment vertical="top" wrapText="1"/>
    </xf>
    <xf numFmtId="3"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 Id="rIdXlcMeta"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1.5</t>
        </is>
      </c>
    </row>
    <row r="3">
      <c r="B3" s="2" t="inlineStr">
        <is>
          <t>Relative, Absolute &amp; Mixed References</t>
        </is>
      </c>
    </row>
    <row r="4">
      <c r="B4" s="3" t="inlineStr">
        <is>
          <t>Beginner  ·  about 45 minutes  ·  Bluestone Health System (fictional)</t>
        </is>
      </c>
    </row>
    <row r="6">
      <c r="B6" s="4" t="inlineStr">
        <is>
          <t>What you'll learn</t>
        </is>
      </c>
      <c r="C6" s="5" t="n"/>
    </row>
    <row r="7" ht="18" customHeight="1">
      <c r="B7" s="6" t="inlineStr">
        <is>
          <t>•</t>
        </is>
      </c>
      <c r="C7" s="7" t="inlineStr">
        <is>
          <t>Predict how relative references change when a formula is copied</t>
        </is>
      </c>
    </row>
    <row r="8" ht="18" customHeight="1">
      <c r="B8" s="6" t="inlineStr">
        <is>
          <t>•</t>
        </is>
      </c>
      <c r="C8" s="7" t="inlineStr">
        <is>
          <t>Lock references with $ (absolute) and use F4 to toggle</t>
        </is>
      </c>
    </row>
    <row r="9" ht="18" customHeight="1">
      <c r="B9" s="6" t="inlineStr">
        <is>
          <t>•</t>
        </is>
      </c>
      <c r="C9" s="7" t="inlineStr">
        <is>
          <t>Build two-way grids with mixed references ($A1 and A$1)</t>
        </is>
      </c>
    </row>
    <row r="10" ht="18" customHeight="1">
      <c r="B10" s="6" t="inlineStr">
        <is>
          <t>•</t>
        </is>
      </c>
      <c r="C10" s="7" t="inlineStr">
        <is>
          <t>Reference other sheets and sum the same cell across sheets (3-D references)</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https://github.com/lmansf/learn-excel/tree/main/01-foundations/05-cell-references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The data sheets are plain ranges, not Excel Tables, so the formulas you write use ordinary A1 references with $ signs. (Tables use structured references instead; see Lesson 3.1.)</t>
        </is>
      </c>
    </row>
    <row r="19" ht="33" customHeight="1">
      <c r="B19" s="8" t="inlineStr">
        <is>
          <t>Note</t>
        </is>
      </c>
      <c r="C19" s="7" t="inlineStr">
        <is>
          <t>Staffing Grid, Q4 Summary, and Plan 2026 are layout sheets with yellow grids for you to fill with one formula each.</t>
        </is>
      </c>
    </row>
    <row r="20" ht="18" customHeight="1">
      <c r="B20" s="8" t="inlineStr">
        <is>
          <t>Note</t>
        </is>
      </c>
      <c r="C20" s="7" t="inlineStr">
        <is>
          <t>Keep the Oct, Nov, and Dec tabs together and in that order: 3-D formulas depend on tab positions.</t>
        </is>
      </c>
    </row>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 it reads the work you did on another sheet.</t>
        </is>
      </c>
    </row>
    <row r="25" ht="18" customHeight="1">
      <c r="B25" s="11" t="inlineStr">
        <is>
          <t>✔ Correct</t>
        </is>
      </c>
      <c r="C25" s="7" t="inlineStr">
        <is>
          <t>Your answer matches the key.</t>
        </is>
      </c>
    </row>
    <row r="26" ht="18" customHeight="1">
      <c r="B26" s="12" t="inlineStr">
        <is>
          <t>✘ Not yet</t>
        </is>
      </c>
      <c r="C26" s="7" t="inlineStr">
        <is>
          <t>Not matching yet — check the hint and try again.</t>
        </is>
      </c>
    </row>
    <row r="28">
      <c r="B28" s="4" t="inlineStr">
        <is>
          <t>Sheets in this workbook</t>
        </is>
      </c>
      <c r="C28" s="5" t="n"/>
    </row>
    <row r="29" ht="18" customHeight="1">
      <c r="B29" s="8" t="inlineStr">
        <is>
          <t>Expenses</t>
        </is>
      </c>
      <c r="C29" s="7" t="inlineStr">
        <is>
          <t>Data: 17 rows</t>
        </is>
      </c>
    </row>
    <row r="30" ht="18" customHeight="1">
      <c r="B30" s="8" t="inlineStr">
        <is>
          <t>Oct</t>
        </is>
      </c>
      <c r="C30" s="7" t="inlineStr">
        <is>
          <t>Data: 17 rows</t>
        </is>
      </c>
    </row>
    <row r="31" ht="18" customHeight="1">
      <c r="B31" s="8" t="inlineStr">
        <is>
          <t>Nov</t>
        </is>
      </c>
      <c r="C31" s="7" t="inlineStr">
        <is>
          <t>Data: 17 rows</t>
        </is>
      </c>
    </row>
    <row r="32" ht="18" customHeight="1">
      <c r="B32" s="8" t="inlineStr">
        <is>
          <t>Dec</t>
        </is>
      </c>
      <c r="C32" s="7" t="inlineStr">
        <is>
          <t>Data: 17 rows</t>
        </is>
      </c>
    </row>
    <row r="33" ht="18" customHeight="1">
      <c r="B33" s="8" t="inlineStr">
        <is>
          <t>4 West OT</t>
        </is>
      </c>
      <c r="C33" s="7" t="inlineStr">
        <is>
          <t>Data: 67 rows</t>
        </is>
      </c>
    </row>
    <row r="34" ht="48" customHeight="1">
      <c r="B34" s="8" t="inlineStr">
        <is>
          <t>About the data</t>
        </is>
      </c>
      <c r="C34" s="7" t="inlineStr">
        <is>
          <t>Bluestone Memorial Hospital's 2025 operating expenses by department and category, the same breakdown for October, November, and December 2025, December 2025 overtime for the hourly staff of Medical-Surgical 4 West, and a 4 West staffing grid.</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1.5 · Practice</t>
        </is>
      </c>
    </row>
    <row r="2" ht="34" customHeight="1">
      <c r="A2" s="14" t="inlineStr">
        <is>
          <t>Tasks 1, 4, and 8 ask you to predict a formula or reference. Type your answer as text without the leading = (for example AVERAGE(B2:B9)), because Excel would calculate it if you typed the =. The other tasks want a formula in the yellow cell, or work on another sheet that a gray cell checks.</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"&amp;COUNTIF(E6:E17,"✔*")&amp;" of 12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On the Expenses sheet, cell J5 contains =SUM(C5:I5), the Emergency Department's total. If you copy J5 and paste it into J14, what formula will J14 contain? Type it without the =, then click J14 to check.</t>
        </is>
      </c>
      <c r="C6" s="20" t="inlineStr">
        <is>
          <t>Relative references keep their distance from the formula cell</t>
        </is>
      </c>
      <c r="D6" s="21" t="n"/>
      <c r="E6" s="22">
        <f>IF(IFERROR(D6="",FALSE),"",IF(IFERROR(OR(LOWER(TRIM(D6&amp;""))=LOWER(TRIM('Answer Key'!$C$5&amp;"")),LOWER(TRIM(D6&amp;""))="=sum(c14:i14)"),FALSE),"✔ Correct","✘ Not yet"))</f>
        <v/>
      </c>
    </row>
    <row r="7" ht="51" customHeight="1">
      <c r="A7" s="18" t="inlineStr">
        <is>
          <t>2</t>
        </is>
      </c>
      <c r="B7" s="19" t="inlineStr">
        <is>
          <t>What share of Bluestone Memorial's 2025 operating expense came from the Intensive Care Unit? Divide the ICU's total (Expenses!J9) by the hospital total (Expenses!J21). Enter it as a percentage.</t>
        </is>
      </c>
      <c r="C7" s="20" t="inlineStr">
        <is>
          <t>Type =, click the Expenses tab, click the cell, type /, click the other cell, press Enter</t>
        </is>
      </c>
      <c r="D7" s="23" t="n"/>
      <c r="E7" s="22">
        <f>IF(IFERROR(D7="",FALSE),"",IF(IFERROR(AND(ISNUMBER(D7),OR(ABS(D7-'Answer Key'!$C$6)&lt;=0.00051,ABS(D7-'Answer Key'!$C$6*100)&lt;=0.051000000000000004)),FALSE),"✔ Correct","✘ Not yet"))</f>
        <v/>
      </c>
    </row>
    <row r="8" ht="66" customHeight="1">
      <c r="A8" s="18" t="inlineStr">
        <is>
          <t>3</t>
        </is>
      </c>
      <c r="B8" s="19" t="inlineStr">
        <is>
          <t>On the Expenses sheet, fill the yellow % of Total column (K5:K20) with ONE formula: type it in K5, lock the reference to the hospital total in J21, then drag the fill handle down to row 20. The gray cell adds up your column. If it shows #DIV/0!, the total reference moved when you copied.</t>
        </is>
      </c>
      <c r="C8" s="20" t="inlineStr">
        <is>
          <t>Click J21 in the formula, then press F4 (Mac: ⌘ + T)</t>
        </is>
      </c>
      <c r="D8" cm="1" s="24">
        <f t="array" ref="D8">IF(COUNT(Expenses!K5:K20)=0,"",SUM(Expenses!K5:K20))</f>
        <v/>
      </c>
      <c r="E8" s="22">
        <f>IF(IFERROR(D8="",FALSE),"",IF(IFERROR(AND(ISNUMBER(D8),OR(ABS(D8-'Answer Key'!$C$7)&lt;=0.00051,ABS(D8-'Answer Key'!$C$7*100)&lt;=0.051000000000000004)),FALSE),"✔ Correct","✘ Not yet"))</f>
        <v/>
      </c>
    </row>
    <row r="9" ht="51" customHeight="1">
      <c r="A9" s="18" t="inlineStr">
        <is>
          <t>4</t>
        </is>
      </c>
      <c r="B9" s="19" t="inlineStr">
        <is>
          <t>You type =C21 in a cell, leave the cursor in the reference, and press F4 three times (Mac: ⌘ + T three times). Which reference do you end up with? Type it without the =.</t>
        </is>
      </c>
      <c r="C9" s="20" t="inlineStr">
        <is>
          <t>Absolute, then row locked, then column locked…</t>
        </is>
      </c>
      <c r="D9" s="21" t="n"/>
      <c r="E9" s="22">
        <f>IF(IFERROR(D9="",FALSE),"",IF(IFERROR(OR(LOWER(TRIM(D9&amp;""))=LOWER(TRIM('Answer Key'!$C$8&amp;"")),LOWER(TRIM(D9&amp;""))="=$c21"),FALSE),"✔ Correct","✘ Not yet"))</f>
        <v/>
      </c>
    </row>
    <row r="10" ht="66" customHeight="1">
      <c r="A10" s="18" t="inlineStr">
        <is>
          <t>5</t>
        </is>
      </c>
      <c r="B10" s="19" t="inlineStr">
        <is>
          <t>On the 4 West OT sheet, Jessica Aguilar (row 33) worked 9.10 overtime hours in December. On this Practice sheet, write a formula for this employee's overtime pay: OTHours × HourlyRate × the overtime multiplier in B3. Refer to the cells; don't type the numbers.</t>
        </is>
      </c>
      <c r="C10" s="20" t="inlineStr">
        <is>
          <t>The sheet name starts with a digit and contains spaces, so it needs single quotes</t>
        </is>
      </c>
      <c r="D10" s="25" t="n"/>
      <c r="E10" s="22">
        <f>IF(IFERROR(D10="",FALSE),"",IF(IFERROR(AND(ISNUMBER(D10),OR(ABS(D10-'Answer Key'!$C$9)&lt;=0.0051)),FALSE),"✔ Correct","✘ Not yet"))</f>
        <v/>
      </c>
    </row>
    <row r="11" ht="51" customHeight="1">
      <c r="A11" s="18" t="inlineStr">
        <is>
          <t>6</t>
        </is>
      </c>
      <c r="B11" s="19" t="inlineStr">
        <is>
          <t>On the 4 West OT sheet, fill the yellow OTPay column (H6:H72) with one formula: OTHours × HourlyRate × the overtime multiplier in B3. Type it in H6 and copy it down. The gray cell totals your column: what did December's overtime cost?</t>
        </is>
      </c>
      <c r="C11" s="20" t="inlineStr">
        <is>
          <t>Lock B3; let the row references move</t>
        </is>
      </c>
      <c r="D11" cm="1" s="26">
        <f t="array" ref="D11">IF(COUNT('4 West OT'!H6:H72)=0,"",SUM('4 West OT'!H6:H72))</f>
        <v/>
      </c>
      <c r="E11" s="22">
        <f>IF(IFERROR(D11="",FALSE),"",IF(IFERROR(AND(ISNUMBER(D11),OR(ABS(D11-'Answer Key'!$C$10)&lt;=0.0051)),FALSE),"✔ Correct","✘ Not yet"))</f>
        <v/>
      </c>
    </row>
    <row r="12" ht="51" customHeight="1">
      <c r="A12" s="18" t="inlineStr">
        <is>
          <t>7</t>
        </is>
      </c>
      <c r="B12" s="19" t="inlineStr">
        <is>
          <t>Finance asks what December's overtime would have cost at double time. Change '4 West OT'!B3 to 2, read task 6's gray cell, and type that amount here as a number. Then set B3 back to 1.5.</t>
        </is>
      </c>
      <c r="C12" s="20" t="inlineStr">
        <is>
          <t>One edit updates the whole column. That's the point of the rate cell</t>
        </is>
      </c>
      <c r="D12" s="25" t="n"/>
      <c r="E12" s="22">
        <f>IF(IFERROR(D12="",FALSE),"",IF(IFERROR(AND(ISNUMBER(D12),OR(ABS(D12-'Answer Key'!$C$11)&lt;=0.01)),FALSE),"✔ Correct","✘ Not yet"))</f>
        <v/>
      </c>
    </row>
    <row r="13" ht="36" customHeight="1">
      <c r="A13" s="18" t="inlineStr">
        <is>
          <t>8</t>
        </is>
      </c>
      <c r="B13" s="19" t="inlineStr">
        <is>
          <t>A grid has labels across row 2 and down column A, and cell B3 holds =B$2*$A3. If you copy B3 to D6, what formula will D6 contain? Type it without the =.</t>
        </is>
      </c>
      <c r="C13" s="20" t="inlineStr">
        <is>
          <t>A $ freezes only the part right after it</t>
        </is>
      </c>
      <c r="D13" s="21" t="n"/>
      <c r="E13" s="22">
        <f>IF(IFERROR(D13="",FALSE),"",IF(IFERROR(OR(LOWER(TRIM(D13&amp;""))=LOWER(TRIM('Answer Key'!$C$12&amp;"")),LOWER(TRIM(D13&amp;""))="=d$2*$a6"),FALSE),"✔ Correct","✘ Not yet"))</f>
        <v/>
      </c>
    </row>
    <row r="14" ht="66" customHeight="1">
      <c r="A14" s="18" t="inlineStr">
        <is>
          <t>9</t>
        </is>
      </c>
      <c r="B14" s="19" t="inlineStr">
        <is>
          <t>On the Staffing Grid sheet, fill the yellow grid B6:H12 with ONE formula: nursing hours needed per day = census (column A) × HPPD target (row 5). Type it in B6, copy it across to H6, then down to row 12. The gray cell adds up the whole grid.</t>
        </is>
      </c>
      <c r="C14" s="20" t="inlineStr">
        <is>
          <t>Lock the column of the census and the row of the HPPD</t>
        </is>
      </c>
      <c r="D14" cm="1" s="27">
        <f t="array" ref="D14">IF(COUNT('Staffing Grid'!B6:H12)=0,"",SUM('Staffing Grid'!B6:H12))</f>
        <v/>
      </c>
      <c r="E14" s="22">
        <f>IF(IFERROR(D14="",FALSE),"",IF(IFERROR(AND(ISNUMBER(D14),OR(ABS(D14-'Answer Key'!$C$13)&lt;=0.0001)),FALSE),"✔ Correct","✘ Not yet"))</f>
        <v/>
      </c>
    </row>
    <row r="15" ht="36" customHeight="1">
      <c r="A15" s="18" t="inlineStr">
        <is>
          <t>10</t>
        </is>
      </c>
      <c r="B15" s="19" t="inlineStr">
        <is>
          <t>Using one 3-D reference, what did Oncology (row 11 on the Oct, Nov, and Dec sheets) spend on Pharmaceuticals (column F) in Q4 2025?</t>
        </is>
      </c>
      <c r="C15" s="20" t="inlineStr">
        <is>
          <t>Type =SUM(, click the Oct tab, Shift+click the Dec tab, then click the cell</t>
        </is>
      </c>
      <c r="D15" s="28" t="n"/>
      <c r="E15" s="22">
        <f>IF(IFERROR(D15="",FALSE),"",IF(IFERROR(AND(ISNUMBER(D15),OR(ABS(D15-'Answer Key'!$C$14)&lt;=0.0001)),FALSE),"✔ Correct","✘ Not yet"))</f>
        <v/>
      </c>
    </row>
    <row r="16" ht="66" customHeight="1">
      <c r="A16" s="18" t="inlineStr">
        <is>
          <t>11</t>
        </is>
      </c>
      <c r="B16" s="19" t="inlineStr">
        <is>
          <t>Fill the yellow grid on the Q4 Summary sheet (C5:I20) with ONE 3-D formula that adds the same cell on the Oct, Nov, and Dec sheets. Type it in C5, copy it across to I5, then down to row 20. The gray cell adds up your grid: what was Bluestone Memorial's Q4 operating expense?</t>
        </is>
      </c>
      <c r="C16" s="20" t="inlineStr">
        <is>
          <t>3-D references copy like ordinary relative references</t>
        </is>
      </c>
      <c r="D16" cm="1" s="27">
        <f t="array" ref="D16">IF(COUNT('Q4 Summary'!C5:I20)=0,"",SUM('Q4 Summary'!C5:I20))</f>
        <v/>
      </c>
      <c r="E16" s="22">
        <f>IF(IFERROR(D16="",FALSE),"",IF(IFERROR(AND(ISNUMBER(D16),OR(ABS(D16-'Answer Key'!$C$15)&lt;=0.0001)),FALSE),"✔ Correct","✘ Not yet"))</f>
        <v/>
      </c>
    </row>
    <row r="17" ht="66" customHeight="1">
      <c r="A17" s="18" t="inlineStr">
        <is>
          <t>12</t>
        </is>
      </c>
      <c r="B17" s="19" t="inlineStr">
        <is>
          <t>A colleague drags the Nov tab to the right of the Dec tab. What would =SUM(Oct:Dec!J21) return then? (J21 is each month's hospital total.) Predict it with a formula. If you test it by moving the tab, drag Nov back between Oct and Dec afterwards.</t>
        </is>
      </c>
      <c r="C17" s="20" t="inlineStr">
        <is>
          <t>A 3-D range is defined by tab positions, not by month names</t>
        </is>
      </c>
      <c r="D17" s="28" t="n"/>
      <c r="E17" s="22">
        <f>IF(IFERROR(D17="",FALSE),"",IF(IFERROR(AND(ISNUMBER(D17),OR(ABS(D17-'Answer Key'!$C$16)&lt;=0.0001)),FALSE),"✔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21"/>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3" customWidth="1" min="10" max="10"/>
    <col width="10" customWidth="1" min="11" max="11"/>
  </cols>
  <sheetData>
    <row r="1">
      <c r="A1" s="29" t="inlineStr">
        <is>
          <t>Bluestone Memorial Hospital · 2025 operating expense by department (actual, $)</t>
        </is>
      </c>
    </row>
    <row r="2">
      <c r="A2" s="30" t="inlineStr">
        <is>
          <t>Column J (Total) and row 21 (Hospital total) are formulas: click one and read the formula bar. Column K is yours to fill.</t>
        </is>
      </c>
    </row>
    <row r="4" ht="32" customHeight="1">
      <c r="A4" s="31" t="inlineStr">
        <is>
          <t>Department</t>
        </is>
      </c>
      <c r="B4" s="31" t="inlineStr">
        <is>
          <t>Cost Center</t>
        </is>
      </c>
      <c r="C4" s="31" t="inlineStr">
        <is>
          <t>Salaries &amp; Wages</t>
        </is>
      </c>
      <c r="D4" s="31" t="inlineStr">
        <is>
          <t>Employee Benefits</t>
        </is>
      </c>
      <c r="E4" s="31" t="inlineStr">
        <is>
          <t>Medical Supplies</t>
        </is>
      </c>
      <c r="F4" s="31" t="inlineStr">
        <is>
          <t>Pharmaceuticals</t>
        </is>
      </c>
      <c r="G4" s="31" t="inlineStr">
        <is>
          <t>Purchased Services</t>
        </is>
      </c>
      <c r="H4" s="31" t="inlineStr">
        <is>
          <t>Equipment &amp; Maintenance</t>
        </is>
      </c>
      <c r="I4" s="31" t="inlineStr">
        <is>
          <t>Other Operating</t>
        </is>
      </c>
      <c r="J4" s="31" t="inlineStr">
        <is>
          <t>Total</t>
        </is>
      </c>
      <c r="K4" s="32" t="inlineStr">
        <is>
          <t>% of Total</t>
        </is>
      </c>
    </row>
    <row r="5">
      <c r="A5" t="inlineStr">
        <is>
          <t>Emergency Department</t>
        </is>
      </c>
      <c r="B5" t="n">
        <v>6100</v>
      </c>
      <c r="C5" s="33" t="n">
        <v>10290782</v>
      </c>
      <c r="D5" s="33" t="n">
        <v>2857681</v>
      </c>
      <c r="E5" s="33" t="n">
        <v>1381877</v>
      </c>
      <c r="F5" s="33" t="n">
        <v>923543</v>
      </c>
      <c r="G5" s="33" t="n">
        <v>1259187</v>
      </c>
      <c r="H5" s="33" t="n">
        <v>537673</v>
      </c>
      <c r="I5" s="33" t="n">
        <v>312576</v>
      </c>
      <c r="J5" s="33">
        <f>SUM(C5:I5)</f>
        <v/>
      </c>
      <c r="K5" s="34" t="n"/>
    </row>
    <row r="6">
      <c r="A6" t="inlineStr">
        <is>
          <t>Medical-Surgical 4 West</t>
        </is>
      </c>
      <c r="B6" t="n">
        <v>6110</v>
      </c>
      <c r="C6" s="33" t="n">
        <v>7354059</v>
      </c>
      <c r="D6" s="33" t="n">
        <v>2139913</v>
      </c>
      <c r="E6" s="33" t="n">
        <v>1064931</v>
      </c>
      <c r="F6" s="33" t="n">
        <v>886875</v>
      </c>
      <c r="G6" s="33" t="n">
        <v>354948</v>
      </c>
      <c r="H6" s="33" t="n">
        <v>210697</v>
      </c>
      <c r="I6" s="33" t="n">
        <v>161038</v>
      </c>
      <c r="J6" s="33">
        <f>SUM(C6:I6)</f>
        <v/>
      </c>
      <c r="K6" s="34" t="n"/>
    </row>
    <row r="7">
      <c r="A7" t="inlineStr">
        <is>
          <t>Medical-Surgical 5 East</t>
        </is>
      </c>
      <c r="B7" t="n">
        <v>6111</v>
      </c>
      <c r="C7" s="33" t="n">
        <v>6916992</v>
      </c>
      <c r="D7" s="33" t="n">
        <v>2013494</v>
      </c>
      <c r="E7" s="33" t="n">
        <v>1012628</v>
      </c>
      <c r="F7" s="33" t="n">
        <v>803057</v>
      </c>
      <c r="G7" s="33" t="n">
        <v>304402</v>
      </c>
      <c r="H7" s="33" t="n">
        <v>174314</v>
      </c>
      <c r="I7" s="33" t="n">
        <v>145189</v>
      </c>
      <c r="J7" s="33">
        <f>SUM(C7:I7)</f>
        <v/>
      </c>
      <c r="K7" s="34" t="n"/>
    </row>
    <row r="8">
      <c r="A8" t="inlineStr">
        <is>
          <t>Cardiac Step-Down</t>
        </is>
      </c>
      <c r="B8" t="n">
        <v>6120</v>
      </c>
      <c r="C8" s="33" t="n">
        <v>5211816</v>
      </c>
      <c r="D8" s="33" t="n">
        <v>1499676</v>
      </c>
      <c r="E8" s="33" t="n">
        <v>801961</v>
      </c>
      <c r="F8" s="33" t="n">
        <v>590280</v>
      </c>
      <c r="G8" s="33" t="n">
        <v>217058</v>
      </c>
      <c r="H8" s="33" t="n">
        <v>133279</v>
      </c>
      <c r="I8" s="33" t="n">
        <v>103618</v>
      </c>
      <c r="J8" s="33">
        <f>SUM(C8:I8)</f>
        <v/>
      </c>
      <c r="K8" s="34" t="n"/>
    </row>
    <row r="9">
      <c r="A9" t="inlineStr">
        <is>
          <t>Intensive Care Unit</t>
        </is>
      </c>
      <c r="B9" t="n">
        <v>6130</v>
      </c>
      <c r="C9" s="33" t="n">
        <v>6780606</v>
      </c>
      <c r="D9" s="33" t="n">
        <v>1939718</v>
      </c>
      <c r="E9" s="33" t="n">
        <v>1112004</v>
      </c>
      <c r="F9" s="33" t="n">
        <v>1000718</v>
      </c>
      <c r="G9" s="33" t="n">
        <v>190029</v>
      </c>
      <c r="H9" s="33" t="n">
        <v>230190</v>
      </c>
      <c r="I9" s="33" t="n">
        <v>90423</v>
      </c>
      <c r="J9" s="33">
        <f>SUM(C9:I9)</f>
        <v/>
      </c>
      <c r="K9" s="34" t="n"/>
    </row>
    <row r="10">
      <c r="A10" t="inlineStr">
        <is>
          <t>Orthopedics &amp; Spine</t>
        </is>
      </c>
      <c r="B10" t="n">
        <v>6140</v>
      </c>
      <c r="C10" s="33" t="n">
        <v>4959574</v>
      </c>
      <c r="D10" s="33" t="n">
        <v>1338811</v>
      </c>
      <c r="E10" s="33" t="n">
        <v>729471</v>
      </c>
      <c r="F10" s="33" t="n">
        <v>552401</v>
      </c>
      <c r="G10" s="33" t="n">
        <v>204587</v>
      </c>
      <c r="H10" s="33" t="n">
        <v>121280</v>
      </c>
      <c r="I10" s="33" t="n">
        <v>100463</v>
      </c>
      <c r="J10" s="33">
        <f>SUM(C10:I10)</f>
        <v/>
      </c>
      <c r="K10" s="34" t="n"/>
    </row>
    <row r="11">
      <c r="A11" t="inlineStr">
        <is>
          <t>Oncology</t>
        </is>
      </c>
      <c r="B11" t="n">
        <v>6150</v>
      </c>
      <c r="C11" s="33" t="n">
        <v>3798780</v>
      </c>
      <c r="D11" s="33" t="n">
        <v>1027440</v>
      </c>
      <c r="E11" s="33" t="n">
        <v>576822</v>
      </c>
      <c r="F11" s="33" t="n">
        <v>2503860</v>
      </c>
      <c r="G11" s="33" t="n">
        <v>165785</v>
      </c>
      <c r="H11" s="33" t="n">
        <v>109173</v>
      </c>
      <c r="I11" s="33" t="n">
        <v>77443</v>
      </c>
      <c r="J11" s="33">
        <f>SUM(C11:I11)</f>
        <v/>
      </c>
      <c r="K11" s="34" t="n"/>
    </row>
    <row r="12">
      <c r="A12" t="inlineStr">
        <is>
          <t>Neuroscience &amp; Stroke</t>
        </is>
      </c>
      <c r="B12" t="n">
        <v>6160</v>
      </c>
      <c r="C12" s="33" t="n">
        <v>3383972</v>
      </c>
      <c r="D12" s="33" t="n">
        <v>976637</v>
      </c>
      <c r="E12" s="33" t="n">
        <v>518673</v>
      </c>
      <c r="F12" s="33" t="n">
        <v>404059</v>
      </c>
      <c r="G12" s="33" t="n">
        <v>149416</v>
      </c>
      <c r="H12" s="33" t="n">
        <v>88731</v>
      </c>
      <c r="I12" s="33" t="n">
        <v>65312</v>
      </c>
      <c r="J12" s="33">
        <f>SUM(C12:I12)</f>
        <v/>
      </c>
      <c r="K12" s="34" t="n"/>
    </row>
    <row r="13">
      <c r="A13" t="inlineStr">
        <is>
          <t>Labor &amp; Delivery</t>
        </is>
      </c>
      <c r="B13" t="n">
        <v>6170</v>
      </c>
      <c r="C13" s="33" t="n">
        <v>4461979</v>
      </c>
      <c r="D13" s="33" t="n">
        <v>1138522</v>
      </c>
      <c r="E13" s="33" t="n">
        <v>650550</v>
      </c>
      <c r="F13" s="33" t="n">
        <v>470403</v>
      </c>
      <c r="G13" s="33" t="n">
        <v>191319</v>
      </c>
      <c r="H13" s="33" t="n">
        <v>118175</v>
      </c>
      <c r="I13" s="33" t="n">
        <v>87833</v>
      </c>
      <c r="J13" s="33">
        <f>SUM(C13:I13)</f>
        <v/>
      </c>
      <c r="K13" s="34" t="n"/>
    </row>
    <row r="14">
      <c r="A14" t="inlineStr">
        <is>
          <t>Pediatrics</t>
        </is>
      </c>
      <c r="B14" t="n">
        <v>6180</v>
      </c>
      <c r="C14" s="33" t="n">
        <v>2988964</v>
      </c>
      <c r="D14" s="33" t="n">
        <v>808423</v>
      </c>
      <c r="E14" s="33" t="n">
        <v>445725</v>
      </c>
      <c r="F14" s="33" t="n">
        <v>330624</v>
      </c>
      <c r="G14" s="33" t="n">
        <v>139330</v>
      </c>
      <c r="H14" s="33" t="n">
        <v>77940</v>
      </c>
      <c r="I14" s="33" t="n">
        <v>60876</v>
      </c>
      <c r="J14" s="33">
        <f>SUM(C14:I14)</f>
        <v/>
      </c>
      <c r="K14" s="34" t="n"/>
    </row>
    <row r="15">
      <c r="A15" t="inlineStr">
        <is>
          <t>Behavioral Health</t>
        </is>
      </c>
      <c r="B15" t="n">
        <v>6190</v>
      </c>
      <c r="C15" s="33" t="n">
        <v>3786381</v>
      </c>
      <c r="D15" s="33" t="n">
        <v>1052992</v>
      </c>
      <c r="E15" s="33" t="n">
        <v>601790</v>
      </c>
      <c r="F15" s="33" t="n">
        <v>479835</v>
      </c>
      <c r="G15" s="33" t="n">
        <v>170283</v>
      </c>
      <c r="H15" s="33" t="n">
        <v>104437</v>
      </c>
      <c r="I15" s="33" t="n">
        <v>77081</v>
      </c>
      <c r="J15" s="33">
        <f>SUM(C15:I15)</f>
        <v/>
      </c>
      <c r="K15" s="34" t="n"/>
    </row>
    <row r="16">
      <c r="A16" t="inlineStr">
        <is>
          <t>Observation Unit</t>
        </is>
      </c>
      <c r="B16" t="n">
        <v>6195</v>
      </c>
      <c r="C16" s="33" t="n">
        <v>2471360</v>
      </c>
      <c r="D16" s="33" t="n">
        <v>756063</v>
      </c>
      <c r="E16" s="33" t="n">
        <v>383746</v>
      </c>
      <c r="F16" s="33" t="n">
        <v>306984</v>
      </c>
      <c r="G16" s="33" t="n">
        <v>105890</v>
      </c>
      <c r="H16" s="33" t="n">
        <v>71363</v>
      </c>
      <c r="I16" s="33" t="n">
        <v>52038</v>
      </c>
      <c r="J16" s="33">
        <f>SUM(C16:I16)</f>
        <v/>
      </c>
      <c r="K16" s="34" t="n"/>
    </row>
    <row r="17">
      <c r="A17" t="inlineStr">
        <is>
          <t>Perioperative Services</t>
        </is>
      </c>
      <c r="B17" t="n">
        <v>6196</v>
      </c>
      <c r="C17" s="33" t="n">
        <v>6451462</v>
      </c>
      <c r="D17" s="33" t="n">
        <v>1844300</v>
      </c>
      <c r="E17" s="33" t="n">
        <v>8964336</v>
      </c>
      <c r="F17" s="33" t="n">
        <v>66933</v>
      </c>
      <c r="G17" s="33" t="n">
        <v>660282</v>
      </c>
      <c r="H17" s="33" t="n">
        <v>399138</v>
      </c>
      <c r="I17" s="33" t="n">
        <v>198342</v>
      </c>
      <c r="J17" s="33">
        <f>SUM(C17:I17)</f>
        <v/>
      </c>
      <c r="K17" s="34" t="n"/>
    </row>
    <row r="18">
      <c r="A18" t="inlineStr">
        <is>
          <t>Laboratory</t>
        </is>
      </c>
      <c r="B18" t="n">
        <v>6500</v>
      </c>
      <c r="C18" s="33" t="n">
        <v>5923018</v>
      </c>
      <c r="D18" s="33" t="n">
        <v>1654752</v>
      </c>
      <c r="E18" s="33" t="n">
        <v>3228535</v>
      </c>
      <c r="F18" s="33" t="n">
        <v>57206</v>
      </c>
      <c r="G18" s="33" t="n">
        <v>583598</v>
      </c>
      <c r="H18" s="33" t="n">
        <v>325437</v>
      </c>
      <c r="I18" s="33" t="n">
        <v>168352</v>
      </c>
      <c r="J18" s="33">
        <f>SUM(C18:I18)</f>
        <v/>
      </c>
      <c r="K18" s="34" t="n"/>
    </row>
    <row r="19">
      <c r="A19" t="inlineStr">
        <is>
          <t>Radiology</t>
        </is>
      </c>
      <c r="B19" t="n">
        <v>6510</v>
      </c>
      <c r="C19" s="33" t="n">
        <v>4732586</v>
      </c>
      <c r="D19" s="33" t="n">
        <v>1395282</v>
      </c>
      <c r="E19" s="33" t="n">
        <v>262068</v>
      </c>
      <c r="F19" s="33" t="n">
        <v>54494</v>
      </c>
      <c r="G19" s="33" t="n">
        <v>506504</v>
      </c>
      <c r="H19" s="33" t="n">
        <v>1816382</v>
      </c>
      <c r="I19" s="33" t="n">
        <v>140835</v>
      </c>
      <c r="J19" s="33">
        <f>SUM(C19:I19)</f>
        <v/>
      </c>
      <c r="K19" s="34" t="n"/>
    </row>
    <row r="20">
      <c r="A20" t="inlineStr">
        <is>
          <t>Pharmacy</t>
        </is>
      </c>
      <c r="B20" t="n">
        <v>6520</v>
      </c>
      <c r="C20" s="33" t="n">
        <v>3480832</v>
      </c>
      <c r="D20" s="33" t="n">
        <v>926473</v>
      </c>
      <c r="E20" s="33" t="n">
        <v>158394</v>
      </c>
      <c r="F20" s="33" t="n">
        <v>2001898</v>
      </c>
      <c r="G20" s="33" t="n">
        <v>316965</v>
      </c>
      <c r="H20" s="33" t="n">
        <v>195415</v>
      </c>
      <c r="I20" s="33" t="n">
        <v>97631</v>
      </c>
      <c r="J20" s="33">
        <f>SUM(C20:I20)</f>
        <v/>
      </c>
      <c r="K20" s="34" t="n"/>
    </row>
    <row r="21">
      <c r="A21" s="35" t="inlineStr">
        <is>
          <t>Hospital total</t>
        </is>
      </c>
      <c r="B21" s="35" t="n"/>
      <c r="C21" s="36">
        <f>SUM(C5:C20)</f>
        <v/>
      </c>
      <c r="D21" s="36">
        <f>SUM(D5:D20)</f>
        <v/>
      </c>
      <c r="E21" s="36">
        <f>SUM(E5:E20)</f>
        <v/>
      </c>
      <c r="F21" s="36">
        <f>SUM(F5:F20)</f>
        <v/>
      </c>
      <c r="G21" s="36">
        <f>SUM(G5:G20)</f>
        <v/>
      </c>
      <c r="H21" s="36">
        <f>SUM(H5:H20)</f>
        <v/>
      </c>
      <c r="I21" s="36">
        <f>SUM(I5:I20)</f>
        <v/>
      </c>
      <c r="J21" s="36">
        <f>SUM(J5:J20)</f>
        <v/>
      </c>
      <c r="K21" s="37"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72"/>
  <sheetViews>
    <sheetView tabSelected="0" workbookViewId="0">
      <pane ySplit="5" topLeftCell="A6" activePane="bottomLeft" state="frozen"/>
      <selection pane="bottomLeft" activeCell="A1" sqref="A1"/>
    </sheetView>
  </sheetViews>
  <sheetFormatPr baseColWidth="8" defaultRowHeight="15"/>
  <cols>
    <col width="20" customWidth="1" min="1" max="1"/>
    <col width="22" customWidth="1" min="2" max="2"/>
    <col width="29" customWidth="1" min="3" max="3"/>
    <col width="11" customWidth="1" min="4" max="4"/>
    <col width="14" customWidth="1" min="5" max="5"/>
    <col width="13" customWidth="1" min="6" max="6"/>
    <col width="9" customWidth="1" min="7" max="7"/>
    <col width="12" customWidth="1" min="8" max="8"/>
  </cols>
  <sheetData>
    <row r="1">
      <c r="A1" s="29" t="inlineStr">
        <is>
          <t>Medical-Surgical 4 West · overtime for hourly staff · December 2025</t>
        </is>
      </c>
    </row>
    <row r="2">
      <c r="A2" s="30" t="inlineStr">
        <is>
          <t>OTHours = December's total of paid hours worked beyond each shift's scheduled hours (time clock). Bluestone pays each OT hour at the base HourlyRate × the overtime multiplier in B3 (a simplified, fictional pay rule).</t>
        </is>
      </c>
    </row>
    <row r="3">
      <c r="A3" s="38" t="inlineStr">
        <is>
          <t>Overtime multiplier</t>
        </is>
      </c>
      <c r="B3" s="39" t="n">
        <v>1.5</v>
      </c>
      <c r="C3" s="30" t="inlineStr">
        <is>
          <t>← time-and-a-half. Every OTPay formula should point here.</t>
        </is>
      </c>
    </row>
    <row r="5">
      <c r="A5" s="40" t="inlineStr">
        <is>
          <t>EmployeeID</t>
        </is>
      </c>
      <c r="B5" s="40" t="inlineStr">
        <is>
          <t>Name</t>
        </is>
      </c>
      <c r="C5" s="40" t="inlineStr">
        <is>
          <t>JobTitle</t>
        </is>
      </c>
      <c r="D5" s="40" t="inlineStr">
        <is>
          <t>HourlyRate</t>
        </is>
      </c>
      <c r="E5" s="40" t="inlineStr">
        <is>
          <t>ShiftsWorked</t>
        </is>
      </c>
      <c r="F5" s="40" t="inlineStr">
        <is>
          <t>WorkedHours</t>
        </is>
      </c>
      <c r="G5" s="40" t="inlineStr">
        <is>
          <t>OTHours</t>
        </is>
      </c>
      <c r="H5" s="41" t="inlineStr">
        <is>
          <t>OTPay</t>
        </is>
      </c>
    </row>
    <row r="6">
      <c r="A6" t="inlineStr">
        <is>
          <t>EMP2059</t>
        </is>
      </c>
      <c r="B6" t="inlineStr">
        <is>
          <t>Nicole Price</t>
        </is>
      </c>
      <c r="C6" t="inlineStr">
        <is>
          <t>Registered Nurse</t>
        </is>
      </c>
      <c r="D6" s="42" t="n">
        <v>38.73</v>
      </c>
      <c r="E6" t="n">
        <v>15</v>
      </c>
      <c r="F6" s="43" t="n">
        <v>183.12</v>
      </c>
      <c r="G6" s="43" t="n">
        <v>3.32</v>
      </c>
      <c r="H6" s="44" t="n"/>
    </row>
    <row r="7">
      <c r="A7" t="inlineStr">
        <is>
          <t>EMP2060</t>
        </is>
      </c>
      <c r="B7" t="inlineStr">
        <is>
          <t>Amber Gutierrez</t>
        </is>
      </c>
      <c r="C7" t="inlineStr">
        <is>
          <t>Registered Nurse</t>
        </is>
      </c>
      <c r="D7" s="42" t="n">
        <v>39.37</v>
      </c>
      <c r="E7" t="n">
        <v>15</v>
      </c>
      <c r="F7" s="43" t="n">
        <v>183.55</v>
      </c>
      <c r="G7" s="43" t="n">
        <v>3.55</v>
      </c>
      <c r="H7" s="44" t="n"/>
    </row>
    <row r="8">
      <c r="A8" t="inlineStr">
        <is>
          <t>EMP2061</t>
        </is>
      </c>
      <c r="B8" t="inlineStr">
        <is>
          <t>Randy Castro</t>
        </is>
      </c>
      <c r="C8" t="inlineStr">
        <is>
          <t>Registered Nurse</t>
        </is>
      </c>
      <c r="D8" s="42" t="n">
        <v>38.5</v>
      </c>
      <c r="E8" t="n">
        <v>12</v>
      </c>
      <c r="F8" s="43" t="n">
        <v>146.01</v>
      </c>
      <c r="G8" s="43" t="n">
        <v>2.04</v>
      </c>
      <c r="H8" s="44" t="n"/>
    </row>
    <row r="9">
      <c r="A9" t="inlineStr">
        <is>
          <t>EMP2062</t>
        </is>
      </c>
      <c r="B9" t="inlineStr">
        <is>
          <t>Lauren Rogers</t>
        </is>
      </c>
      <c r="C9" t="inlineStr">
        <is>
          <t>Registered Nurse</t>
        </is>
      </c>
      <c r="D9" s="42" t="n">
        <v>38.11</v>
      </c>
      <c r="E9" t="n">
        <v>13</v>
      </c>
      <c r="F9" s="43" t="n">
        <v>160.79</v>
      </c>
      <c r="G9" s="43" t="n">
        <v>4.86</v>
      </c>
      <c r="H9" s="44" t="n"/>
    </row>
    <row r="10">
      <c r="A10" t="inlineStr">
        <is>
          <t>EMP2063</t>
        </is>
      </c>
      <c r="B10" t="inlineStr">
        <is>
          <t>Sarah Cox</t>
        </is>
      </c>
      <c r="C10" t="inlineStr">
        <is>
          <t>Registered Nurse</t>
        </is>
      </c>
      <c r="D10" s="42" t="n">
        <v>46.74</v>
      </c>
      <c r="E10" t="n">
        <v>9</v>
      </c>
      <c r="F10" s="43" t="n">
        <v>112.01</v>
      </c>
      <c r="G10" s="43" t="n">
        <v>4.11</v>
      </c>
      <c r="H10" s="44" t="n"/>
    </row>
    <row r="11">
      <c r="A11" t="inlineStr">
        <is>
          <t>EMP2064</t>
        </is>
      </c>
      <c r="B11" t="inlineStr">
        <is>
          <t>Sarah Moore</t>
        </is>
      </c>
      <c r="C11" t="inlineStr">
        <is>
          <t>Registered Nurse</t>
        </is>
      </c>
      <c r="D11" s="42" t="n">
        <v>38.4</v>
      </c>
      <c r="E11" t="n">
        <v>2</v>
      </c>
      <c r="F11" s="43" t="n">
        <v>24.32</v>
      </c>
      <c r="G11" s="43" t="n">
        <v>0.32</v>
      </c>
      <c r="H11" s="44" t="n"/>
    </row>
    <row r="12">
      <c r="A12" t="inlineStr">
        <is>
          <t>EMP2066</t>
        </is>
      </c>
      <c r="B12" t="inlineStr">
        <is>
          <t>Rosa Simmons</t>
        </is>
      </c>
      <c r="C12" t="inlineStr">
        <is>
          <t>Registered Nurse</t>
        </is>
      </c>
      <c r="D12" s="42" t="n">
        <v>44.73</v>
      </c>
      <c r="E12" t="n">
        <v>12</v>
      </c>
      <c r="F12" s="43" t="n">
        <v>147.25</v>
      </c>
      <c r="G12" s="43" t="n">
        <v>3.35</v>
      </c>
      <c r="H12" s="44" t="n"/>
    </row>
    <row r="13">
      <c r="A13" t="inlineStr">
        <is>
          <t>EMP2067</t>
        </is>
      </c>
      <c r="B13" t="inlineStr">
        <is>
          <t>Natalie Rose</t>
        </is>
      </c>
      <c r="C13" t="inlineStr">
        <is>
          <t>Registered Nurse</t>
        </is>
      </c>
      <c r="D13" s="42" t="n">
        <v>37.82</v>
      </c>
      <c r="E13" t="n">
        <v>14</v>
      </c>
      <c r="F13" s="43" t="n">
        <v>172.5</v>
      </c>
      <c r="G13" s="43" t="n">
        <v>4.5</v>
      </c>
      <c r="H13" s="44" t="n"/>
    </row>
    <row r="14">
      <c r="A14" t="inlineStr">
        <is>
          <t>EMP2068</t>
        </is>
      </c>
      <c r="B14" t="inlineStr">
        <is>
          <t>Abigail Castro</t>
        </is>
      </c>
      <c r="C14" t="inlineStr">
        <is>
          <t>Registered Nurse</t>
        </is>
      </c>
      <c r="D14" s="42" t="n">
        <v>44</v>
      </c>
      <c r="E14" t="n">
        <v>14</v>
      </c>
      <c r="F14" s="43" t="n">
        <v>175.35</v>
      </c>
      <c r="G14" s="43" t="n">
        <v>7.37</v>
      </c>
      <c r="H14" s="44" t="n"/>
    </row>
    <row r="15">
      <c r="A15" t="inlineStr">
        <is>
          <t>EMP2069</t>
        </is>
      </c>
      <c r="B15" t="inlineStr">
        <is>
          <t>Jeremy Richards</t>
        </is>
      </c>
      <c r="C15" t="inlineStr">
        <is>
          <t>Registered Nurse</t>
        </is>
      </c>
      <c r="D15" s="42" t="n">
        <v>39.96</v>
      </c>
      <c r="E15" t="n">
        <v>15</v>
      </c>
      <c r="F15" s="43" t="n">
        <v>186.96</v>
      </c>
      <c r="G15" s="43" t="n">
        <v>7.11</v>
      </c>
      <c r="H15" s="44" t="n"/>
    </row>
    <row r="16">
      <c r="A16" t="inlineStr">
        <is>
          <t>EMP2070</t>
        </is>
      </c>
      <c r="B16" t="inlineStr">
        <is>
          <t>Melissa Simpson</t>
        </is>
      </c>
      <c r="C16" t="inlineStr">
        <is>
          <t>Registered Nurse</t>
        </is>
      </c>
      <c r="D16" s="42" t="n">
        <v>54.06</v>
      </c>
      <c r="E16" t="n">
        <v>12</v>
      </c>
      <c r="F16" s="43" t="n">
        <v>147.31</v>
      </c>
      <c r="G16" s="43" t="n">
        <v>3.31</v>
      </c>
      <c r="H16" s="44" t="n"/>
    </row>
    <row r="17">
      <c r="A17" t="inlineStr">
        <is>
          <t>EMP2071</t>
        </is>
      </c>
      <c r="B17" t="inlineStr">
        <is>
          <t>Amina Gordon</t>
        </is>
      </c>
      <c r="C17" t="inlineStr">
        <is>
          <t>Registered Nurse</t>
        </is>
      </c>
      <c r="D17" s="42" t="n">
        <v>37.87</v>
      </c>
      <c r="E17" t="n">
        <v>6</v>
      </c>
      <c r="F17" s="43" t="n">
        <v>74.06999999999999</v>
      </c>
      <c r="G17" s="43" t="n">
        <v>2.07</v>
      </c>
      <c r="H17" s="44" t="n"/>
    </row>
    <row r="18">
      <c r="A18" t="inlineStr">
        <is>
          <t>EMP2072</t>
        </is>
      </c>
      <c r="B18" t="inlineStr">
        <is>
          <t>Jean Herrera</t>
        </is>
      </c>
      <c r="C18" t="inlineStr">
        <is>
          <t>Registered Nurse</t>
        </is>
      </c>
      <c r="D18" s="42" t="n">
        <v>41.52</v>
      </c>
      <c r="E18" t="n">
        <v>13</v>
      </c>
      <c r="F18" s="43" t="n">
        <v>162.54</v>
      </c>
      <c r="G18" s="43" t="n">
        <v>6.57</v>
      </c>
      <c r="H18" s="44" t="n"/>
    </row>
    <row r="19">
      <c r="A19" t="inlineStr">
        <is>
          <t>EMP2073</t>
        </is>
      </c>
      <c r="B19" t="inlineStr">
        <is>
          <t>Sarah Ross</t>
        </is>
      </c>
      <c r="C19" t="inlineStr">
        <is>
          <t>Registered Nurse</t>
        </is>
      </c>
      <c r="D19" s="42" t="n">
        <v>39.87</v>
      </c>
      <c r="E19" t="n">
        <v>13</v>
      </c>
      <c r="F19" s="43" t="n">
        <v>159.14</v>
      </c>
      <c r="G19" s="43" t="n">
        <v>3.16</v>
      </c>
      <c r="H19" s="44" t="n"/>
    </row>
    <row r="20">
      <c r="A20" t="inlineStr">
        <is>
          <t>EMP2074</t>
        </is>
      </c>
      <c r="B20" t="inlineStr">
        <is>
          <t>Andrea Henry</t>
        </is>
      </c>
      <c r="C20" t="inlineStr">
        <is>
          <t>Registered Nurse</t>
        </is>
      </c>
      <c r="D20" s="42" t="n">
        <v>42.75</v>
      </c>
      <c r="E20" t="n">
        <v>10</v>
      </c>
      <c r="F20" s="43" t="n">
        <v>126.81</v>
      </c>
      <c r="G20" s="43" t="n">
        <v>6.91</v>
      </c>
      <c r="H20" s="44" t="n"/>
    </row>
    <row r="21">
      <c r="A21" t="inlineStr">
        <is>
          <t>EMP2075</t>
        </is>
      </c>
      <c r="B21" t="inlineStr">
        <is>
          <t>Sharon Rogers</t>
        </is>
      </c>
      <c r="C21" t="inlineStr">
        <is>
          <t>Registered Nurse</t>
        </is>
      </c>
      <c r="D21" s="42" t="n">
        <v>42.6</v>
      </c>
      <c r="E21" t="n">
        <v>14</v>
      </c>
      <c r="F21" s="43" t="n">
        <v>171.49</v>
      </c>
      <c r="G21" s="43" t="n">
        <v>3.49</v>
      </c>
      <c r="H21" s="44" t="n"/>
    </row>
    <row r="22">
      <c r="A22" t="inlineStr">
        <is>
          <t>EMP2076</t>
        </is>
      </c>
      <c r="B22" t="inlineStr">
        <is>
          <t>Theresa Fox</t>
        </is>
      </c>
      <c r="C22" t="inlineStr">
        <is>
          <t>Registered Nurse</t>
        </is>
      </c>
      <c r="D22" s="42" t="n">
        <v>40.83</v>
      </c>
      <c r="E22" t="n">
        <v>3</v>
      </c>
      <c r="F22" s="43" t="n">
        <v>36.43</v>
      </c>
      <c r="G22" s="43" t="n">
        <v>0.43</v>
      </c>
      <c r="H22" s="44" t="n"/>
    </row>
    <row r="23">
      <c r="A23" t="inlineStr">
        <is>
          <t>EMP2077</t>
        </is>
      </c>
      <c r="B23" t="inlineStr">
        <is>
          <t>Nicole Foster</t>
        </is>
      </c>
      <c r="C23" t="inlineStr">
        <is>
          <t>Registered Nurse</t>
        </is>
      </c>
      <c r="D23" s="42" t="n">
        <v>51.72</v>
      </c>
      <c r="E23" t="n">
        <v>14</v>
      </c>
      <c r="F23" s="43" t="n">
        <v>174.27</v>
      </c>
      <c r="G23" s="43" t="n">
        <v>6.27</v>
      </c>
      <c r="H23" s="44" t="n"/>
    </row>
    <row r="24">
      <c r="A24" t="inlineStr">
        <is>
          <t>EMP2078</t>
        </is>
      </c>
      <c r="B24" t="inlineStr">
        <is>
          <t>Mia Duncan</t>
        </is>
      </c>
      <c r="C24" t="inlineStr">
        <is>
          <t>Registered Nurse</t>
        </is>
      </c>
      <c r="D24" s="42" t="n">
        <v>39.35</v>
      </c>
      <c r="E24" t="n">
        <v>10</v>
      </c>
      <c r="F24" s="43" t="n">
        <v>124.63</v>
      </c>
      <c r="G24" s="43" t="n">
        <v>4.73</v>
      </c>
      <c r="H24" s="44" t="n"/>
    </row>
    <row r="25">
      <c r="A25" t="inlineStr">
        <is>
          <t>EMP2079</t>
        </is>
      </c>
      <c r="B25" t="inlineStr">
        <is>
          <t>Natalie Hayes</t>
        </is>
      </c>
      <c r="C25" t="inlineStr">
        <is>
          <t>Registered Nurse</t>
        </is>
      </c>
      <c r="D25" s="42" t="n">
        <v>52.74</v>
      </c>
      <c r="E25" t="n">
        <v>3</v>
      </c>
      <c r="F25" s="43" t="n">
        <v>37.08</v>
      </c>
      <c r="G25" s="43" t="n">
        <v>1.13</v>
      </c>
      <c r="H25" s="44" t="n"/>
    </row>
    <row r="26">
      <c r="A26" t="inlineStr">
        <is>
          <t>EMP2080</t>
        </is>
      </c>
      <c r="B26" t="inlineStr">
        <is>
          <t>Danielle Simpson</t>
        </is>
      </c>
      <c r="C26" t="inlineStr">
        <is>
          <t>Registered Nurse</t>
        </is>
      </c>
      <c r="D26" s="42" t="n">
        <v>40.2</v>
      </c>
      <c r="E26" t="n">
        <v>4</v>
      </c>
      <c r="F26" s="43" t="n">
        <v>48.33</v>
      </c>
      <c r="G26" s="43" t="n">
        <v>0.35</v>
      </c>
      <c r="H26" s="44" t="n"/>
    </row>
    <row r="27">
      <c r="A27" t="inlineStr">
        <is>
          <t>EMP2081</t>
        </is>
      </c>
      <c r="B27" t="inlineStr">
        <is>
          <t>Samantha Russell</t>
        </is>
      </c>
      <c r="C27" t="inlineStr">
        <is>
          <t>Registered Nurse</t>
        </is>
      </c>
      <c r="D27" s="42" t="n">
        <v>45.31</v>
      </c>
      <c r="E27" t="n">
        <v>6</v>
      </c>
      <c r="F27" s="43" t="n">
        <v>72.78</v>
      </c>
      <c r="G27" s="43" t="n">
        <v>0.78</v>
      </c>
      <c r="H27" s="44" t="n"/>
    </row>
    <row r="28">
      <c r="A28" t="inlineStr">
        <is>
          <t>EMP2082</t>
        </is>
      </c>
      <c r="B28" t="inlineStr">
        <is>
          <t>Wei Reyes</t>
        </is>
      </c>
      <c r="C28" t="inlineStr">
        <is>
          <t>Registered Nurse</t>
        </is>
      </c>
      <c r="D28" s="42" t="n">
        <v>44.15</v>
      </c>
      <c r="E28" t="n">
        <v>13</v>
      </c>
      <c r="F28" s="43" t="n">
        <v>158.12</v>
      </c>
      <c r="G28" s="43" t="n">
        <v>2.25</v>
      </c>
      <c r="H28" s="44" t="n"/>
    </row>
    <row r="29">
      <c r="A29" t="inlineStr">
        <is>
          <t>EMP2083</t>
        </is>
      </c>
      <c r="B29" t="inlineStr">
        <is>
          <t>Barbara Ross</t>
        </is>
      </c>
      <c r="C29" t="inlineStr">
        <is>
          <t>Registered Nurse</t>
        </is>
      </c>
      <c r="D29" s="42" t="n">
        <v>43.06</v>
      </c>
      <c r="E29" t="n">
        <v>12</v>
      </c>
      <c r="F29" s="43" t="n">
        <v>146.54</v>
      </c>
      <c r="G29" s="43" t="n">
        <v>2.72</v>
      </c>
      <c r="H29" s="44" t="n"/>
    </row>
    <row r="30">
      <c r="A30" t="inlineStr">
        <is>
          <t>EMP2084</t>
        </is>
      </c>
      <c r="B30" t="inlineStr">
        <is>
          <t>Sarah Ferguson</t>
        </is>
      </c>
      <c r="C30" t="inlineStr">
        <is>
          <t>Registered Nurse</t>
        </is>
      </c>
      <c r="D30" s="42" t="n">
        <v>49.02</v>
      </c>
      <c r="E30" t="n">
        <v>13</v>
      </c>
      <c r="F30" s="43" t="n">
        <v>159.16</v>
      </c>
      <c r="G30" s="43" t="n">
        <v>3.16</v>
      </c>
      <c r="H30" s="44" t="n"/>
    </row>
    <row r="31">
      <c r="A31" t="inlineStr">
        <is>
          <t>EMP2085</t>
        </is>
      </c>
      <c r="B31" t="inlineStr">
        <is>
          <t>Doris Gonzalez</t>
        </is>
      </c>
      <c r="C31" t="inlineStr">
        <is>
          <t>Registered Nurse</t>
        </is>
      </c>
      <c r="D31" s="42" t="n">
        <v>45.2</v>
      </c>
      <c r="E31" t="n">
        <v>12</v>
      </c>
      <c r="F31" s="43" t="n">
        <v>151.92</v>
      </c>
      <c r="G31" s="43" t="n">
        <v>7.92</v>
      </c>
      <c r="H31" s="44" t="n"/>
    </row>
    <row r="32">
      <c r="A32" t="inlineStr">
        <is>
          <t>EMP2086</t>
        </is>
      </c>
      <c r="B32" t="inlineStr">
        <is>
          <t>Anna Dunn</t>
        </is>
      </c>
      <c r="C32" t="inlineStr">
        <is>
          <t>Registered Nurse</t>
        </is>
      </c>
      <c r="D32" s="42" t="n">
        <v>58</v>
      </c>
      <c r="E32" t="n">
        <v>12</v>
      </c>
      <c r="F32" s="43" t="n">
        <v>146.56</v>
      </c>
      <c r="G32" s="43" t="n">
        <v>2.56</v>
      </c>
      <c r="H32" s="44" t="n"/>
    </row>
    <row r="33">
      <c r="A33" t="inlineStr">
        <is>
          <t>EMP2087</t>
        </is>
      </c>
      <c r="B33" t="inlineStr">
        <is>
          <t>Jessica Aguilar</t>
        </is>
      </c>
      <c r="C33" t="inlineStr">
        <is>
          <t>Registered Nurse</t>
        </is>
      </c>
      <c r="D33" s="42" t="n">
        <v>41</v>
      </c>
      <c r="E33" t="n">
        <v>13</v>
      </c>
      <c r="F33" s="43" t="n">
        <v>165.08</v>
      </c>
      <c r="G33" s="43" t="n">
        <v>9.1</v>
      </c>
      <c r="H33" s="44" t="n"/>
    </row>
    <row r="34">
      <c r="A34" t="inlineStr">
        <is>
          <t>EMP2088</t>
        </is>
      </c>
      <c r="B34" t="inlineStr">
        <is>
          <t>Amber Mendoza</t>
        </is>
      </c>
      <c r="C34" t="inlineStr">
        <is>
          <t>Registered Nurse</t>
        </is>
      </c>
      <c r="D34" s="42" t="n">
        <v>39.16</v>
      </c>
      <c r="E34" t="n">
        <v>16</v>
      </c>
      <c r="F34" s="43" t="n">
        <v>200.47</v>
      </c>
      <c r="G34" s="43" t="n">
        <v>8.470000000000001</v>
      </c>
      <c r="H34" s="44" t="n"/>
    </row>
    <row r="35">
      <c r="A35" t="inlineStr">
        <is>
          <t>EMP2089</t>
        </is>
      </c>
      <c r="B35" t="inlineStr">
        <is>
          <t>Mary Brooks</t>
        </is>
      </c>
      <c r="C35" t="inlineStr">
        <is>
          <t>Registered Nurse</t>
        </is>
      </c>
      <c r="D35" s="42" t="n">
        <v>41.06</v>
      </c>
      <c r="E35" t="n">
        <v>14</v>
      </c>
      <c r="F35" s="43" t="n">
        <v>171.34</v>
      </c>
      <c r="G35" s="43" t="n">
        <v>3.36</v>
      </c>
      <c r="H35" s="44" t="n"/>
    </row>
    <row r="36">
      <c r="A36" t="inlineStr">
        <is>
          <t>EMP2090</t>
        </is>
      </c>
      <c r="B36" t="inlineStr">
        <is>
          <t>Juan Roberts</t>
        </is>
      </c>
      <c r="C36" t="inlineStr">
        <is>
          <t>Registered Nurse</t>
        </is>
      </c>
      <c r="D36" s="42" t="n">
        <v>44.61</v>
      </c>
      <c r="E36" t="n">
        <v>13</v>
      </c>
      <c r="F36" s="43" t="n">
        <v>158.94</v>
      </c>
      <c r="G36" s="43" t="n">
        <v>3.08</v>
      </c>
      <c r="H36" s="44" t="n"/>
    </row>
    <row r="37">
      <c r="A37" t="inlineStr">
        <is>
          <t>EMP2091</t>
        </is>
      </c>
      <c r="B37" t="inlineStr">
        <is>
          <t>Thomas Sullivan</t>
        </is>
      </c>
      <c r="C37" t="inlineStr">
        <is>
          <t>Registered Nurse</t>
        </is>
      </c>
      <c r="D37" s="42" t="n">
        <v>38.94</v>
      </c>
      <c r="E37" t="n">
        <v>7</v>
      </c>
      <c r="F37" s="43" t="n">
        <v>88.81999999999999</v>
      </c>
      <c r="G37" s="43" t="n">
        <v>4.82</v>
      </c>
      <c r="H37" s="44" t="n"/>
    </row>
    <row r="38">
      <c r="A38" t="inlineStr">
        <is>
          <t>EMP2092</t>
        </is>
      </c>
      <c r="B38" t="inlineStr">
        <is>
          <t>Wei Payne</t>
        </is>
      </c>
      <c r="C38" t="inlineStr">
        <is>
          <t>Registered Nurse</t>
        </is>
      </c>
      <c r="D38" s="42" t="n">
        <v>36.97</v>
      </c>
      <c r="E38" t="n">
        <v>9</v>
      </c>
      <c r="F38" s="43" t="n">
        <v>108.85</v>
      </c>
      <c r="G38" s="43" t="n">
        <v>0.9399999999999999</v>
      </c>
      <c r="H38" s="44" t="n"/>
    </row>
    <row r="39">
      <c r="A39" t="inlineStr">
        <is>
          <t>EMP2093</t>
        </is>
      </c>
      <c r="B39" t="inlineStr">
        <is>
          <t>Jennifer Patterson</t>
        </is>
      </c>
      <c r="C39" t="inlineStr">
        <is>
          <t>Registered Nurse</t>
        </is>
      </c>
      <c r="D39" s="42" t="n">
        <v>41.68</v>
      </c>
      <c r="E39" t="n">
        <v>15</v>
      </c>
      <c r="F39" s="43" t="n">
        <v>185.65</v>
      </c>
      <c r="G39" s="43" t="n">
        <v>5.67</v>
      </c>
      <c r="H39" s="44" t="n"/>
    </row>
    <row r="40">
      <c r="A40" t="inlineStr">
        <is>
          <t>EMP2094</t>
        </is>
      </c>
      <c r="B40" t="inlineStr">
        <is>
          <t>Emily Sandoval</t>
        </is>
      </c>
      <c r="C40" t="inlineStr">
        <is>
          <t>Registered Nurse</t>
        </is>
      </c>
      <c r="D40" s="42" t="n">
        <v>39.88</v>
      </c>
      <c r="E40" t="n">
        <v>14</v>
      </c>
      <c r="F40" s="43" t="n">
        <v>171.38</v>
      </c>
      <c r="G40" s="43" t="n">
        <v>3.45</v>
      </c>
      <c r="H40" s="44" t="n"/>
    </row>
    <row r="41">
      <c r="A41" t="inlineStr">
        <is>
          <t>EMP2095</t>
        </is>
      </c>
      <c r="B41" t="inlineStr">
        <is>
          <t>Paul Lewis</t>
        </is>
      </c>
      <c r="C41" t="inlineStr">
        <is>
          <t>Registered Nurse</t>
        </is>
      </c>
      <c r="D41" s="42" t="n">
        <v>52.29</v>
      </c>
      <c r="E41" t="n">
        <v>12</v>
      </c>
      <c r="F41" s="43" t="n">
        <v>148.11</v>
      </c>
      <c r="G41" s="43" t="n">
        <v>4.11</v>
      </c>
      <c r="H41" s="44" t="n"/>
    </row>
    <row r="42">
      <c r="A42" t="inlineStr">
        <is>
          <t>EMP2096</t>
        </is>
      </c>
      <c r="B42" t="inlineStr">
        <is>
          <t>Alexander Abbott</t>
        </is>
      </c>
      <c r="C42" t="inlineStr">
        <is>
          <t>Registered Nurse</t>
        </is>
      </c>
      <c r="D42" s="42" t="n">
        <v>53.4</v>
      </c>
      <c r="E42" t="n">
        <v>15</v>
      </c>
      <c r="F42" s="43" t="n">
        <v>184.55</v>
      </c>
      <c r="G42" s="43" t="n">
        <v>4.57</v>
      </c>
      <c r="H42" s="44" t="n"/>
    </row>
    <row r="43">
      <c r="A43" t="inlineStr">
        <is>
          <t>EMP2097</t>
        </is>
      </c>
      <c r="B43" t="inlineStr">
        <is>
          <t>Megan Parker</t>
        </is>
      </c>
      <c r="C43" t="inlineStr">
        <is>
          <t>Registered Nurse</t>
        </is>
      </c>
      <c r="D43" s="42" t="n">
        <v>38.99</v>
      </c>
      <c r="E43" t="n">
        <v>13</v>
      </c>
      <c r="F43" s="43" t="n">
        <v>163.71</v>
      </c>
      <c r="G43" s="43" t="n">
        <v>7.71</v>
      </c>
      <c r="H43" s="44" t="n"/>
    </row>
    <row r="44">
      <c r="A44" t="inlineStr">
        <is>
          <t>EMP2098</t>
        </is>
      </c>
      <c r="B44" t="inlineStr">
        <is>
          <t>Ashley Gordon</t>
        </is>
      </c>
      <c r="C44" t="inlineStr">
        <is>
          <t>Registered Nurse</t>
        </is>
      </c>
      <c r="D44" s="42" t="n">
        <v>51.14</v>
      </c>
      <c r="E44" t="n">
        <v>14</v>
      </c>
      <c r="F44" s="43" t="n">
        <v>171.96</v>
      </c>
      <c r="G44" s="43" t="n">
        <v>3.96</v>
      </c>
      <c r="H44" s="44" t="n"/>
    </row>
    <row r="45">
      <c r="A45" t="inlineStr">
        <is>
          <t>EMP2099</t>
        </is>
      </c>
      <c r="B45" t="inlineStr">
        <is>
          <t>Frances Parker</t>
        </is>
      </c>
      <c r="C45" t="inlineStr">
        <is>
          <t>Registered Nurse</t>
        </is>
      </c>
      <c r="D45" s="42" t="n">
        <v>56.61</v>
      </c>
      <c r="E45" t="n">
        <v>12</v>
      </c>
      <c r="F45" s="43" t="n">
        <v>147.33</v>
      </c>
      <c r="G45" s="43" t="n">
        <v>3.33</v>
      </c>
      <c r="H45" s="44" t="n"/>
    </row>
    <row r="46">
      <c r="A46" t="inlineStr">
        <is>
          <t>EMP2100</t>
        </is>
      </c>
      <c r="B46" t="inlineStr">
        <is>
          <t>Mary Marshall</t>
        </is>
      </c>
      <c r="C46" t="inlineStr">
        <is>
          <t>Registered Nurse</t>
        </is>
      </c>
      <c r="D46" s="42" t="n">
        <v>56.91</v>
      </c>
      <c r="E46" t="n">
        <v>12</v>
      </c>
      <c r="F46" s="43" t="n">
        <v>148.98</v>
      </c>
      <c r="G46" s="43" t="n">
        <v>5</v>
      </c>
      <c r="H46" s="44" t="n"/>
    </row>
    <row r="47">
      <c r="A47" t="inlineStr">
        <is>
          <t>EMP2101</t>
        </is>
      </c>
      <c r="B47" t="inlineStr">
        <is>
          <t>Shirley Garza</t>
        </is>
      </c>
      <c r="C47" t="inlineStr">
        <is>
          <t>Registered Nurse</t>
        </is>
      </c>
      <c r="D47" s="42" t="n">
        <v>51.63</v>
      </c>
      <c r="E47" t="n">
        <v>9</v>
      </c>
      <c r="F47" s="43" t="n">
        <v>113.4</v>
      </c>
      <c r="G47" s="43" t="n">
        <v>5.4</v>
      </c>
      <c r="H47" s="44" t="n"/>
    </row>
    <row r="48">
      <c r="A48" t="inlineStr">
        <is>
          <t>EMP2102</t>
        </is>
      </c>
      <c r="B48" t="inlineStr">
        <is>
          <t>Michelle Petrov</t>
        </is>
      </c>
      <c r="C48" t="inlineStr">
        <is>
          <t>Registered Nurse</t>
        </is>
      </c>
      <c r="D48" s="42" t="n">
        <v>37.95</v>
      </c>
      <c r="E48" t="n">
        <v>12</v>
      </c>
      <c r="F48" s="43" t="n">
        <v>147.06</v>
      </c>
      <c r="G48" s="43" t="n">
        <v>3.08</v>
      </c>
      <c r="H48" s="44" t="n"/>
    </row>
    <row r="49">
      <c r="A49" t="inlineStr">
        <is>
          <t>EMP2103</t>
        </is>
      </c>
      <c r="B49" t="inlineStr">
        <is>
          <t>Brittany Baker</t>
        </is>
      </c>
      <c r="C49" t="inlineStr">
        <is>
          <t>Registered Nurse</t>
        </is>
      </c>
      <c r="D49" s="42" t="n">
        <v>39.16</v>
      </c>
      <c r="E49" t="n">
        <v>9</v>
      </c>
      <c r="F49" s="43" t="n">
        <v>116.55</v>
      </c>
      <c r="G49" s="43" t="n">
        <v>8.550000000000001</v>
      </c>
      <c r="H49" s="44" t="n"/>
    </row>
    <row r="50">
      <c r="A50" t="inlineStr">
        <is>
          <t>EMP2104</t>
        </is>
      </c>
      <c r="B50" t="inlineStr">
        <is>
          <t>Frances Meyer</t>
        </is>
      </c>
      <c r="C50" t="inlineStr">
        <is>
          <t>Licensed Practical Nurse</t>
        </is>
      </c>
      <c r="D50" s="42" t="n">
        <v>33</v>
      </c>
      <c r="E50" t="n">
        <v>3</v>
      </c>
      <c r="F50" s="43" t="n">
        <v>36.32</v>
      </c>
      <c r="G50" s="43" t="n">
        <v>0.35</v>
      </c>
      <c r="H50" s="44" t="n"/>
    </row>
    <row r="51">
      <c r="A51" t="inlineStr">
        <is>
          <t>EMP2106</t>
        </is>
      </c>
      <c r="B51" t="inlineStr">
        <is>
          <t>Mei Gibson</t>
        </is>
      </c>
      <c r="C51" t="inlineStr">
        <is>
          <t>Licensed Practical Nurse</t>
        </is>
      </c>
      <c r="D51" s="42" t="n">
        <v>28.8</v>
      </c>
      <c r="E51" t="n">
        <v>14</v>
      </c>
      <c r="F51" s="43" t="n">
        <v>172.19</v>
      </c>
      <c r="G51" s="43" t="n">
        <v>4.24</v>
      </c>
      <c r="H51" s="44" t="n"/>
    </row>
    <row r="52">
      <c r="A52" t="inlineStr">
        <is>
          <t>EMP2108</t>
        </is>
      </c>
      <c r="B52" t="inlineStr">
        <is>
          <t>Linh Warren</t>
        </is>
      </c>
      <c r="C52" t="inlineStr">
        <is>
          <t>Certified Nursing Assistant</t>
        </is>
      </c>
      <c r="D52" s="42" t="n">
        <v>23.5</v>
      </c>
      <c r="E52" t="n">
        <v>14</v>
      </c>
      <c r="F52" s="43" t="n">
        <v>172.75</v>
      </c>
      <c r="G52" s="43" t="n">
        <v>4.75</v>
      </c>
      <c r="H52" s="44" t="n"/>
    </row>
    <row r="53">
      <c r="A53" t="inlineStr">
        <is>
          <t>EMP2109</t>
        </is>
      </c>
      <c r="B53" t="inlineStr">
        <is>
          <t>Alexis Fisher</t>
        </is>
      </c>
      <c r="C53" t="inlineStr">
        <is>
          <t>Certified Nursing Assistant</t>
        </is>
      </c>
      <c r="D53" s="42" t="n">
        <v>23.13</v>
      </c>
      <c r="E53" t="n">
        <v>6</v>
      </c>
      <c r="F53" s="43" t="n">
        <v>74.18000000000001</v>
      </c>
      <c r="G53" s="43" t="n">
        <v>2.18</v>
      </c>
      <c r="H53" s="44" t="n"/>
    </row>
    <row r="54">
      <c r="A54" t="inlineStr">
        <is>
          <t>EMP2110</t>
        </is>
      </c>
      <c r="B54" t="inlineStr">
        <is>
          <t>Douglas Kelley</t>
        </is>
      </c>
      <c r="C54" t="inlineStr">
        <is>
          <t>Certified Nursing Assistant</t>
        </is>
      </c>
      <c r="D54" s="42" t="n">
        <v>17.06</v>
      </c>
      <c r="E54" t="n">
        <v>5</v>
      </c>
      <c r="F54" s="43" t="n">
        <v>60.49</v>
      </c>
      <c r="G54" s="43" t="n">
        <v>0.5600000000000001</v>
      </c>
      <c r="H54" s="44" t="n"/>
    </row>
    <row r="55">
      <c r="A55" t="inlineStr">
        <is>
          <t>EMP2112</t>
        </is>
      </c>
      <c r="B55" t="inlineStr">
        <is>
          <t>Amber Carter</t>
        </is>
      </c>
      <c r="C55" t="inlineStr">
        <is>
          <t>Certified Nursing Assistant</t>
        </is>
      </c>
      <c r="D55" s="42" t="n">
        <v>23.5</v>
      </c>
      <c r="E55" t="n">
        <v>13</v>
      </c>
      <c r="F55" s="43" t="n">
        <v>170.36</v>
      </c>
      <c r="G55" s="43" t="n">
        <v>14.38</v>
      </c>
      <c r="H55" s="44" t="n"/>
    </row>
    <row r="56">
      <c r="A56" t="inlineStr">
        <is>
          <t>EMP2113</t>
        </is>
      </c>
      <c r="B56" t="inlineStr">
        <is>
          <t>Alan Roberts</t>
        </is>
      </c>
      <c r="C56" t="inlineStr">
        <is>
          <t>Certified Nursing Assistant</t>
        </is>
      </c>
      <c r="D56" s="42" t="n">
        <v>20.24</v>
      </c>
      <c r="E56" t="n">
        <v>14</v>
      </c>
      <c r="F56" s="43" t="n">
        <v>171.87</v>
      </c>
      <c r="G56" s="43" t="n">
        <v>3.87</v>
      </c>
      <c r="H56" s="44" t="n"/>
    </row>
    <row r="57">
      <c r="A57" t="inlineStr">
        <is>
          <t>EMP2114</t>
        </is>
      </c>
      <c r="B57" t="inlineStr">
        <is>
          <t>Emily Willis</t>
        </is>
      </c>
      <c r="C57" t="inlineStr">
        <is>
          <t>Certified Nursing Assistant</t>
        </is>
      </c>
      <c r="D57" s="42" t="n">
        <v>18.48</v>
      </c>
      <c r="E57" t="n">
        <v>9</v>
      </c>
      <c r="F57" s="43" t="n">
        <v>109.45</v>
      </c>
      <c r="G57" s="43" t="n">
        <v>1.53</v>
      </c>
      <c r="H57" s="44" t="n"/>
    </row>
    <row r="58">
      <c r="A58" t="inlineStr">
        <is>
          <t>EMP2115</t>
        </is>
      </c>
      <c r="B58" t="inlineStr">
        <is>
          <t>Jack Murray</t>
        </is>
      </c>
      <c r="C58" t="inlineStr">
        <is>
          <t>Certified Nursing Assistant</t>
        </is>
      </c>
      <c r="D58" s="42" t="n">
        <v>18.05</v>
      </c>
      <c r="E58" t="n">
        <v>15</v>
      </c>
      <c r="F58" s="43" t="n">
        <v>188.78</v>
      </c>
      <c r="G58" s="43" t="n">
        <v>8.779999999999999</v>
      </c>
      <c r="H58" s="44" t="n"/>
    </row>
    <row r="59">
      <c r="A59" t="inlineStr">
        <is>
          <t>EMP2116</t>
        </is>
      </c>
      <c r="B59" t="inlineStr">
        <is>
          <t>Sharon Weaver</t>
        </is>
      </c>
      <c r="C59" t="inlineStr">
        <is>
          <t>Certified Nursing Assistant</t>
        </is>
      </c>
      <c r="D59" s="42" t="n">
        <v>16.82</v>
      </c>
      <c r="E59" t="n">
        <v>7</v>
      </c>
      <c r="F59" s="43" t="n">
        <v>86.2</v>
      </c>
      <c r="G59" s="43" t="n">
        <v>2.2</v>
      </c>
      <c r="H59" s="44" t="n"/>
    </row>
    <row r="60">
      <c r="A60" t="inlineStr">
        <is>
          <t>EMP2117</t>
        </is>
      </c>
      <c r="B60" t="inlineStr">
        <is>
          <t>Rachel Stevens</t>
        </is>
      </c>
      <c r="C60" t="inlineStr">
        <is>
          <t>Certified Nursing Assistant</t>
        </is>
      </c>
      <c r="D60" s="42" t="n">
        <v>19.78</v>
      </c>
      <c r="E60" t="n">
        <v>8</v>
      </c>
      <c r="F60" s="43" t="n">
        <v>105.46</v>
      </c>
      <c r="G60" s="43" t="n">
        <v>9.51</v>
      </c>
      <c r="H60" s="44" t="n"/>
    </row>
    <row r="61">
      <c r="A61" t="inlineStr">
        <is>
          <t>EMP2118</t>
        </is>
      </c>
      <c r="B61" t="inlineStr">
        <is>
          <t>Pamela Yilmaz</t>
        </is>
      </c>
      <c r="C61" t="inlineStr">
        <is>
          <t>Certified Nursing Assistant</t>
        </is>
      </c>
      <c r="D61" s="42" t="n">
        <v>19.61</v>
      </c>
      <c r="E61" t="n">
        <v>13</v>
      </c>
      <c r="F61" s="43" t="n">
        <v>163.52</v>
      </c>
      <c r="G61" s="43" t="n">
        <v>7.52</v>
      </c>
      <c r="H61" s="44" t="n"/>
    </row>
    <row r="62">
      <c r="A62" t="inlineStr">
        <is>
          <t>EMP2119</t>
        </is>
      </c>
      <c r="B62" t="inlineStr">
        <is>
          <t>Andrea Carter</t>
        </is>
      </c>
      <c r="C62" t="inlineStr">
        <is>
          <t>Certified Nursing Assistant</t>
        </is>
      </c>
      <c r="D62" s="42" t="n">
        <v>23.5</v>
      </c>
      <c r="E62" t="n">
        <v>15</v>
      </c>
      <c r="F62" s="43" t="n">
        <v>184.91</v>
      </c>
      <c r="G62" s="43" t="n">
        <v>4.96</v>
      </c>
      <c r="H62" s="44" t="n"/>
    </row>
    <row r="63">
      <c r="A63" t="inlineStr">
        <is>
          <t>EMP2120</t>
        </is>
      </c>
      <c r="B63" t="inlineStr">
        <is>
          <t>Donna Peterson</t>
        </is>
      </c>
      <c r="C63" t="inlineStr">
        <is>
          <t>Certified Nursing Assistant</t>
        </is>
      </c>
      <c r="D63" s="42" t="n">
        <v>23.5</v>
      </c>
      <c r="E63" t="n">
        <v>12</v>
      </c>
      <c r="F63" s="43" t="n">
        <v>148.25</v>
      </c>
      <c r="G63" s="43" t="n">
        <v>4.3</v>
      </c>
      <c r="H63" s="44" t="n"/>
    </row>
    <row r="64">
      <c r="A64" t="inlineStr">
        <is>
          <t>EMP2121</t>
        </is>
      </c>
      <c r="B64" t="inlineStr">
        <is>
          <t>Alice Turner</t>
        </is>
      </c>
      <c r="C64" t="inlineStr">
        <is>
          <t>Certified Nursing Assistant</t>
        </is>
      </c>
      <c r="D64" s="42" t="n">
        <v>20.66</v>
      </c>
      <c r="E64" t="n">
        <v>13</v>
      </c>
      <c r="F64" s="43" t="n">
        <v>160.67</v>
      </c>
      <c r="G64" s="43" t="n">
        <v>4.69</v>
      </c>
      <c r="H64" s="44" t="n"/>
    </row>
    <row r="65">
      <c r="A65" t="inlineStr">
        <is>
          <t>EMP2122</t>
        </is>
      </c>
      <c r="B65" t="inlineStr">
        <is>
          <t>Susan Lopez</t>
        </is>
      </c>
      <c r="C65" t="inlineStr">
        <is>
          <t>Certified Nursing Assistant</t>
        </is>
      </c>
      <c r="D65" s="42" t="n">
        <v>19.2</v>
      </c>
      <c r="E65" t="n">
        <v>16</v>
      </c>
      <c r="F65" s="43" t="n">
        <v>198.45</v>
      </c>
      <c r="G65" s="43" t="n">
        <v>6.53</v>
      </c>
      <c r="H65" s="44" t="n"/>
    </row>
    <row r="66">
      <c r="A66" t="inlineStr">
        <is>
          <t>EMP2123</t>
        </is>
      </c>
      <c r="B66" t="inlineStr">
        <is>
          <t>Rosa Lee</t>
        </is>
      </c>
      <c r="C66" t="inlineStr">
        <is>
          <t>Certified Nursing Assistant</t>
        </is>
      </c>
      <c r="D66" s="42" t="n">
        <v>21.49</v>
      </c>
      <c r="E66" t="n">
        <v>13</v>
      </c>
      <c r="F66" s="43" t="n">
        <v>159.82</v>
      </c>
      <c r="G66" s="43" t="n">
        <v>3.92</v>
      </c>
      <c r="H66" s="44" t="n"/>
    </row>
    <row r="67">
      <c r="A67" t="inlineStr">
        <is>
          <t>EMP2124</t>
        </is>
      </c>
      <c r="B67" t="inlineStr">
        <is>
          <t>Michelle Freeman</t>
        </is>
      </c>
      <c r="C67" t="inlineStr">
        <is>
          <t>Unit Secretary</t>
        </is>
      </c>
      <c r="D67" s="42" t="n">
        <v>19.83</v>
      </c>
      <c r="E67" t="n">
        <v>23</v>
      </c>
      <c r="F67" s="43" t="n">
        <v>190.47</v>
      </c>
      <c r="G67" s="43" t="n">
        <v>6.74</v>
      </c>
      <c r="H67" s="44" t="n"/>
    </row>
    <row r="68">
      <c r="A68" t="inlineStr">
        <is>
          <t>EMP2125</t>
        </is>
      </c>
      <c r="B68" t="inlineStr">
        <is>
          <t>Minh Tran</t>
        </is>
      </c>
      <c r="C68" t="inlineStr">
        <is>
          <t>Unit Secretary</t>
        </is>
      </c>
      <c r="D68" s="42" t="n">
        <v>16.97</v>
      </c>
      <c r="E68" t="n">
        <v>13</v>
      </c>
      <c r="F68" s="43" t="n">
        <v>111.21</v>
      </c>
      <c r="G68" s="43" t="n">
        <v>7.21</v>
      </c>
      <c r="H68" s="44" t="n"/>
    </row>
    <row r="69">
      <c r="A69" t="inlineStr">
        <is>
          <t>EMP2126</t>
        </is>
      </c>
      <c r="B69" t="inlineStr">
        <is>
          <t>Jonathan Evans</t>
        </is>
      </c>
      <c r="C69" t="inlineStr">
        <is>
          <t>Unit Secretary</t>
        </is>
      </c>
      <c r="D69" s="42" t="n">
        <v>18.96</v>
      </c>
      <c r="E69" t="n">
        <v>22</v>
      </c>
      <c r="F69" s="43" t="n">
        <v>186.9</v>
      </c>
      <c r="G69" s="43" t="n">
        <v>10.9</v>
      </c>
      <c r="H69" s="44" t="n"/>
    </row>
    <row r="70">
      <c r="A70" t="inlineStr">
        <is>
          <t>EMP2128</t>
        </is>
      </c>
      <c r="B70" t="inlineStr">
        <is>
          <t>Judy Herrera</t>
        </is>
      </c>
      <c r="C70" t="inlineStr">
        <is>
          <t>Respiratory Therapist</t>
        </is>
      </c>
      <c r="D70" s="42" t="n">
        <v>35.36</v>
      </c>
      <c r="E70" t="n">
        <v>3</v>
      </c>
      <c r="F70" s="43" t="n">
        <v>37.12</v>
      </c>
      <c r="G70" s="43" t="n">
        <v>1.12</v>
      </c>
      <c r="H70" s="44" t="n"/>
    </row>
    <row r="71">
      <c r="A71" t="inlineStr">
        <is>
          <t>EMP2129</t>
        </is>
      </c>
      <c r="B71" t="inlineStr">
        <is>
          <t>Kayla Gonzalez</t>
        </is>
      </c>
      <c r="C71" t="inlineStr">
        <is>
          <t>Respiratory Therapist</t>
        </is>
      </c>
      <c r="D71" s="42" t="n">
        <v>32.66</v>
      </c>
      <c r="E71" t="n">
        <v>15</v>
      </c>
      <c r="F71" s="43" t="n">
        <v>188.61</v>
      </c>
      <c r="G71" s="43" t="n">
        <v>8.609999999999999</v>
      </c>
      <c r="H71" s="44" t="n"/>
    </row>
    <row r="72">
      <c r="A72" t="inlineStr">
        <is>
          <t>EMP2130</t>
        </is>
      </c>
      <c r="B72" t="inlineStr">
        <is>
          <t>Alexander Arnold</t>
        </is>
      </c>
      <c r="C72" t="inlineStr">
        <is>
          <t>Respiratory Therapist</t>
        </is>
      </c>
      <c r="D72" s="42" t="n">
        <v>39.47</v>
      </c>
      <c r="E72" t="n">
        <v>3</v>
      </c>
      <c r="F72" s="43" t="n">
        <v>37.92</v>
      </c>
      <c r="G72" s="43" t="n">
        <v>1.92</v>
      </c>
      <c r="H72" s="44" t="n"/>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548235"/>
    <outlinePr summaryBelow="1" summaryRight="1"/>
    <pageSetUpPr fitToPage="1"/>
  </sheetPr>
  <dimension ref="A1:H12"/>
  <sheetViews>
    <sheetView tabSelected="0" workbookViewId="0">
      <pane xSplit="1" ySplit="5" topLeftCell="B6"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29" t="inlineStr">
        <is>
          <t>Medical-Surgical 4 West · nursing care hours needed per day</t>
        </is>
      </c>
    </row>
    <row r="2">
      <c r="A2" s="30" t="inlineStr">
        <is>
          <t>Hours needed = midnight census (column A) × HPPD target (row 5). HPPD = nursing hours per patient day.</t>
        </is>
      </c>
    </row>
    <row r="3">
      <c r="A3" s="30" t="inlineStr">
        <is>
          <t>Fill the yellow grid B6:H12 with ONE formula: type it in B6, copy it across to H6, then down to row 12.</t>
        </is>
      </c>
    </row>
    <row r="5">
      <c r="A5" s="45" t="inlineStr">
        <is>
          <t>Census ↓   HPPD →</t>
        </is>
      </c>
      <c r="B5" s="46" t="n">
        <v>7</v>
      </c>
      <c r="C5" s="46" t="n">
        <v>7.5</v>
      </c>
      <c r="D5" s="46" t="n">
        <v>8</v>
      </c>
      <c r="E5" s="46" t="n">
        <v>8.5</v>
      </c>
      <c r="F5" s="46" t="n">
        <v>9</v>
      </c>
      <c r="G5" s="46" t="n">
        <v>9.5</v>
      </c>
      <c r="H5" s="46" t="n">
        <v>10</v>
      </c>
    </row>
    <row r="6">
      <c r="A6" s="47" t="n">
        <v>26</v>
      </c>
      <c r="B6" s="48" t="n"/>
      <c r="C6" s="48" t="n"/>
      <c r="D6" s="48" t="n"/>
      <c r="E6" s="48" t="n"/>
      <c r="F6" s="48" t="n"/>
      <c r="G6" s="48" t="n"/>
      <c r="H6" s="48" t="n"/>
    </row>
    <row r="7">
      <c r="A7" s="47" t="n">
        <v>28</v>
      </c>
      <c r="B7" s="48" t="n"/>
      <c r="C7" s="48" t="n"/>
      <c r="D7" s="48" t="n"/>
      <c r="E7" s="48" t="n"/>
      <c r="F7" s="48" t="n"/>
      <c r="G7" s="48" t="n"/>
      <c r="H7" s="48" t="n"/>
    </row>
    <row r="8">
      <c r="A8" s="47" t="n">
        <v>30</v>
      </c>
      <c r="B8" s="48" t="n"/>
      <c r="C8" s="48" t="n"/>
      <c r="D8" s="48" t="n"/>
      <c r="E8" s="48" t="n"/>
      <c r="F8" s="48" t="n"/>
      <c r="G8" s="48" t="n"/>
      <c r="H8" s="48" t="n"/>
    </row>
    <row r="9">
      <c r="A9" s="47" t="n">
        <v>32</v>
      </c>
      <c r="B9" s="48" t="n"/>
      <c r="C9" s="48" t="n"/>
      <c r="D9" s="48" t="n"/>
      <c r="E9" s="48" t="n"/>
      <c r="F9" s="48" t="n"/>
      <c r="G9" s="48" t="n"/>
      <c r="H9" s="48" t="n"/>
    </row>
    <row r="10">
      <c r="A10" s="47" t="n">
        <v>34</v>
      </c>
      <c r="B10" s="48" t="n"/>
      <c r="C10" s="48" t="n"/>
      <c r="D10" s="48" t="n"/>
      <c r="E10" s="48" t="n"/>
      <c r="F10" s="48" t="n"/>
      <c r="G10" s="48" t="n"/>
      <c r="H10" s="48" t="n"/>
    </row>
    <row r="11">
      <c r="A11" s="47" t="n">
        <v>36</v>
      </c>
      <c r="B11" s="48" t="n"/>
      <c r="C11" s="48" t="n"/>
      <c r="D11" s="48" t="n"/>
      <c r="E11" s="48" t="n"/>
      <c r="F11" s="48" t="n"/>
      <c r="G11" s="48" t="n"/>
      <c r="H11" s="48" t="n"/>
    </row>
    <row r="12">
      <c r="A12" s="47" t="n">
        <v>38</v>
      </c>
      <c r="B12" s="48" t="n"/>
      <c r="C12" s="48" t="n"/>
      <c r="D12" s="48" t="n"/>
      <c r="E12" s="48" t="n"/>
      <c r="F12" s="48" t="n"/>
      <c r="G12" s="48" t="n"/>
      <c r="H12" s="48" t="n"/>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548235"/>
    <outlinePr summaryBelow="1" summaryRight="1"/>
    <pageSetUpPr fitToPage="1"/>
  </sheetPr>
  <dimension ref="A1:J21"/>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3" customWidth="1" min="10" max="10"/>
  </cols>
  <sheetData>
    <row r="1">
      <c r="A1" s="29" t="inlineStr">
        <is>
          <t>Bluestone Memorial Hospital · Q4 2025 operating expense, October–December ($)</t>
        </is>
      </c>
    </row>
    <row r="2">
      <c r="A2" s="30" t="inlineStr">
        <is>
          <t>Same layout as the Oct, Nov, and Dec sheets. Fill the yellow grid with ONE 3-D formula that adds the same cell on all three monthly sheets, then copy it across and down.</t>
        </is>
      </c>
    </row>
    <row r="4" ht="32" customHeight="1">
      <c r="A4" s="49" t="inlineStr">
        <is>
          <t>Department</t>
        </is>
      </c>
      <c r="B4" s="49" t="inlineStr">
        <is>
          <t>Cost Center</t>
        </is>
      </c>
      <c r="C4" s="49" t="inlineStr">
        <is>
          <t>Salaries &amp; Wages</t>
        </is>
      </c>
      <c r="D4" s="49" t="inlineStr">
        <is>
          <t>Employee Benefits</t>
        </is>
      </c>
      <c r="E4" s="49" t="inlineStr">
        <is>
          <t>Medical Supplies</t>
        </is>
      </c>
      <c r="F4" s="49" t="inlineStr">
        <is>
          <t>Pharmaceuticals</t>
        </is>
      </c>
      <c r="G4" s="49" t="inlineStr">
        <is>
          <t>Purchased Services</t>
        </is>
      </c>
      <c r="H4" s="49" t="inlineStr">
        <is>
          <t>Equipment &amp; Maintenance</t>
        </is>
      </c>
      <c r="I4" s="49" t="inlineStr">
        <is>
          <t>Other Operating</t>
        </is>
      </c>
      <c r="J4" s="49" t="inlineStr">
        <is>
          <t>Total</t>
        </is>
      </c>
    </row>
    <row r="5">
      <c r="A5" s="50" t="inlineStr">
        <is>
          <t>Emergency Department</t>
        </is>
      </c>
      <c r="B5" s="50" t="n">
        <v>6100</v>
      </c>
      <c r="C5" s="48" t="n"/>
      <c r="D5" s="48" t="n"/>
      <c r="E5" s="48" t="n"/>
      <c r="F5" s="48" t="n"/>
      <c r="G5" s="48" t="n"/>
      <c r="H5" s="48" t="n"/>
      <c r="I5" s="48" t="n"/>
      <c r="J5" s="51">
        <f>SUM(C5:I5)</f>
        <v/>
      </c>
    </row>
    <row r="6">
      <c r="A6" s="50" t="inlineStr">
        <is>
          <t>Medical-Surgical 4 West</t>
        </is>
      </c>
      <c r="B6" s="50" t="n">
        <v>6110</v>
      </c>
      <c r="C6" s="48" t="n"/>
      <c r="D6" s="48" t="n"/>
      <c r="E6" s="48" t="n"/>
      <c r="F6" s="48" t="n"/>
      <c r="G6" s="48" t="n"/>
      <c r="H6" s="48" t="n"/>
      <c r="I6" s="48" t="n"/>
      <c r="J6" s="51">
        <f>SUM(C6:I6)</f>
        <v/>
      </c>
    </row>
    <row r="7">
      <c r="A7" s="50" t="inlineStr">
        <is>
          <t>Medical-Surgical 5 East</t>
        </is>
      </c>
      <c r="B7" s="50" t="n">
        <v>6111</v>
      </c>
      <c r="C7" s="48" t="n"/>
      <c r="D7" s="48" t="n"/>
      <c r="E7" s="48" t="n"/>
      <c r="F7" s="48" t="n"/>
      <c r="G7" s="48" t="n"/>
      <c r="H7" s="48" t="n"/>
      <c r="I7" s="48" t="n"/>
      <c r="J7" s="51">
        <f>SUM(C7:I7)</f>
        <v/>
      </c>
    </row>
    <row r="8">
      <c r="A8" s="50" t="inlineStr">
        <is>
          <t>Cardiac Step-Down</t>
        </is>
      </c>
      <c r="B8" s="50" t="n">
        <v>6120</v>
      </c>
      <c r="C8" s="48" t="n"/>
      <c r="D8" s="48" t="n"/>
      <c r="E8" s="48" t="n"/>
      <c r="F8" s="48" t="n"/>
      <c r="G8" s="48" t="n"/>
      <c r="H8" s="48" t="n"/>
      <c r="I8" s="48" t="n"/>
      <c r="J8" s="51">
        <f>SUM(C8:I8)</f>
        <v/>
      </c>
    </row>
    <row r="9">
      <c r="A9" s="50" t="inlineStr">
        <is>
          <t>Intensive Care Unit</t>
        </is>
      </c>
      <c r="B9" s="50" t="n">
        <v>6130</v>
      </c>
      <c r="C9" s="48" t="n"/>
      <c r="D9" s="48" t="n"/>
      <c r="E9" s="48" t="n"/>
      <c r="F9" s="48" t="n"/>
      <c r="G9" s="48" t="n"/>
      <c r="H9" s="48" t="n"/>
      <c r="I9" s="48" t="n"/>
      <c r="J9" s="51">
        <f>SUM(C9:I9)</f>
        <v/>
      </c>
    </row>
    <row r="10">
      <c r="A10" s="50" t="inlineStr">
        <is>
          <t>Orthopedics &amp; Spine</t>
        </is>
      </c>
      <c r="B10" s="50" t="n">
        <v>6140</v>
      </c>
      <c r="C10" s="48" t="n"/>
      <c r="D10" s="48" t="n"/>
      <c r="E10" s="48" t="n"/>
      <c r="F10" s="48" t="n"/>
      <c r="G10" s="48" t="n"/>
      <c r="H10" s="48" t="n"/>
      <c r="I10" s="48" t="n"/>
      <c r="J10" s="51">
        <f>SUM(C10:I10)</f>
        <v/>
      </c>
    </row>
    <row r="11">
      <c r="A11" s="50" t="inlineStr">
        <is>
          <t>Oncology</t>
        </is>
      </c>
      <c r="B11" s="50" t="n">
        <v>6150</v>
      </c>
      <c r="C11" s="48" t="n"/>
      <c r="D11" s="48" t="n"/>
      <c r="E11" s="48" t="n"/>
      <c r="F11" s="48" t="n"/>
      <c r="G11" s="48" t="n"/>
      <c r="H11" s="48" t="n"/>
      <c r="I11" s="48" t="n"/>
      <c r="J11" s="51">
        <f>SUM(C11:I11)</f>
        <v/>
      </c>
    </row>
    <row r="12">
      <c r="A12" s="50" t="inlineStr">
        <is>
          <t>Neuroscience &amp; Stroke</t>
        </is>
      </c>
      <c r="B12" s="50" t="n">
        <v>6160</v>
      </c>
      <c r="C12" s="48" t="n"/>
      <c r="D12" s="48" t="n"/>
      <c r="E12" s="48" t="n"/>
      <c r="F12" s="48" t="n"/>
      <c r="G12" s="48" t="n"/>
      <c r="H12" s="48" t="n"/>
      <c r="I12" s="48" t="n"/>
      <c r="J12" s="51">
        <f>SUM(C12:I12)</f>
        <v/>
      </c>
    </row>
    <row r="13">
      <c r="A13" s="50" t="inlineStr">
        <is>
          <t>Labor &amp; Delivery</t>
        </is>
      </c>
      <c r="B13" s="50" t="n">
        <v>6170</v>
      </c>
      <c r="C13" s="48" t="n"/>
      <c r="D13" s="48" t="n"/>
      <c r="E13" s="48" t="n"/>
      <c r="F13" s="48" t="n"/>
      <c r="G13" s="48" t="n"/>
      <c r="H13" s="48" t="n"/>
      <c r="I13" s="48" t="n"/>
      <c r="J13" s="51">
        <f>SUM(C13:I13)</f>
        <v/>
      </c>
    </row>
    <row r="14">
      <c r="A14" s="50" t="inlineStr">
        <is>
          <t>Pediatrics</t>
        </is>
      </c>
      <c r="B14" s="50" t="n">
        <v>6180</v>
      </c>
      <c r="C14" s="48" t="n"/>
      <c r="D14" s="48" t="n"/>
      <c r="E14" s="48" t="n"/>
      <c r="F14" s="48" t="n"/>
      <c r="G14" s="48" t="n"/>
      <c r="H14" s="48" t="n"/>
      <c r="I14" s="48" t="n"/>
      <c r="J14" s="51">
        <f>SUM(C14:I14)</f>
        <v/>
      </c>
    </row>
    <row r="15">
      <c r="A15" s="50" t="inlineStr">
        <is>
          <t>Behavioral Health</t>
        </is>
      </c>
      <c r="B15" s="50" t="n">
        <v>6190</v>
      </c>
      <c r="C15" s="48" t="n"/>
      <c r="D15" s="48" t="n"/>
      <c r="E15" s="48" t="n"/>
      <c r="F15" s="48" t="n"/>
      <c r="G15" s="48" t="n"/>
      <c r="H15" s="48" t="n"/>
      <c r="I15" s="48" t="n"/>
      <c r="J15" s="51">
        <f>SUM(C15:I15)</f>
        <v/>
      </c>
    </row>
    <row r="16">
      <c r="A16" s="50" t="inlineStr">
        <is>
          <t>Observation Unit</t>
        </is>
      </c>
      <c r="B16" s="50" t="n">
        <v>6195</v>
      </c>
      <c r="C16" s="48" t="n"/>
      <c r="D16" s="48" t="n"/>
      <c r="E16" s="48" t="n"/>
      <c r="F16" s="48" t="n"/>
      <c r="G16" s="48" t="n"/>
      <c r="H16" s="48" t="n"/>
      <c r="I16" s="48" t="n"/>
      <c r="J16" s="51">
        <f>SUM(C16:I16)</f>
        <v/>
      </c>
    </row>
    <row r="17">
      <c r="A17" s="50" t="inlineStr">
        <is>
          <t>Perioperative Services</t>
        </is>
      </c>
      <c r="B17" s="50" t="n">
        <v>6196</v>
      </c>
      <c r="C17" s="48" t="n"/>
      <c r="D17" s="48" t="n"/>
      <c r="E17" s="48" t="n"/>
      <c r="F17" s="48" t="n"/>
      <c r="G17" s="48" t="n"/>
      <c r="H17" s="48" t="n"/>
      <c r="I17" s="48" t="n"/>
      <c r="J17" s="51">
        <f>SUM(C17:I17)</f>
        <v/>
      </c>
    </row>
    <row r="18">
      <c r="A18" s="50" t="inlineStr">
        <is>
          <t>Laboratory</t>
        </is>
      </c>
      <c r="B18" s="50" t="n">
        <v>6500</v>
      </c>
      <c r="C18" s="48" t="n"/>
      <c r="D18" s="48" t="n"/>
      <c r="E18" s="48" t="n"/>
      <c r="F18" s="48" t="n"/>
      <c r="G18" s="48" t="n"/>
      <c r="H18" s="48" t="n"/>
      <c r="I18" s="48" t="n"/>
      <c r="J18" s="51">
        <f>SUM(C18:I18)</f>
        <v/>
      </c>
    </row>
    <row r="19">
      <c r="A19" s="50" t="inlineStr">
        <is>
          <t>Radiology</t>
        </is>
      </c>
      <c r="B19" s="50" t="n">
        <v>6510</v>
      </c>
      <c r="C19" s="48" t="n"/>
      <c r="D19" s="48" t="n"/>
      <c r="E19" s="48" t="n"/>
      <c r="F19" s="48" t="n"/>
      <c r="G19" s="48" t="n"/>
      <c r="H19" s="48" t="n"/>
      <c r="I19" s="48" t="n"/>
      <c r="J19" s="51">
        <f>SUM(C19:I19)</f>
        <v/>
      </c>
    </row>
    <row r="20">
      <c r="A20" s="50" t="inlineStr">
        <is>
          <t>Pharmacy</t>
        </is>
      </c>
      <c r="B20" s="50" t="n">
        <v>6520</v>
      </c>
      <c r="C20" s="48" t="n"/>
      <c r="D20" s="48" t="n"/>
      <c r="E20" s="48" t="n"/>
      <c r="F20" s="48" t="n"/>
      <c r="G20" s="48" t="n"/>
      <c r="H20" s="48" t="n"/>
      <c r="I20" s="48" t="n"/>
      <c r="J20" s="51">
        <f>SUM(C20:I20)</f>
        <v/>
      </c>
    </row>
    <row r="21">
      <c r="A21" s="35" t="inlineStr">
        <is>
          <t>Hospital total</t>
        </is>
      </c>
      <c r="B21" s="35" t="n"/>
      <c r="C21" s="36">
        <f>SUM(C5:C20)</f>
        <v/>
      </c>
      <c r="D21" s="36">
        <f>SUM(D5:D20)</f>
        <v/>
      </c>
      <c r="E21" s="36">
        <f>SUM(E5:E20)</f>
        <v/>
      </c>
      <c r="F21" s="36">
        <f>SUM(F5:F20)</f>
        <v/>
      </c>
      <c r="G21" s="36">
        <f>SUM(G5:G20)</f>
        <v/>
      </c>
      <c r="H21" s="36">
        <f>SUM(H5:H20)</f>
        <v/>
      </c>
      <c r="I21" s="36">
        <f>SUM(I5:I20)</f>
        <v/>
      </c>
      <c r="J21" s="36">
        <f>SUM(J5:J20)</f>
        <v/>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2E75B6"/>
    <outlinePr summaryBelow="1" summaryRight="1"/>
    <pageSetUpPr fitToPage="1"/>
  </sheetPr>
  <dimension ref="A1:J21"/>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3" customWidth="1" min="10" max="10"/>
  </cols>
  <sheetData>
    <row r="1">
      <c r="A1" s="29" t="inlineStr">
        <is>
          <t>Bluestone Memorial Hospital · operating expense actuals · October 2025 ($)</t>
        </is>
      </c>
    </row>
    <row r="2">
      <c r="A2" s="30" t="inlineStr">
        <is>
          <t>Oct, Nov, and Dec share one layout: departments in rows 5–20, categories in columns C–I, totals in column J and row 21.</t>
        </is>
      </c>
    </row>
    <row r="4" ht="32" customHeight="1">
      <c r="A4" s="31" t="inlineStr">
        <is>
          <t>Department</t>
        </is>
      </c>
      <c r="B4" s="31" t="inlineStr">
        <is>
          <t>Cost Center</t>
        </is>
      </c>
      <c r="C4" s="31" t="inlineStr">
        <is>
          <t>Salaries &amp; Wages</t>
        </is>
      </c>
      <c r="D4" s="31" t="inlineStr">
        <is>
          <t>Employee Benefits</t>
        </is>
      </c>
      <c r="E4" s="31" t="inlineStr">
        <is>
          <t>Medical Supplies</t>
        </is>
      </c>
      <c r="F4" s="31" t="inlineStr">
        <is>
          <t>Pharmaceuticals</t>
        </is>
      </c>
      <c r="G4" s="31" t="inlineStr">
        <is>
          <t>Purchased Services</t>
        </is>
      </c>
      <c r="H4" s="31" t="inlineStr">
        <is>
          <t>Equipment &amp; Maintenance</t>
        </is>
      </c>
      <c r="I4" s="31" t="inlineStr">
        <is>
          <t>Other Operating</t>
        </is>
      </c>
      <c r="J4" s="31" t="inlineStr">
        <is>
          <t>Total</t>
        </is>
      </c>
    </row>
    <row r="5">
      <c r="A5" t="inlineStr">
        <is>
          <t>Emergency Department</t>
        </is>
      </c>
      <c r="B5" t="n">
        <v>6100</v>
      </c>
      <c r="C5" s="33" t="n">
        <v>859807</v>
      </c>
      <c r="D5" s="33" t="n">
        <v>232299</v>
      </c>
      <c r="E5" s="33" t="n">
        <v>97503</v>
      </c>
      <c r="F5" s="33" t="n">
        <v>85627</v>
      </c>
      <c r="G5" s="33" t="n">
        <v>89467</v>
      </c>
      <c r="H5" s="33" t="n">
        <v>46210</v>
      </c>
      <c r="I5" s="33" t="n">
        <v>24521</v>
      </c>
      <c r="J5" s="33">
        <f>SUM(C5:I5)</f>
        <v/>
      </c>
    </row>
    <row r="6">
      <c r="A6" t="inlineStr">
        <is>
          <t>Medical-Surgical 4 West</t>
        </is>
      </c>
      <c r="B6" t="n">
        <v>6110</v>
      </c>
      <c r="C6" s="33" t="n">
        <v>609878</v>
      </c>
      <c r="D6" s="33" t="n">
        <v>181713</v>
      </c>
      <c r="E6" s="33" t="n">
        <v>76462</v>
      </c>
      <c r="F6" s="33" t="n">
        <v>75644</v>
      </c>
      <c r="G6" s="33" t="n">
        <v>29795</v>
      </c>
      <c r="H6" s="33" t="n">
        <v>20004</v>
      </c>
      <c r="I6" s="33" t="n">
        <v>15196</v>
      </c>
      <c r="J6" s="33">
        <f>SUM(C6:I6)</f>
        <v/>
      </c>
    </row>
    <row r="7">
      <c r="A7" t="inlineStr">
        <is>
          <t>Medical-Surgical 5 East</t>
        </is>
      </c>
      <c r="B7" t="n">
        <v>6111</v>
      </c>
      <c r="C7" s="33" t="n">
        <v>599680</v>
      </c>
      <c r="D7" s="33" t="n">
        <v>165104</v>
      </c>
      <c r="E7" s="33" t="n">
        <v>86990</v>
      </c>
      <c r="F7" s="33" t="n">
        <v>62880</v>
      </c>
      <c r="G7" s="33" t="n">
        <v>24964</v>
      </c>
      <c r="H7" s="33" t="n">
        <v>15222</v>
      </c>
      <c r="I7" s="33" t="n">
        <v>11542</v>
      </c>
      <c r="J7" s="33">
        <f>SUM(C7:I7)</f>
        <v/>
      </c>
    </row>
    <row r="8">
      <c r="A8" t="inlineStr">
        <is>
          <t>Cardiac Step-Down</t>
        </is>
      </c>
      <c r="B8" t="n">
        <v>6120</v>
      </c>
      <c r="C8" s="33" t="n">
        <v>451984</v>
      </c>
      <c r="D8" s="33" t="n">
        <v>125725</v>
      </c>
      <c r="E8" s="33" t="n">
        <v>66479</v>
      </c>
      <c r="F8" s="33" t="n">
        <v>54810</v>
      </c>
      <c r="G8" s="33" t="n">
        <v>18551</v>
      </c>
      <c r="H8" s="33" t="n">
        <v>11209</v>
      </c>
      <c r="I8" s="33" t="n">
        <v>9287</v>
      </c>
      <c r="J8" s="33">
        <f>SUM(C8:I8)</f>
        <v/>
      </c>
    </row>
    <row r="9">
      <c r="A9" t="inlineStr">
        <is>
          <t>Intensive Care Unit</t>
        </is>
      </c>
      <c r="B9" t="n">
        <v>6130</v>
      </c>
      <c r="C9" s="33" t="n">
        <v>566232</v>
      </c>
      <c r="D9" s="33" t="n">
        <v>166473</v>
      </c>
      <c r="E9" s="33" t="n">
        <v>86967</v>
      </c>
      <c r="F9" s="33" t="n">
        <v>82101</v>
      </c>
      <c r="G9" s="33" t="n">
        <v>14652</v>
      </c>
      <c r="H9" s="33" t="n">
        <v>19993</v>
      </c>
      <c r="I9" s="33" t="n">
        <v>7193</v>
      </c>
      <c r="J9" s="33">
        <f>SUM(C9:I9)</f>
        <v/>
      </c>
    </row>
    <row r="10">
      <c r="A10" t="inlineStr">
        <is>
          <t>Orthopedics &amp; Spine</t>
        </is>
      </c>
      <c r="B10" t="n">
        <v>6140</v>
      </c>
      <c r="C10" s="33" t="n">
        <v>411167</v>
      </c>
      <c r="D10" s="33" t="n">
        <v>111442</v>
      </c>
      <c r="E10" s="33" t="n">
        <v>62684</v>
      </c>
      <c r="F10" s="33" t="n">
        <v>42484</v>
      </c>
      <c r="G10" s="33" t="n">
        <v>16135</v>
      </c>
      <c r="H10" s="33" t="n">
        <v>10841</v>
      </c>
      <c r="I10" s="33" t="n">
        <v>8739</v>
      </c>
      <c r="J10" s="33">
        <f>SUM(C10:I10)</f>
        <v/>
      </c>
    </row>
    <row r="11">
      <c r="A11" t="inlineStr">
        <is>
          <t>Oncology</t>
        </is>
      </c>
      <c r="B11" t="n">
        <v>6150</v>
      </c>
      <c r="C11" s="33" t="n">
        <v>326993</v>
      </c>
      <c r="D11" s="33" t="n">
        <v>85593</v>
      </c>
      <c r="E11" s="33" t="n">
        <v>56899</v>
      </c>
      <c r="F11" s="33" t="n">
        <v>228126</v>
      </c>
      <c r="G11" s="33" t="n">
        <v>15885</v>
      </c>
      <c r="H11" s="33" t="n">
        <v>9307</v>
      </c>
      <c r="I11" s="33" t="n">
        <v>6869</v>
      </c>
      <c r="J11" s="33">
        <f>SUM(C11:I11)</f>
        <v/>
      </c>
    </row>
    <row r="12">
      <c r="A12" t="inlineStr">
        <is>
          <t>Neuroscience &amp; Stroke</t>
        </is>
      </c>
      <c r="B12" t="n">
        <v>6160</v>
      </c>
      <c r="C12" s="33" t="n">
        <v>284946</v>
      </c>
      <c r="D12" s="33" t="n">
        <v>82257</v>
      </c>
      <c r="E12" s="33" t="n">
        <v>45941</v>
      </c>
      <c r="F12" s="33" t="n">
        <v>32573</v>
      </c>
      <c r="G12" s="33" t="n">
        <v>12372</v>
      </c>
      <c r="H12" s="33" t="n">
        <v>7004</v>
      </c>
      <c r="I12" s="33" t="n">
        <v>5049</v>
      </c>
      <c r="J12" s="33">
        <f>SUM(C12:I12)</f>
        <v/>
      </c>
    </row>
    <row r="13">
      <c r="A13" t="inlineStr">
        <is>
          <t>Labor &amp; Delivery</t>
        </is>
      </c>
      <c r="B13" t="n">
        <v>6170</v>
      </c>
      <c r="C13" s="33" t="n">
        <v>381189</v>
      </c>
      <c r="D13" s="33" t="n">
        <v>102522</v>
      </c>
      <c r="E13" s="33" t="n">
        <v>61984</v>
      </c>
      <c r="F13" s="33" t="n">
        <v>41046</v>
      </c>
      <c r="G13" s="33" t="n">
        <v>16013</v>
      </c>
      <c r="H13" s="33" t="n">
        <v>9826</v>
      </c>
      <c r="I13" s="33" t="n">
        <v>6632</v>
      </c>
      <c r="J13" s="33">
        <f>SUM(C13:I13)</f>
        <v/>
      </c>
    </row>
    <row r="14">
      <c r="A14" t="inlineStr">
        <is>
          <t>Pediatrics</t>
        </is>
      </c>
      <c r="B14" t="n">
        <v>6180</v>
      </c>
      <c r="C14" s="33" t="n">
        <v>244533</v>
      </c>
      <c r="D14" s="33" t="n">
        <v>67115</v>
      </c>
      <c r="E14" s="33" t="n">
        <v>41432</v>
      </c>
      <c r="F14" s="33" t="n">
        <v>31032</v>
      </c>
      <c r="G14" s="33" t="n">
        <v>10211</v>
      </c>
      <c r="H14" s="33" t="n">
        <v>6068</v>
      </c>
      <c r="I14" s="33" t="n">
        <v>5398</v>
      </c>
      <c r="J14" s="33">
        <f>SUM(C14:I14)</f>
        <v/>
      </c>
    </row>
    <row r="15">
      <c r="A15" t="inlineStr">
        <is>
          <t>Behavioral Health</t>
        </is>
      </c>
      <c r="B15" t="n">
        <v>6190</v>
      </c>
      <c r="C15" s="33" t="n">
        <v>304466</v>
      </c>
      <c r="D15" s="33" t="n">
        <v>86793</v>
      </c>
      <c r="E15" s="33" t="n">
        <v>48832</v>
      </c>
      <c r="F15" s="33" t="n">
        <v>35985</v>
      </c>
      <c r="G15" s="33" t="n">
        <v>11946</v>
      </c>
      <c r="H15" s="33" t="n">
        <v>9142</v>
      </c>
      <c r="I15" s="33" t="n">
        <v>6890</v>
      </c>
      <c r="J15" s="33">
        <f>SUM(C15:I15)</f>
        <v/>
      </c>
    </row>
    <row r="16">
      <c r="A16" t="inlineStr">
        <is>
          <t>Observation Unit</t>
        </is>
      </c>
      <c r="B16" t="n">
        <v>6195</v>
      </c>
      <c r="C16" s="33" t="n">
        <v>204669</v>
      </c>
      <c r="D16" s="33" t="n">
        <v>63782</v>
      </c>
      <c r="E16" s="33" t="n">
        <v>29806</v>
      </c>
      <c r="F16" s="33" t="n">
        <v>27659</v>
      </c>
      <c r="G16" s="33" t="n">
        <v>8867</v>
      </c>
      <c r="H16" s="33" t="n">
        <v>6291</v>
      </c>
      <c r="I16" s="33" t="n">
        <v>4455</v>
      </c>
      <c r="J16" s="33">
        <f>SUM(C16:I16)</f>
        <v/>
      </c>
    </row>
    <row r="17">
      <c r="A17" t="inlineStr">
        <is>
          <t>Perioperative Services</t>
        </is>
      </c>
      <c r="B17" t="n">
        <v>6196</v>
      </c>
      <c r="C17" s="33" t="n">
        <v>533978</v>
      </c>
      <c r="D17" s="33" t="n">
        <v>148385</v>
      </c>
      <c r="E17" s="33" t="n">
        <v>688687</v>
      </c>
      <c r="F17" s="33" t="n">
        <v>5755</v>
      </c>
      <c r="G17" s="33" t="n">
        <v>63359</v>
      </c>
      <c r="H17" s="33" t="n">
        <v>35656</v>
      </c>
      <c r="I17" s="33" t="n">
        <v>16207</v>
      </c>
      <c r="J17" s="33">
        <f>SUM(C17:I17)</f>
        <v/>
      </c>
    </row>
    <row r="18">
      <c r="A18" t="inlineStr">
        <is>
          <t>Laboratory</t>
        </is>
      </c>
      <c r="B18" t="n">
        <v>6500</v>
      </c>
      <c r="C18" s="33" t="n">
        <v>484518</v>
      </c>
      <c r="D18" s="33" t="n">
        <v>138409</v>
      </c>
      <c r="E18" s="33" t="n">
        <v>259713</v>
      </c>
      <c r="F18" s="33" t="n">
        <v>4999</v>
      </c>
      <c r="G18" s="33" t="n">
        <v>55318</v>
      </c>
      <c r="H18" s="33" t="n">
        <v>25758</v>
      </c>
      <c r="I18" s="33" t="n">
        <v>15213</v>
      </c>
      <c r="J18" s="33">
        <f>SUM(C18:I18)</f>
        <v/>
      </c>
    </row>
    <row r="19">
      <c r="A19" t="inlineStr">
        <is>
          <t>Radiology</t>
        </is>
      </c>
      <c r="B19" t="n">
        <v>6510</v>
      </c>
      <c r="C19" s="33" t="n">
        <v>430170</v>
      </c>
      <c r="D19" s="33" t="n">
        <v>113840</v>
      </c>
      <c r="E19" s="33" t="n">
        <v>23487</v>
      </c>
      <c r="F19" s="33" t="n">
        <v>4462</v>
      </c>
      <c r="G19" s="33" t="n">
        <v>40590</v>
      </c>
      <c r="H19" s="33" t="n">
        <v>162349</v>
      </c>
      <c r="I19" s="33" t="n">
        <v>12296</v>
      </c>
      <c r="J19" s="33">
        <f>SUM(C19:I19)</f>
        <v/>
      </c>
    </row>
    <row r="20">
      <c r="A20" t="inlineStr">
        <is>
          <t>Pharmacy</t>
        </is>
      </c>
      <c r="B20" t="n">
        <v>6520</v>
      </c>
      <c r="C20" s="33" t="n">
        <v>296381</v>
      </c>
      <c r="D20" s="33" t="n">
        <v>77068</v>
      </c>
      <c r="E20" s="33" t="n">
        <v>12982</v>
      </c>
      <c r="F20" s="33" t="n">
        <v>193756</v>
      </c>
      <c r="G20" s="33" t="n">
        <v>27805</v>
      </c>
      <c r="H20" s="33" t="n">
        <v>17576</v>
      </c>
      <c r="I20" s="33" t="n">
        <v>8322</v>
      </c>
      <c r="J20" s="33">
        <f>SUM(C20:I20)</f>
        <v/>
      </c>
    </row>
    <row r="21">
      <c r="A21" s="35" t="inlineStr">
        <is>
          <t>Hospital total</t>
        </is>
      </c>
      <c r="B21" s="35" t="n"/>
      <c r="C21" s="36">
        <f>SUM(C5:C20)</f>
        <v/>
      </c>
      <c r="D21" s="36">
        <f>SUM(D5:D20)</f>
        <v/>
      </c>
      <c r="E21" s="36">
        <f>SUM(E5:E20)</f>
        <v/>
      </c>
      <c r="F21" s="36">
        <f>SUM(F5:F20)</f>
        <v/>
      </c>
      <c r="G21" s="36">
        <f>SUM(G5:G20)</f>
        <v/>
      </c>
      <c r="H21" s="36">
        <f>SUM(H5:H20)</f>
        <v/>
      </c>
      <c r="I21" s="36">
        <f>SUM(I5:I20)</f>
        <v/>
      </c>
      <c r="J21" s="36">
        <f>SUM(J5:J20)</f>
        <v/>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2E75B6"/>
    <outlinePr summaryBelow="1" summaryRight="1"/>
    <pageSetUpPr fitToPage="1"/>
  </sheetPr>
  <dimension ref="A1:J21"/>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3" customWidth="1" min="10" max="10"/>
  </cols>
  <sheetData>
    <row r="1">
      <c r="A1" s="29" t="inlineStr">
        <is>
          <t>Bluestone Memorial Hospital · operating expense actuals · November 2025 ($)</t>
        </is>
      </c>
    </row>
    <row r="2">
      <c r="A2" s="30" t="inlineStr">
        <is>
          <t>Oct, Nov, and Dec share one layout: departments in rows 5–20, categories in columns C–I, totals in column J and row 21.</t>
        </is>
      </c>
    </row>
    <row r="4" ht="32" customHeight="1">
      <c r="A4" s="31" t="inlineStr">
        <is>
          <t>Department</t>
        </is>
      </c>
      <c r="B4" s="31" t="inlineStr">
        <is>
          <t>Cost Center</t>
        </is>
      </c>
      <c r="C4" s="31" t="inlineStr">
        <is>
          <t>Salaries &amp; Wages</t>
        </is>
      </c>
      <c r="D4" s="31" t="inlineStr">
        <is>
          <t>Employee Benefits</t>
        </is>
      </c>
      <c r="E4" s="31" t="inlineStr">
        <is>
          <t>Medical Supplies</t>
        </is>
      </c>
      <c r="F4" s="31" t="inlineStr">
        <is>
          <t>Pharmaceuticals</t>
        </is>
      </c>
      <c r="G4" s="31" t="inlineStr">
        <is>
          <t>Purchased Services</t>
        </is>
      </c>
      <c r="H4" s="31" t="inlineStr">
        <is>
          <t>Equipment &amp; Maintenance</t>
        </is>
      </c>
      <c r="I4" s="31" t="inlineStr">
        <is>
          <t>Other Operating</t>
        </is>
      </c>
      <c r="J4" s="31" t="inlineStr">
        <is>
          <t>Total</t>
        </is>
      </c>
    </row>
    <row r="5">
      <c r="A5" t="inlineStr">
        <is>
          <t>Emergency Department</t>
        </is>
      </c>
      <c r="B5" t="n">
        <v>6100</v>
      </c>
      <c r="C5" s="33" t="n">
        <v>866792</v>
      </c>
      <c r="D5" s="33" t="n">
        <v>230591</v>
      </c>
      <c r="E5" s="33" t="n">
        <v>119846</v>
      </c>
      <c r="F5" s="33" t="n">
        <v>62990</v>
      </c>
      <c r="G5" s="33" t="n">
        <v>111637</v>
      </c>
      <c r="H5" s="33" t="n">
        <v>39430</v>
      </c>
      <c r="I5" s="33" t="n">
        <v>28240</v>
      </c>
      <c r="J5" s="33">
        <f>SUM(C5:I5)</f>
        <v/>
      </c>
    </row>
    <row r="6">
      <c r="A6" t="inlineStr">
        <is>
          <t>Medical-Surgical 4 West</t>
        </is>
      </c>
      <c r="B6" t="n">
        <v>6110</v>
      </c>
      <c r="C6" s="33" t="n">
        <v>611966</v>
      </c>
      <c r="D6" s="33" t="n">
        <v>167541</v>
      </c>
      <c r="E6" s="33" t="n">
        <v>80707</v>
      </c>
      <c r="F6" s="33" t="n">
        <v>65253</v>
      </c>
      <c r="G6" s="33" t="n">
        <v>31424</v>
      </c>
      <c r="H6" s="33" t="n">
        <v>16051</v>
      </c>
      <c r="I6" s="33" t="n">
        <v>14017</v>
      </c>
      <c r="J6" s="33">
        <f>SUM(C6:I6)</f>
        <v/>
      </c>
    </row>
    <row r="7">
      <c r="A7" t="inlineStr">
        <is>
          <t>Medical-Surgical 5 East</t>
        </is>
      </c>
      <c r="B7" t="n">
        <v>6111</v>
      </c>
      <c r="C7" s="33" t="n">
        <v>580452</v>
      </c>
      <c r="D7" s="33" t="n">
        <v>163495</v>
      </c>
      <c r="E7" s="33" t="n">
        <v>75365</v>
      </c>
      <c r="F7" s="33" t="n">
        <v>65831</v>
      </c>
      <c r="G7" s="33" t="n">
        <v>22546</v>
      </c>
      <c r="H7" s="33" t="n">
        <v>12826</v>
      </c>
      <c r="I7" s="33" t="n">
        <v>9450</v>
      </c>
      <c r="J7" s="33">
        <f>SUM(C7:I7)</f>
        <v/>
      </c>
    </row>
    <row r="8">
      <c r="A8" t="inlineStr">
        <is>
          <t>Cardiac Step-Down</t>
        </is>
      </c>
      <c r="B8" t="n">
        <v>6120</v>
      </c>
      <c r="C8" s="33" t="n">
        <v>409192</v>
      </c>
      <c r="D8" s="33" t="n">
        <v>126351</v>
      </c>
      <c r="E8" s="33" t="n">
        <v>69222</v>
      </c>
      <c r="F8" s="33" t="n">
        <v>51406</v>
      </c>
      <c r="G8" s="33" t="n">
        <v>17785</v>
      </c>
      <c r="H8" s="33" t="n">
        <v>13167</v>
      </c>
      <c r="I8" s="33" t="n">
        <v>8512</v>
      </c>
      <c r="J8" s="33">
        <f>SUM(C8:I8)</f>
        <v/>
      </c>
    </row>
    <row r="9">
      <c r="A9" t="inlineStr">
        <is>
          <t>Intensive Care Unit</t>
        </is>
      </c>
      <c r="B9" t="n">
        <v>6130</v>
      </c>
      <c r="C9" s="33" t="n">
        <v>531571</v>
      </c>
      <c r="D9" s="33" t="n">
        <v>156313</v>
      </c>
      <c r="E9" s="33" t="n">
        <v>89976</v>
      </c>
      <c r="F9" s="33" t="n">
        <v>71836</v>
      </c>
      <c r="G9" s="33" t="n">
        <v>15722</v>
      </c>
      <c r="H9" s="33" t="n">
        <v>18722</v>
      </c>
      <c r="I9" s="33" t="n">
        <v>7502</v>
      </c>
      <c r="J9" s="33">
        <f>SUM(C9:I9)</f>
        <v/>
      </c>
    </row>
    <row r="10">
      <c r="A10" t="inlineStr">
        <is>
          <t>Orthopedics &amp; Spine</t>
        </is>
      </c>
      <c r="B10" t="n">
        <v>6140</v>
      </c>
      <c r="C10" s="33" t="n">
        <v>412763</v>
      </c>
      <c r="D10" s="33" t="n">
        <v>108793</v>
      </c>
      <c r="E10" s="33" t="n">
        <v>62524</v>
      </c>
      <c r="F10" s="33" t="n">
        <v>53670</v>
      </c>
      <c r="G10" s="33" t="n">
        <v>16098</v>
      </c>
      <c r="H10" s="33" t="n">
        <v>9949</v>
      </c>
      <c r="I10" s="33" t="n">
        <v>7316</v>
      </c>
      <c r="J10" s="33">
        <f>SUM(C10:I10)</f>
        <v/>
      </c>
    </row>
    <row r="11">
      <c r="A11" t="inlineStr">
        <is>
          <t>Oncology</t>
        </is>
      </c>
      <c r="B11" t="n">
        <v>6150</v>
      </c>
      <c r="C11" s="33" t="n">
        <v>309964</v>
      </c>
      <c r="D11" s="33" t="n">
        <v>81815</v>
      </c>
      <c r="E11" s="33" t="n">
        <v>48373</v>
      </c>
      <c r="F11" s="33" t="n">
        <v>207259</v>
      </c>
      <c r="G11" s="33" t="n">
        <v>13532</v>
      </c>
      <c r="H11" s="33" t="n">
        <v>8684</v>
      </c>
      <c r="I11" s="33" t="n">
        <v>6358</v>
      </c>
      <c r="J11" s="33">
        <f>SUM(C11:I11)</f>
        <v/>
      </c>
    </row>
    <row r="12">
      <c r="A12" t="inlineStr">
        <is>
          <t>Neuroscience &amp; Stroke</t>
        </is>
      </c>
      <c r="B12" t="n">
        <v>6160</v>
      </c>
      <c r="C12" s="33" t="n">
        <v>276179</v>
      </c>
      <c r="D12" s="33" t="n">
        <v>81456</v>
      </c>
      <c r="E12" s="33" t="n">
        <v>37776</v>
      </c>
      <c r="F12" s="33" t="n">
        <v>36286</v>
      </c>
      <c r="G12" s="33" t="n">
        <v>12550</v>
      </c>
      <c r="H12" s="33" t="n">
        <v>6602</v>
      </c>
      <c r="I12" s="33" t="n">
        <v>5092</v>
      </c>
      <c r="J12" s="33">
        <f>SUM(C12:I12)</f>
        <v/>
      </c>
    </row>
    <row r="13">
      <c r="A13" t="inlineStr">
        <is>
          <t>Labor &amp; Delivery</t>
        </is>
      </c>
      <c r="B13" t="n">
        <v>6170</v>
      </c>
      <c r="C13" s="33" t="n">
        <v>364127</v>
      </c>
      <c r="D13" s="33" t="n">
        <v>88520</v>
      </c>
      <c r="E13" s="33" t="n">
        <v>47734</v>
      </c>
      <c r="F13" s="33" t="n">
        <v>39884</v>
      </c>
      <c r="G13" s="33" t="n">
        <v>14889</v>
      </c>
      <c r="H13" s="33" t="n">
        <v>9528</v>
      </c>
      <c r="I13" s="33" t="n">
        <v>7787</v>
      </c>
      <c r="J13" s="33">
        <f>SUM(C13:I13)</f>
        <v/>
      </c>
    </row>
    <row r="14">
      <c r="A14" t="inlineStr">
        <is>
          <t>Pediatrics</t>
        </is>
      </c>
      <c r="B14" t="n">
        <v>6180</v>
      </c>
      <c r="C14" s="33" t="n">
        <v>245142</v>
      </c>
      <c r="D14" s="33" t="n">
        <v>65619</v>
      </c>
      <c r="E14" s="33" t="n">
        <v>37087</v>
      </c>
      <c r="F14" s="33" t="n">
        <v>31123</v>
      </c>
      <c r="G14" s="33" t="n">
        <v>10997</v>
      </c>
      <c r="H14" s="33" t="n">
        <v>5467</v>
      </c>
      <c r="I14" s="33" t="n">
        <v>4307</v>
      </c>
      <c r="J14" s="33">
        <f>SUM(C14:I14)</f>
        <v/>
      </c>
    </row>
    <row r="15">
      <c r="A15" t="inlineStr">
        <is>
          <t>Behavioral Health</t>
        </is>
      </c>
      <c r="B15" t="n">
        <v>6190</v>
      </c>
      <c r="C15" s="33" t="n">
        <v>303299</v>
      </c>
      <c r="D15" s="33" t="n">
        <v>88274</v>
      </c>
      <c r="E15" s="33" t="n">
        <v>48224</v>
      </c>
      <c r="F15" s="33" t="n">
        <v>35773</v>
      </c>
      <c r="G15" s="33" t="n">
        <v>14693</v>
      </c>
      <c r="H15" s="33" t="n">
        <v>8832</v>
      </c>
      <c r="I15" s="33" t="n">
        <v>6752</v>
      </c>
      <c r="J15" s="33">
        <f>SUM(C15:I15)</f>
        <v/>
      </c>
    </row>
    <row r="16">
      <c r="A16" t="inlineStr">
        <is>
          <t>Observation Unit</t>
        </is>
      </c>
      <c r="B16" t="n">
        <v>6195</v>
      </c>
      <c r="C16" s="33" t="n">
        <v>198151</v>
      </c>
      <c r="D16" s="33" t="n">
        <v>61786</v>
      </c>
      <c r="E16" s="33" t="n">
        <v>30532</v>
      </c>
      <c r="F16" s="33" t="n">
        <v>27066</v>
      </c>
      <c r="G16" s="33" t="n">
        <v>7698</v>
      </c>
      <c r="H16" s="33" t="n">
        <v>5472</v>
      </c>
      <c r="I16" s="33" t="n">
        <v>4346</v>
      </c>
      <c r="J16" s="33">
        <f>SUM(C16:I16)</f>
        <v/>
      </c>
    </row>
    <row r="17">
      <c r="A17" t="inlineStr">
        <is>
          <t>Perioperative Services</t>
        </is>
      </c>
      <c r="B17" t="n">
        <v>6196</v>
      </c>
      <c r="C17" s="33" t="n">
        <v>522640</v>
      </c>
      <c r="D17" s="33" t="n">
        <v>152861</v>
      </c>
      <c r="E17" s="33" t="n">
        <v>707311</v>
      </c>
      <c r="F17" s="33" t="n">
        <v>4471</v>
      </c>
      <c r="G17" s="33" t="n">
        <v>56042</v>
      </c>
      <c r="H17" s="33" t="n">
        <v>31464</v>
      </c>
      <c r="I17" s="33" t="n">
        <v>19043</v>
      </c>
      <c r="J17" s="33">
        <f>SUM(C17:I17)</f>
        <v/>
      </c>
    </row>
    <row r="18">
      <c r="A18" t="inlineStr">
        <is>
          <t>Laboratory</t>
        </is>
      </c>
      <c r="B18" t="n">
        <v>6500</v>
      </c>
      <c r="C18" s="33" t="n">
        <v>485571</v>
      </c>
      <c r="D18" s="33" t="n">
        <v>132191</v>
      </c>
      <c r="E18" s="33" t="n">
        <v>227106</v>
      </c>
      <c r="F18" s="33" t="n">
        <v>4269</v>
      </c>
      <c r="G18" s="33" t="n">
        <v>49057</v>
      </c>
      <c r="H18" s="33" t="n">
        <v>27638</v>
      </c>
      <c r="I18" s="33" t="n">
        <v>14263</v>
      </c>
      <c r="J18" s="33">
        <f>SUM(C18:I18)</f>
        <v/>
      </c>
    </row>
    <row r="19">
      <c r="A19" t="inlineStr">
        <is>
          <t>Radiology</t>
        </is>
      </c>
      <c r="B19" t="n">
        <v>6510</v>
      </c>
      <c r="C19" s="33" t="n">
        <v>393251</v>
      </c>
      <c r="D19" s="33" t="n">
        <v>118115</v>
      </c>
      <c r="E19" s="33" t="n">
        <v>20316</v>
      </c>
      <c r="F19" s="33" t="n">
        <v>4369</v>
      </c>
      <c r="G19" s="33" t="n">
        <v>40231</v>
      </c>
      <c r="H19" s="33" t="n">
        <v>144724</v>
      </c>
      <c r="I19" s="33" t="n">
        <v>9976</v>
      </c>
      <c r="J19" s="33">
        <f>SUM(C19:I19)</f>
        <v/>
      </c>
    </row>
    <row r="20">
      <c r="A20" t="inlineStr">
        <is>
          <t>Pharmacy</t>
        </is>
      </c>
      <c r="B20" t="n">
        <v>6520</v>
      </c>
      <c r="C20" s="33" t="n">
        <v>292504</v>
      </c>
      <c r="D20" s="33" t="n">
        <v>74207</v>
      </c>
      <c r="E20" s="33" t="n">
        <v>12834</v>
      </c>
      <c r="F20" s="33" t="n">
        <v>182806</v>
      </c>
      <c r="G20" s="33" t="n">
        <v>26774</v>
      </c>
      <c r="H20" s="33" t="n">
        <v>16801</v>
      </c>
      <c r="I20" s="33" t="n">
        <v>8002</v>
      </c>
      <c r="J20" s="33">
        <f>SUM(C20:I20)</f>
        <v/>
      </c>
    </row>
    <row r="21">
      <c r="A21" s="35" t="inlineStr">
        <is>
          <t>Hospital total</t>
        </is>
      </c>
      <c r="B21" s="35" t="n"/>
      <c r="C21" s="36">
        <f>SUM(C5:C20)</f>
        <v/>
      </c>
      <c r="D21" s="36">
        <f>SUM(D5:D20)</f>
        <v/>
      </c>
      <c r="E21" s="36">
        <f>SUM(E5:E20)</f>
        <v/>
      </c>
      <c r="F21" s="36">
        <f>SUM(F5:F20)</f>
        <v/>
      </c>
      <c r="G21" s="36">
        <f>SUM(G5:G20)</f>
        <v/>
      </c>
      <c r="H21" s="36">
        <f>SUM(H5:H20)</f>
        <v/>
      </c>
      <c r="I21" s="36">
        <f>SUM(I5:I20)</f>
        <v/>
      </c>
      <c r="J21" s="36">
        <f>SUM(J5:J20)</f>
        <v/>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2E75B6"/>
    <outlinePr summaryBelow="1" summaryRight="1"/>
    <pageSetUpPr fitToPage="1"/>
  </sheetPr>
  <dimension ref="A1:J21"/>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3" customWidth="1" min="10" max="10"/>
  </cols>
  <sheetData>
    <row r="1">
      <c r="A1" s="29" t="inlineStr">
        <is>
          <t>Bluestone Memorial Hospital · operating expense actuals · December 2025 ($)</t>
        </is>
      </c>
    </row>
    <row r="2">
      <c r="A2" s="30" t="inlineStr">
        <is>
          <t>Oct, Nov, and Dec share one layout: departments in rows 5–20, categories in columns C–I, totals in column J and row 21.</t>
        </is>
      </c>
    </row>
    <row r="4" ht="32" customHeight="1">
      <c r="A4" s="31" t="inlineStr">
        <is>
          <t>Department</t>
        </is>
      </c>
      <c r="B4" s="31" t="inlineStr">
        <is>
          <t>Cost Center</t>
        </is>
      </c>
      <c r="C4" s="31" t="inlineStr">
        <is>
          <t>Salaries &amp; Wages</t>
        </is>
      </c>
      <c r="D4" s="31" t="inlineStr">
        <is>
          <t>Employee Benefits</t>
        </is>
      </c>
      <c r="E4" s="31" t="inlineStr">
        <is>
          <t>Medical Supplies</t>
        </is>
      </c>
      <c r="F4" s="31" t="inlineStr">
        <is>
          <t>Pharmaceuticals</t>
        </is>
      </c>
      <c r="G4" s="31" t="inlineStr">
        <is>
          <t>Purchased Services</t>
        </is>
      </c>
      <c r="H4" s="31" t="inlineStr">
        <is>
          <t>Equipment &amp; Maintenance</t>
        </is>
      </c>
      <c r="I4" s="31" t="inlineStr">
        <is>
          <t>Other Operating</t>
        </is>
      </c>
      <c r="J4" s="31" t="inlineStr">
        <is>
          <t>Total</t>
        </is>
      </c>
    </row>
    <row r="5">
      <c r="A5" t="inlineStr">
        <is>
          <t>Emergency Department</t>
        </is>
      </c>
      <c r="B5" t="n">
        <v>6100</v>
      </c>
      <c r="C5" s="33" t="n">
        <v>891650</v>
      </c>
      <c r="D5" s="33" t="n">
        <v>261689</v>
      </c>
      <c r="E5" s="33" t="n">
        <v>114612</v>
      </c>
      <c r="F5" s="33" t="n">
        <v>71566</v>
      </c>
      <c r="G5" s="33" t="n">
        <v>117116</v>
      </c>
      <c r="H5" s="33" t="n">
        <v>48423</v>
      </c>
      <c r="I5" s="33" t="n">
        <v>25147</v>
      </c>
      <c r="J5" s="33">
        <f>SUM(C5:I5)</f>
        <v/>
      </c>
    </row>
    <row r="6">
      <c r="A6" t="inlineStr">
        <is>
          <t>Medical-Surgical 4 West</t>
        </is>
      </c>
      <c r="B6" t="n">
        <v>6110</v>
      </c>
      <c r="C6" s="33" t="n">
        <v>652699</v>
      </c>
      <c r="D6" s="33" t="n">
        <v>188262</v>
      </c>
      <c r="E6" s="33" t="n">
        <v>102937</v>
      </c>
      <c r="F6" s="33" t="n">
        <v>86540</v>
      </c>
      <c r="G6" s="33" t="n">
        <v>30578</v>
      </c>
      <c r="H6" s="33" t="n">
        <v>18446</v>
      </c>
      <c r="I6" s="33" t="n">
        <v>14058</v>
      </c>
      <c r="J6" s="33">
        <f>SUM(C6:I6)</f>
        <v/>
      </c>
    </row>
    <row r="7">
      <c r="A7" t="inlineStr">
        <is>
          <t>Medical-Surgical 5 East</t>
        </is>
      </c>
      <c r="B7" t="n">
        <v>6111</v>
      </c>
      <c r="C7" s="33" t="n">
        <v>597989</v>
      </c>
      <c r="D7" s="33" t="n">
        <v>174378</v>
      </c>
      <c r="E7" s="33" t="n">
        <v>93904</v>
      </c>
      <c r="F7" s="33" t="n">
        <v>77870</v>
      </c>
      <c r="G7" s="33" t="n">
        <v>26577</v>
      </c>
      <c r="H7" s="33" t="n">
        <v>17353</v>
      </c>
      <c r="I7" s="33" t="n">
        <v>13122</v>
      </c>
      <c r="J7" s="33">
        <f>SUM(C7:I7)</f>
        <v/>
      </c>
    </row>
    <row r="8">
      <c r="A8" t="inlineStr">
        <is>
          <t>Cardiac Step-Down</t>
        </is>
      </c>
      <c r="B8" t="n">
        <v>6120</v>
      </c>
      <c r="C8" s="33" t="n">
        <v>447282</v>
      </c>
      <c r="D8" s="33" t="n">
        <v>134567</v>
      </c>
      <c r="E8" s="33" t="n">
        <v>70011</v>
      </c>
      <c r="F8" s="33" t="n">
        <v>56547</v>
      </c>
      <c r="G8" s="33" t="n">
        <v>17890</v>
      </c>
      <c r="H8" s="33" t="n">
        <v>9785</v>
      </c>
      <c r="I8" s="33" t="n">
        <v>9895</v>
      </c>
      <c r="J8" s="33">
        <f>SUM(C8:I8)</f>
        <v/>
      </c>
    </row>
    <row r="9">
      <c r="A9" t="inlineStr">
        <is>
          <t>Intensive Care Unit</t>
        </is>
      </c>
      <c r="B9" t="n">
        <v>6130</v>
      </c>
      <c r="C9" s="33" t="n">
        <v>600520</v>
      </c>
      <c r="D9" s="33" t="n">
        <v>172549</v>
      </c>
      <c r="E9" s="33" t="n">
        <v>102650</v>
      </c>
      <c r="F9" s="33" t="n">
        <v>90727</v>
      </c>
      <c r="G9" s="33" t="n">
        <v>16179</v>
      </c>
      <c r="H9" s="33" t="n">
        <v>17442</v>
      </c>
      <c r="I9" s="33" t="n">
        <v>7940</v>
      </c>
      <c r="J9" s="33">
        <f>SUM(C9:I9)</f>
        <v/>
      </c>
    </row>
    <row r="10">
      <c r="A10" t="inlineStr">
        <is>
          <t>Orthopedics &amp; Spine</t>
        </is>
      </c>
      <c r="B10" t="n">
        <v>6140</v>
      </c>
      <c r="C10" s="33" t="n">
        <v>433334</v>
      </c>
      <c r="D10" s="33" t="n">
        <v>113429</v>
      </c>
      <c r="E10" s="33" t="n">
        <v>67091</v>
      </c>
      <c r="F10" s="33" t="n">
        <v>41882</v>
      </c>
      <c r="G10" s="33" t="n">
        <v>16782</v>
      </c>
      <c r="H10" s="33" t="n">
        <v>9712</v>
      </c>
      <c r="I10" s="33" t="n">
        <v>9540</v>
      </c>
      <c r="J10" s="33">
        <f>SUM(C10:I10)</f>
        <v/>
      </c>
    </row>
    <row r="11">
      <c r="A11" t="inlineStr">
        <is>
          <t>Oncology</t>
        </is>
      </c>
      <c r="B11" t="n">
        <v>6150</v>
      </c>
      <c r="C11" s="33" t="n">
        <v>316054</v>
      </c>
      <c r="D11" s="33" t="n">
        <v>85668</v>
      </c>
      <c r="E11" s="33" t="n">
        <v>46479</v>
      </c>
      <c r="F11" s="33" t="n">
        <v>219248</v>
      </c>
      <c r="G11" s="33" t="n">
        <v>14217</v>
      </c>
      <c r="H11" s="33" t="n">
        <v>7743</v>
      </c>
      <c r="I11" s="33" t="n">
        <v>6164</v>
      </c>
      <c r="J11" s="33">
        <f>SUM(C11:I11)</f>
        <v/>
      </c>
    </row>
    <row r="12">
      <c r="A12" t="inlineStr">
        <is>
          <t>Neuroscience &amp; Stroke</t>
        </is>
      </c>
      <c r="B12" t="n">
        <v>6160</v>
      </c>
      <c r="C12" s="33" t="n">
        <v>316944</v>
      </c>
      <c r="D12" s="33" t="n">
        <v>86848</v>
      </c>
      <c r="E12" s="33" t="n">
        <v>43078</v>
      </c>
      <c r="F12" s="33" t="n">
        <v>34408</v>
      </c>
      <c r="G12" s="33" t="n">
        <v>13196</v>
      </c>
      <c r="H12" s="33" t="n">
        <v>8002</v>
      </c>
      <c r="I12" s="33" t="n">
        <v>5774</v>
      </c>
      <c r="J12" s="33">
        <f>SUM(C12:I12)</f>
        <v/>
      </c>
    </row>
    <row r="13">
      <c r="A13" t="inlineStr">
        <is>
          <t>Labor &amp; Delivery</t>
        </is>
      </c>
      <c r="B13" t="n">
        <v>6170</v>
      </c>
      <c r="C13" s="33" t="n">
        <v>400396</v>
      </c>
      <c r="D13" s="33" t="n">
        <v>100259</v>
      </c>
      <c r="E13" s="33" t="n">
        <v>57801</v>
      </c>
      <c r="F13" s="33" t="n">
        <v>38022</v>
      </c>
      <c r="G13" s="33" t="n">
        <v>17602</v>
      </c>
      <c r="H13" s="33" t="n">
        <v>9567</v>
      </c>
      <c r="I13" s="33" t="n">
        <v>7318</v>
      </c>
      <c r="J13" s="33">
        <f>SUM(C13:I13)</f>
        <v/>
      </c>
    </row>
    <row r="14">
      <c r="A14" t="inlineStr">
        <is>
          <t>Pediatrics</t>
        </is>
      </c>
      <c r="B14" t="n">
        <v>6180</v>
      </c>
      <c r="C14" s="33" t="n">
        <v>259815</v>
      </c>
      <c r="D14" s="33" t="n">
        <v>74313</v>
      </c>
      <c r="E14" s="33" t="n">
        <v>36048</v>
      </c>
      <c r="F14" s="33" t="n">
        <v>28796</v>
      </c>
      <c r="G14" s="33" t="n">
        <v>9758</v>
      </c>
      <c r="H14" s="33" t="n">
        <v>6651</v>
      </c>
      <c r="I14" s="33" t="n">
        <v>4793</v>
      </c>
      <c r="J14" s="33">
        <f>SUM(C14:I14)</f>
        <v/>
      </c>
    </row>
    <row r="15">
      <c r="A15" t="inlineStr">
        <is>
          <t>Behavioral Health</t>
        </is>
      </c>
      <c r="B15" t="n">
        <v>6190</v>
      </c>
      <c r="C15" s="33" t="n">
        <v>325457</v>
      </c>
      <c r="D15" s="33" t="n">
        <v>94060</v>
      </c>
      <c r="E15" s="33" t="n">
        <v>53345</v>
      </c>
      <c r="F15" s="33" t="n">
        <v>40937</v>
      </c>
      <c r="G15" s="33" t="n">
        <v>14271</v>
      </c>
      <c r="H15" s="33" t="n">
        <v>9139</v>
      </c>
      <c r="I15" s="33" t="n">
        <v>6772</v>
      </c>
      <c r="J15" s="33">
        <f>SUM(C15:I15)</f>
        <v/>
      </c>
    </row>
    <row r="16">
      <c r="A16" t="inlineStr">
        <is>
          <t>Observation Unit</t>
        </is>
      </c>
      <c r="B16" t="n">
        <v>6195</v>
      </c>
      <c r="C16" s="33" t="n">
        <v>218120</v>
      </c>
      <c r="D16" s="33" t="n">
        <v>65739</v>
      </c>
      <c r="E16" s="33" t="n">
        <v>34864</v>
      </c>
      <c r="F16" s="33" t="n">
        <v>25365</v>
      </c>
      <c r="G16" s="33" t="n">
        <v>9015</v>
      </c>
      <c r="H16" s="33" t="n">
        <v>6027</v>
      </c>
      <c r="I16" s="33" t="n">
        <v>4247</v>
      </c>
      <c r="J16" s="33">
        <f>SUM(C16:I16)</f>
        <v/>
      </c>
    </row>
    <row r="17">
      <c r="A17" t="inlineStr">
        <is>
          <t>Perioperative Services</t>
        </is>
      </c>
      <c r="B17" t="n">
        <v>6196</v>
      </c>
      <c r="C17" s="33" t="n">
        <v>552007</v>
      </c>
      <c r="D17" s="33" t="n">
        <v>164766</v>
      </c>
      <c r="E17" s="33" t="n">
        <v>769811</v>
      </c>
      <c r="F17" s="33" t="n">
        <v>5431</v>
      </c>
      <c r="G17" s="33" t="n">
        <v>57790</v>
      </c>
      <c r="H17" s="33" t="n">
        <v>34603</v>
      </c>
      <c r="I17" s="33" t="n">
        <v>15770</v>
      </c>
      <c r="J17" s="33">
        <f>SUM(C17:I17)</f>
        <v/>
      </c>
    </row>
    <row r="18">
      <c r="A18" t="inlineStr">
        <is>
          <t>Laboratory</t>
        </is>
      </c>
      <c r="B18" t="n">
        <v>6500</v>
      </c>
      <c r="C18" s="33" t="n">
        <v>516316</v>
      </c>
      <c r="D18" s="33" t="n">
        <v>150646</v>
      </c>
      <c r="E18" s="33" t="n">
        <v>264488</v>
      </c>
      <c r="F18" s="33" t="n">
        <v>4882</v>
      </c>
      <c r="G18" s="33" t="n">
        <v>49816</v>
      </c>
      <c r="H18" s="33" t="n">
        <v>29464</v>
      </c>
      <c r="I18" s="33" t="n">
        <v>14222</v>
      </c>
      <c r="J18" s="33">
        <f>SUM(C18:I18)</f>
        <v/>
      </c>
    </row>
    <row r="19">
      <c r="A19" t="inlineStr">
        <is>
          <t>Radiology</t>
        </is>
      </c>
      <c r="B19" t="n">
        <v>6510</v>
      </c>
      <c r="C19" s="33" t="n">
        <v>415781</v>
      </c>
      <c r="D19" s="33" t="n">
        <v>119295</v>
      </c>
      <c r="E19" s="33" t="n">
        <v>23308</v>
      </c>
      <c r="F19" s="33" t="n">
        <v>5119</v>
      </c>
      <c r="G19" s="33" t="n">
        <v>44522</v>
      </c>
      <c r="H19" s="33" t="n">
        <v>138123</v>
      </c>
      <c r="I19" s="33" t="n">
        <v>14413</v>
      </c>
      <c r="J19" s="33">
        <f>SUM(C19:I19)</f>
        <v/>
      </c>
    </row>
    <row r="20">
      <c r="A20" t="inlineStr">
        <is>
          <t>Pharmacy</t>
        </is>
      </c>
      <c r="B20" t="n">
        <v>6520</v>
      </c>
      <c r="C20" s="33" t="n">
        <v>302308</v>
      </c>
      <c r="D20" s="33" t="n">
        <v>81623</v>
      </c>
      <c r="E20" s="33" t="n">
        <v>11274</v>
      </c>
      <c r="F20" s="33" t="n">
        <v>147308</v>
      </c>
      <c r="G20" s="33" t="n">
        <v>24590</v>
      </c>
      <c r="H20" s="33" t="n">
        <v>15232</v>
      </c>
      <c r="I20" s="33" t="n">
        <v>8254</v>
      </c>
      <c r="J20" s="33">
        <f>SUM(C20:I20)</f>
        <v/>
      </c>
    </row>
    <row r="21">
      <c r="A21" s="35" t="inlineStr">
        <is>
          <t>Hospital total</t>
        </is>
      </c>
      <c r="B21" s="35" t="n"/>
      <c r="C21" s="36">
        <f>SUM(C5:C20)</f>
        <v/>
      </c>
      <c r="D21" s="36">
        <f>SUM(D5:D20)</f>
        <v/>
      </c>
      <c r="E21" s="36">
        <f>SUM(E5:E20)</f>
        <v/>
      </c>
      <c r="F21" s="36">
        <f>SUM(F5:F20)</f>
        <v/>
      </c>
      <c r="G21" s="36">
        <f>SUM(G5:G20)</f>
        <v/>
      </c>
      <c r="H21" s="36">
        <f>SUM(H5:H20)</f>
        <v/>
      </c>
      <c r="I21" s="36">
        <f>SUM(I5:I20)</f>
        <v/>
      </c>
      <c r="J21" s="36">
        <f>SUM(J5:J20)</f>
        <v/>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1.5 · Bonus: Build the 2026 expense plan</t>
        </is>
      </c>
    </row>
    <row r="2" ht="64" customHeight="1">
      <c r="A2" s="14" t="inlineStr">
        <is>
          <t>Finance needs a first-draft 2026 operating expense plan for Bluestone Memorial. The rule: each 2026 cell = the 2025 actual for the same department and category (Expenses sheet) × (1 + that category's price inflation in row 3 of the Plan 2026 sheet) × (1 + that department's volume growth in column B). The Plan 2026 sheet uses the same rows and columns as the Expenses sheet. Column J and row 21 of Plan 2026 already total whatever you put in the grid.</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Fill the yellow grid on the Plan 2026 sheet (C5:I20) with ONE formula typed in C5 and copied across and down. The gray cell adds up your grid: what is the 2026 plan total? (Don't round.)</t>
        </is>
      </c>
      <c r="C6" s="20" t="inlineStr">
        <is>
          <t>The 2025 actual moves both ways, the inflation row is locked, and the growth column is locked</t>
        </is>
      </c>
      <c r="D6" cm="1" s="26">
        <f t="array" ref="D6">IF(COUNT('Plan 2026'!C5:I20)=0,"",SUM('Plan 2026'!C5:I20))</f>
        <v/>
      </c>
      <c r="E6" s="22">
        <f>IF(IFERROR(D6="",FALSE),"",IF(IFERROR(AND(ISNUMBER(D6),OR(ABS(D6-'Bonus Key'!$C$5)&lt;=0.0051)),FALSE),"✔ Correct","✘ Not yet"))</f>
        <v/>
      </c>
    </row>
    <row r="7" ht="36" customHeight="1">
      <c r="A7" s="18" t="inlineStr">
        <is>
          <t>B2</t>
        </is>
      </c>
      <c r="B7" s="19" t="inlineStr">
        <is>
          <t>What is the 2026 plan for Laboratory · Medical Supplies (Plan 2026, row 18, column E)? Reference the cell in your grid.</t>
        </is>
      </c>
      <c r="C7" s="20" t="inlineStr">
        <is>
          <t>Check it by hand: 2025 amount × (1 + inflation) × (1 + growth)</t>
        </is>
      </c>
      <c r="D7" s="25" t="n"/>
      <c r="E7" s="22">
        <f>IF(IFERROR(D7="",FALSE),"",IF(IFERROR(AND(ISNUMBER(D7),OR(ABS(D7-'Bonus Key'!$C$6)&lt;=0.5)),FALSE),"✔ Correct","✘ Not yet"))</f>
        <v/>
      </c>
    </row>
    <row r="8" ht="36" customHeight="1">
      <c r="A8" s="18" t="inlineStr">
        <is>
          <t>B3</t>
        </is>
      </c>
      <c r="B8" s="19" t="inlineStr">
        <is>
          <t>By what percentage would Bluestone Memorial's total operating expense grow from 2025 to 2026 under this plan? Enter it as a percentage.</t>
        </is>
      </c>
      <c r="C8" s="20" t="inlineStr">
        <is>
          <t>New ÷ old − 1</t>
        </is>
      </c>
      <c r="D8" s="23" t="n"/>
      <c r="E8" s="22">
        <f>IF(IFERROR(D8="",FALSE),"",IF(IFERROR(AND(ISNUMBER(D8),OR(ABS(D8-'Bonus Key'!$C$7)&lt;=0.00051,ABS(D8-'Bonus Key'!$C$7*100)&lt;=0.051000000000000004)),FALSE),"✔ Correct","✘ Not yet"))</f>
        <v/>
      </c>
    </row>
    <row r="9" ht="36" customHeight="1">
      <c r="A9" s="18" t="inlineStr">
        <is>
          <t>B4</t>
        </is>
      </c>
      <c r="B9" s="19" t="inlineStr">
        <is>
          <t>Which department's total expense is planned to grow by the largest percentage? Type the department name exactly as it appears in column A.</t>
        </is>
      </c>
      <c r="C9" s="20" t="inlineStr">
        <is>
          <t>Add a helper column that divides each department's 2026 total by its 2025 total</t>
        </is>
      </c>
      <c r="D9" s="21" t="n"/>
      <c r="E9" s="22">
        <f>IF(IFERROR(D9="",FALSE),"",IF(IFERROR(OR(LOWER(TRIM(D9&amp;""))=LOWER(TRIM('Bonus Key'!$C$8&amp;""))),FALSE),"✔ Correct","✘ Not yet"))</f>
        <v/>
      </c>
    </row>
    <row r="10" ht="66" customHeight="1">
      <c r="A10" s="18" t="inlineStr">
        <is>
          <t>B5</t>
        </is>
      </c>
      <c r="B10" s="19" t="inlineStr">
        <is>
          <t>Pharmaceutical prices are the shakiest assumption. If pharmaceutical inflation were 9.0% instead of 7.5%, how many dollars higher would the 2026 plan total be? Change the one input cell, compare the totals, then put it back. Round to the nearest dollar.</t>
        </is>
      </c>
      <c r="C10" s="20" t="inlineStr">
        <is>
          <t>Because of the $ signs, one edit flows to all 16 Pharmaceuticals cells</t>
        </is>
      </c>
      <c r="D10" s="52" t="n"/>
      <c r="E10" s="22">
        <f>IF(IFERROR(D10="",FALSE),"",IF(IFERROR(AND(ISNUMBER(D10),OR(ABS(D10-'Bonus Key'!$C$9)&lt;=1)),FALSE),"✔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tabColor rgb="00BF9000"/>
    <outlinePr summaryBelow="1" summaryRight="1"/>
    <pageSetUpPr fitToPage="1"/>
  </sheetPr>
  <dimension ref="A1:J21"/>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3" customWidth="1" min="10" max="10"/>
  </cols>
  <sheetData>
    <row r="1">
      <c r="A1" s="29" t="inlineStr">
        <is>
          <t>Bluestone Memorial Hospital · 2026 operating expense plan ($)</t>
        </is>
      </c>
    </row>
    <row r="2">
      <c r="A2" s="30" t="inlineStr">
        <is>
          <t>2026 = 2025 actual from the Expenses sheet (same cell) × (1 + price inflation in row 3) × (1 + volume growth in column B). Blue cells are planning assumptions.</t>
        </is>
      </c>
    </row>
    <row r="3">
      <c r="A3" s="38" t="inlineStr">
        <is>
          <t>Price inflation →</t>
        </is>
      </c>
      <c r="C3" s="53" t="n">
        <v>0.035</v>
      </c>
      <c r="D3" s="53" t="n">
        <v>0.06</v>
      </c>
      <c r="E3" s="53" t="n">
        <v>0.04</v>
      </c>
      <c r="F3" s="53" t="n">
        <v>0.075</v>
      </c>
      <c r="G3" s="53" t="n">
        <v>0.03</v>
      </c>
      <c r="H3" s="53" t="n">
        <v>0.025</v>
      </c>
      <c r="I3" s="53" t="n">
        <v>0.02</v>
      </c>
    </row>
    <row r="4" ht="32" customHeight="1">
      <c r="A4" s="49" t="inlineStr">
        <is>
          <t>Department</t>
        </is>
      </c>
      <c r="B4" s="49" t="inlineStr">
        <is>
          <t>Volume growth</t>
        </is>
      </c>
      <c r="C4" s="49" t="inlineStr">
        <is>
          <t>Salaries &amp; Wages</t>
        </is>
      </c>
      <c r="D4" s="49" t="inlineStr">
        <is>
          <t>Employee Benefits</t>
        </is>
      </c>
      <c r="E4" s="49" t="inlineStr">
        <is>
          <t>Medical Supplies</t>
        </is>
      </c>
      <c r="F4" s="49" t="inlineStr">
        <is>
          <t>Pharmaceuticals</t>
        </is>
      </c>
      <c r="G4" s="49" t="inlineStr">
        <is>
          <t>Purchased Services</t>
        </is>
      </c>
      <c r="H4" s="49" t="inlineStr">
        <is>
          <t>Equipment &amp; Maintenance</t>
        </is>
      </c>
      <c r="I4" s="49" t="inlineStr">
        <is>
          <t>Other Operating</t>
        </is>
      </c>
      <c r="J4" s="49" t="inlineStr">
        <is>
          <t>Total 2026</t>
        </is>
      </c>
    </row>
    <row r="5">
      <c r="A5" s="50" t="inlineStr">
        <is>
          <t>Emergency Department</t>
        </is>
      </c>
      <c r="B5" s="53" t="n">
        <v>0.03</v>
      </c>
      <c r="C5" s="48" t="n"/>
      <c r="D5" s="48" t="n"/>
      <c r="E5" s="48" t="n"/>
      <c r="F5" s="48" t="n"/>
      <c r="G5" s="48" t="n"/>
      <c r="H5" s="48" t="n"/>
      <c r="I5" s="48" t="n"/>
      <c r="J5" s="51">
        <f>SUM(C5:I5)</f>
        <v/>
      </c>
    </row>
    <row r="6">
      <c r="A6" s="50" t="inlineStr">
        <is>
          <t>Medical-Surgical 4 West</t>
        </is>
      </c>
      <c r="B6" s="53" t="n">
        <v>0.01</v>
      </c>
      <c r="C6" s="48" t="n"/>
      <c r="D6" s="48" t="n"/>
      <c r="E6" s="48" t="n"/>
      <c r="F6" s="48" t="n"/>
      <c r="G6" s="48" t="n"/>
      <c r="H6" s="48" t="n"/>
      <c r="I6" s="48" t="n"/>
      <c r="J6" s="51">
        <f>SUM(C6:I6)</f>
        <v/>
      </c>
    </row>
    <row r="7">
      <c r="A7" s="50" t="inlineStr">
        <is>
          <t>Medical-Surgical 5 East</t>
        </is>
      </c>
      <c r="B7" s="53" t="n">
        <v>0.005</v>
      </c>
      <c r="C7" s="48" t="n"/>
      <c r="D7" s="48" t="n"/>
      <c r="E7" s="48" t="n"/>
      <c r="F7" s="48" t="n"/>
      <c r="G7" s="48" t="n"/>
      <c r="H7" s="48" t="n"/>
      <c r="I7" s="48" t="n"/>
      <c r="J7" s="51">
        <f>SUM(C7:I7)</f>
        <v/>
      </c>
    </row>
    <row r="8">
      <c r="A8" s="50" t="inlineStr">
        <is>
          <t>Cardiac Step-Down</t>
        </is>
      </c>
      <c r="B8" s="53" t="n">
        <v>0.02</v>
      </c>
      <c r="C8" s="48" t="n"/>
      <c r="D8" s="48" t="n"/>
      <c r="E8" s="48" t="n"/>
      <c r="F8" s="48" t="n"/>
      <c r="G8" s="48" t="n"/>
      <c r="H8" s="48" t="n"/>
      <c r="I8" s="48" t="n"/>
      <c r="J8" s="51">
        <f>SUM(C8:I8)</f>
        <v/>
      </c>
    </row>
    <row r="9">
      <c r="A9" s="50" t="inlineStr">
        <is>
          <t>Intensive Care Unit</t>
        </is>
      </c>
      <c r="B9" s="53" t="n">
        <v>0.025</v>
      </c>
      <c r="C9" s="48" t="n"/>
      <c r="D9" s="48" t="n"/>
      <c r="E9" s="48" t="n"/>
      <c r="F9" s="48" t="n"/>
      <c r="G9" s="48" t="n"/>
      <c r="H9" s="48" t="n"/>
      <c r="I9" s="48" t="n"/>
      <c r="J9" s="51">
        <f>SUM(C9:I9)</f>
        <v/>
      </c>
    </row>
    <row r="10">
      <c r="A10" s="50" t="inlineStr">
        <is>
          <t>Orthopedics &amp; Spine</t>
        </is>
      </c>
      <c r="B10" s="53" t="n">
        <v>0.035</v>
      </c>
      <c r="C10" s="48" t="n"/>
      <c r="D10" s="48" t="n"/>
      <c r="E10" s="48" t="n"/>
      <c r="F10" s="48" t="n"/>
      <c r="G10" s="48" t="n"/>
      <c r="H10" s="48" t="n"/>
      <c r="I10" s="48" t="n"/>
      <c r="J10" s="51">
        <f>SUM(C10:I10)</f>
        <v/>
      </c>
    </row>
    <row r="11">
      <c r="A11" s="50" t="inlineStr">
        <is>
          <t>Oncology</t>
        </is>
      </c>
      <c r="B11" s="53" t="n">
        <v>0.045</v>
      </c>
      <c r="C11" s="48" t="n"/>
      <c r="D11" s="48" t="n"/>
      <c r="E11" s="48" t="n"/>
      <c r="F11" s="48" t="n"/>
      <c r="G11" s="48" t="n"/>
      <c r="H11" s="48" t="n"/>
      <c r="I11" s="48" t="n"/>
      <c r="J11" s="51">
        <f>SUM(C11:I11)</f>
        <v/>
      </c>
    </row>
    <row r="12">
      <c r="A12" s="50" t="inlineStr">
        <is>
          <t>Neuroscience &amp; Stroke</t>
        </is>
      </c>
      <c r="B12" s="53" t="n">
        <v>0.035</v>
      </c>
      <c r="C12" s="48" t="n"/>
      <c r="D12" s="48" t="n"/>
      <c r="E12" s="48" t="n"/>
      <c r="F12" s="48" t="n"/>
      <c r="G12" s="48" t="n"/>
      <c r="H12" s="48" t="n"/>
      <c r="I12" s="48" t="n"/>
      <c r="J12" s="51">
        <f>SUM(C12:I12)</f>
        <v/>
      </c>
    </row>
    <row r="13">
      <c r="A13" s="50" t="inlineStr">
        <is>
          <t>Labor &amp; Delivery</t>
        </is>
      </c>
      <c r="B13" s="53" t="n">
        <v>0.015</v>
      </c>
      <c r="C13" s="48" t="n"/>
      <c r="D13" s="48" t="n"/>
      <c r="E13" s="48" t="n"/>
      <c r="F13" s="48" t="n"/>
      <c r="G13" s="48" t="n"/>
      <c r="H13" s="48" t="n"/>
      <c r="I13" s="48" t="n"/>
      <c r="J13" s="51">
        <f>SUM(C13:I13)</f>
        <v/>
      </c>
    </row>
    <row r="14">
      <c r="A14" s="50" t="inlineStr">
        <is>
          <t>Pediatrics</t>
        </is>
      </c>
      <c r="B14" s="53" t="n">
        <v>-0.02</v>
      </c>
      <c r="C14" s="48" t="n"/>
      <c r="D14" s="48" t="n"/>
      <c r="E14" s="48" t="n"/>
      <c r="F14" s="48" t="n"/>
      <c r="G14" s="48" t="n"/>
      <c r="H14" s="48" t="n"/>
      <c r="I14" s="48" t="n"/>
      <c r="J14" s="51">
        <f>SUM(C14:I14)</f>
        <v/>
      </c>
    </row>
    <row r="15">
      <c r="A15" s="50" t="inlineStr">
        <is>
          <t>Behavioral Health</t>
        </is>
      </c>
      <c r="B15" s="53" t="n">
        <v>0.03</v>
      </c>
      <c r="C15" s="48" t="n"/>
      <c r="D15" s="48" t="n"/>
      <c r="E15" s="48" t="n"/>
      <c r="F15" s="48" t="n"/>
      <c r="G15" s="48" t="n"/>
      <c r="H15" s="48" t="n"/>
      <c r="I15" s="48" t="n"/>
      <c r="J15" s="51">
        <f>SUM(C15:I15)</f>
        <v/>
      </c>
    </row>
    <row r="16">
      <c r="A16" s="50" t="inlineStr">
        <is>
          <t>Observation Unit</t>
        </is>
      </c>
      <c r="B16" s="53" t="n">
        <v>0.05</v>
      </c>
      <c r="C16" s="48" t="n"/>
      <c r="D16" s="48" t="n"/>
      <c r="E16" s="48" t="n"/>
      <c r="F16" s="48" t="n"/>
      <c r="G16" s="48" t="n"/>
      <c r="H16" s="48" t="n"/>
      <c r="I16" s="48" t="n"/>
      <c r="J16" s="51">
        <f>SUM(C16:I16)</f>
        <v/>
      </c>
    </row>
    <row r="17">
      <c r="A17" s="50" t="inlineStr">
        <is>
          <t>Perioperative Services</t>
        </is>
      </c>
      <c r="B17" s="53" t="n">
        <v>0.04</v>
      </c>
      <c r="C17" s="48" t="n"/>
      <c r="D17" s="48" t="n"/>
      <c r="E17" s="48" t="n"/>
      <c r="F17" s="48" t="n"/>
      <c r="G17" s="48" t="n"/>
      <c r="H17" s="48" t="n"/>
      <c r="I17" s="48" t="n"/>
      <c r="J17" s="51">
        <f>SUM(C17:I17)</f>
        <v/>
      </c>
    </row>
    <row r="18">
      <c r="A18" s="50" t="inlineStr">
        <is>
          <t>Laboratory</t>
        </is>
      </c>
      <c r="B18" s="53" t="n">
        <v>0.02</v>
      </c>
      <c r="C18" s="48" t="n"/>
      <c r="D18" s="48" t="n"/>
      <c r="E18" s="48" t="n"/>
      <c r="F18" s="48" t="n"/>
      <c r="G18" s="48" t="n"/>
      <c r="H18" s="48" t="n"/>
      <c r="I18" s="48" t="n"/>
      <c r="J18" s="51">
        <f>SUM(C18:I18)</f>
        <v/>
      </c>
    </row>
    <row r="19">
      <c r="A19" s="50" t="inlineStr">
        <is>
          <t>Radiology</t>
        </is>
      </c>
      <c r="B19" s="53" t="n">
        <v>0.025</v>
      </c>
      <c r="C19" s="48" t="n"/>
      <c r="D19" s="48" t="n"/>
      <c r="E19" s="48" t="n"/>
      <c r="F19" s="48" t="n"/>
      <c r="G19" s="48" t="n"/>
      <c r="H19" s="48" t="n"/>
      <c r="I19" s="48" t="n"/>
      <c r="J19" s="51">
        <f>SUM(C19:I19)</f>
        <v/>
      </c>
    </row>
    <row r="20">
      <c r="A20" s="50" t="inlineStr">
        <is>
          <t>Pharmacy</t>
        </is>
      </c>
      <c r="B20" s="53" t="n">
        <v>0.03</v>
      </c>
      <c r="C20" s="48" t="n"/>
      <c r="D20" s="48" t="n"/>
      <c r="E20" s="48" t="n"/>
      <c r="F20" s="48" t="n"/>
      <c r="G20" s="48" t="n"/>
      <c r="H20" s="48" t="n"/>
      <c r="I20" s="48" t="n"/>
      <c r="J20" s="51">
        <f>SUM(C20:I20)</f>
        <v/>
      </c>
    </row>
    <row r="21">
      <c r="A21" s="35" t="inlineStr">
        <is>
          <t>Hospital total 2026</t>
        </is>
      </c>
      <c r="B21" s="35" t="n"/>
      <c r="C21" s="36">
        <f>SUM(C5:C20)</f>
        <v/>
      </c>
      <c r="D21" s="36">
        <f>SUM(D5:D20)</f>
        <v/>
      </c>
      <c r="E21" s="36">
        <f>SUM(E5:E20)</f>
        <v/>
      </c>
      <c r="F21" s="36">
        <f>SUM(F5:F20)</f>
        <v/>
      </c>
      <c r="G21" s="36">
        <f>SUM(G5:G20)</f>
        <v/>
      </c>
      <c r="H21" s="36">
        <f>SUM(H5:H20)</f>
        <v/>
      </c>
      <c r="I21" s="36">
        <f>SUM(I5:I20)</f>
        <v/>
      </c>
      <c r="J21" s="36">
        <f>SUM(J5:J20)</f>
        <v/>
      </c>
    </row>
  </sheetData>
  <pageMargins left="0.75" right="0.75" top="1" bottom="1" header="0.5" footer="0.5"/>
  <pageSetup orientation="landscape" fitToHeight="0" fitToWidth="1"/>
</worksheet>
</file>

<file path=xl/worksheets/sheet12.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54" t="inlineStr">
        <is>
          <t>🔑 Answer Key — Lesson 1.5</t>
        </is>
      </c>
    </row>
    <row r="2" ht="32" customHeight="1">
      <c r="A2" s="55" t="inlineStr">
        <is>
          <t>Spoiler alert — try every task before reading this sheet. Column C is the value the Check column compares against. Column D is a sample solution; column E is that same formula, live, proving it works.</t>
        </is>
      </c>
    </row>
    <row r="4">
      <c r="A4" s="56" t="inlineStr">
        <is>
          <t>#</t>
        </is>
      </c>
      <c r="B4" s="56" t="inlineStr">
        <is>
          <t>Task</t>
        </is>
      </c>
      <c r="C4" s="56" t="inlineStr">
        <is>
          <t>Answer</t>
        </is>
      </c>
      <c r="D4" s="56" t="inlineStr">
        <is>
          <t>Sample solution</t>
        </is>
      </c>
      <c r="E4" s="56" t="inlineStr">
        <is>
          <t>Live result</t>
        </is>
      </c>
      <c r="F4" s="56" t="inlineStr">
        <is>
          <t>Explanation</t>
        </is>
      </c>
    </row>
    <row r="5" ht="66" customHeight="1">
      <c r="A5" s="18" t="inlineStr">
        <is>
          <t>1</t>
        </is>
      </c>
      <c r="B5" s="19" t="inlineStr">
        <is>
          <t>On the Expenses sheet, cell J5 contains =SUM(C5:I5), the Emergency Department's total. If you copy J5 and paste it into J14, what formula will J14 contain? Type it without the =, then click J14 to check.</t>
        </is>
      </c>
      <c r="C5" s="57" t="inlineStr">
        <is>
          <t>SUM(C14:I14)</t>
        </is>
      </c>
      <c r="D5" s="58" t="inlineStr">
        <is>
          <t>Count the move: from row 5 to row 14 is 9 rows down and 0 columns across. Add 9 to every row number in the formula and leave the column letters alone.</t>
        </is>
      </c>
      <c r="E5" s="18" t="inlineStr">
        <is>
          <t>—</t>
        </is>
      </c>
      <c r="F5" s="19" t="inlineStr">
        <is>
          <t>Excel stores =SUM(C5:I5) in J5 as "the seven cells to my left, on my row." Pasted into J14, the same instruction points at C14:I14. That's why one total formula works for every department.</t>
        </is>
      </c>
    </row>
    <row r="6" ht="81" customHeight="1">
      <c r="A6" s="18" t="inlineStr">
        <is>
          <t>2</t>
        </is>
      </c>
      <c r="B6" s="19" t="inlineStr">
        <is>
          <t>What share of Bluestone Memorial's 2025 operating expense came from the Intensive Care Unit? Divide the ICU's total (Expenses!J9) by the hospital total (Expenses!J21). Enter it as a percentage.</t>
        </is>
      </c>
      <c r="C6" s="59" t="n">
        <v>0.07469720689953037</v>
      </c>
      <c r="D6" s="58" t="inlineStr">
        <is>
          <t>=Expenses!J9/Expenses!J21</t>
        </is>
      </c>
      <c r="E6" cm="1" s="60">
        <f t="array" ref="E6">Expenses!J9/Expenses!J21</f>
        <v/>
      </c>
      <c r="F6" s="19" t="inlineStr">
        <is>
          <t>A reference to another sheet is the sheet name, an exclamation mark, then the cell. If you build it by clicking, Excel writes the Expenses! part for you. Press Enter while you're still on the Expenses sheet, and Excel takes you back to Practice.</t>
        </is>
      </c>
    </row>
    <row r="7" ht="96" customHeight="1">
      <c r="A7" s="18" t="inlineStr">
        <is>
          <t>3</t>
        </is>
      </c>
      <c r="B7" s="19" t="inlineStr">
        <is>
          <t>On the Expenses sheet, fill the yellow % of Total column (K5:K20) with ONE formula: type it in K5, lock the reference to the hospital total in J21, then drag the fill handle down to row 20. The gray cell adds up your column. If it shows #DIV/0!, the total reference moved when you copied.</t>
        </is>
      </c>
      <c r="C7" s="59" t="n">
        <v>1</v>
      </c>
      <c r="D7" s="58" t="inlineStr">
        <is>
          <t>=J5/$J$21</t>
        </is>
      </c>
      <c r="E7" cm="1" s="60">
        <f t="array" ref="E7">SUM(Expenses!J5:J20)/Expenses!J21</f>
        <v/>
      </c>
      <c r="F7" s="19" t="inlineStr">
        <is>
          <t>Without the $ signs, K6 would hold =J6/J22. Row 22 is empty, so the result is #DIV/0!. $J$21 stays put wherever you copy it, while J5 moves to each department's row. =J5/J$21 also works here, because you only copy down. Every % of total column adds up to 100%, so the gray cell doubles as a sanity check.</t>
        </is>
      </c>
    </row>
    <row r="8" ht="66" customHeight="1">
      <c r="A8" s="18" t="inlineStr">
        <is>
          <t>4</t>
        </is>
      </c>
      <c r="B8" s="19" t="inlineStr">
        <is>
          <t>You type =C21 in a cell, leave the cursor in the reference, and press F4 three times (Mac: ⌘ + T three times). Which reference do you end up with? Type it without the =.</t>
        </is>
      </c>
      <c r="C8" s="57" t="inlineStr">
        <is>
          <t>$C21</t>
        </is>
      </c>
      <c r="D8" s="58" t="inlineStr">
        <is>
          <t>F4 cycles C21 → $C$21 → C$21 → $C21 → back to C21. The third press gives **$C21**.</t>
        </is>
      </c>
      <c r="E8" s="18" t="inlineStr">
        <is>
          <t>—</t>
        </is>
      </c>
      <c r="F8" s="19" t="inlineStr">
        <is>
          <t>$C21 locks the column (C) but lets the row change. Try it: type the formula, press F4 three times, and watch the formula bar. Press Esc afterwards so you don't leave the test formula in the sheet.</t>
        </is>
      </c>
    </row>
    <row r="9" ht="81" customHeight="1">
      <c r="A9" s="18" t="inlineStr">
        <is>
          <t>5</t>
        </is>
      </c>
      <c r="B9" s="19" t="inlineStr">
        <is>
          <t>On the 4 West OT sheet, Jessica Aguilar (row 33) worked 9.10 overtime hours in December. On this Practice sheet, write a formula for this employee's overtime pay: OTHours × HourlyRate × the overtime multiplier in B3. Refer to the cells; don't type the numbers.</t>
        </is>
      </c>
      <c r="C9" s="61" t="n">
        <v>559.65</v>
      </c>
      <c r="D9" s="58" t="inlineStr">
        <is>
          <t>='4 West OT'!G33*'4 West OT'!D33*'4 West OT'!B3</t>
        </is>
      </c>
      <c r="E9" cm="1" s="62">
        <f t="array" ref="E9">'4 West OT'!G33*'4 West OT'!D33*'4 West OT'!B3</f>
        <v/>
      </c>
      <c r="F9" s="19" t="inlineStr">
        <is>
          <t>Sheet names that contain spaces or start with a digit must be wrapped in single quotes: '4 West OT'!B3. When you click the cells instead of typing, Excel adds the quotes for you. No $ signs are needed here, because this formula is never copied.</t>
        </is>
      </c>
    </row>
    <row r="10" ht="81" customHeight="1">
      <c r="A10" s="18" t="inlineStr">
        <is>
          <t>6</t>
        </is>
      </c>
      <c r="B10" s="19" t="inlineStr">
        <is>
          <t>On the 4 West OT sheet, fill the yellow OTPay column (H6:H72) with one formula: OTHours × HourlyRate × the overtime multiplier in B3. Type it in H6 and copy it down. The gray cell totals your column: what did December's overtime cost?</t>
        </is>
      </c>
      <c r="C10" s="61" t="n">
        <v>16029.43245</v>
      </c>
      <c r="D10" s="58" t="inlineStr">
        <is>
          <t>=G6*D6*$B$3</t>
        </is>
      </c>
      <c r="E10" cm="1" s="62">
        <f t="array" ref="E10">SUMPRODUCT('4 West OT'!G6:G72,'4 West OT'!D6:D72)*'4 West OT'!B3</f>
        <v/>
      </c>
      <c r="F10" s="19" t="inlineStr">
        <is>
          <t>G6 and D6 are relative, so each row uses its own employee's hours and rate. $B$3 is absolute, so all 67 rows share the one multiplier cell. If you had typed *1.5 into every formula, a policy change would mean editing 67 formulas.</t>
        </is>
      </c>
    </row>
    <row r="11" ht="96" customHeight="1">
      <c r="A11" s="18" t="inlineStr">
        <is>
          <t>7</t>
        </is>
      </c>
      <c r="B11" s="19" t="inlineStr">
        <is>
          <t>Finance asks what December's overtime would have cost at double time. Change '4 West OT'!B3 to 2, read task 6's gray cell, and type that amount here as a number. Then set B3 back to 1.5.</t>
        </is>
      </c>
      <c r="C11" s="61" t="n">
        <v>21372.5766</v>
      </c>
      <c r="D11" s="58" t="inlineStr">
        <is>
          <t>1. Click **'4 West OT'!B3**, type `2`, and press **Enter**.
2. Read the gray cell in task 6 and type that amount into this task's yellow cell.
3. Change B3 back to `1.5` so tasks 5 and 6 show ✔ again.</t>
        </is>
      </c>
      <c r="E11" cm="1" s="62">
        <f t="array" ref="E11">SUMPRODUCT('4 West OT'!G6:G72,'4 West OT'!D6:D72)*2</f>
        <v/>
      </c>
      <c r="F11" s="19" t="inlineStr">
        <is>
          <t>Because every OTPay formula points at B3, one edit recalculates all 67 rows and the total. This is the payoff of the rate-in-one-cell pattern: assumptions live in one labeled cell, so what-if questions take seconds.</t>
        </is>
      </c>
    </row>
    <row r="12" ht="96" customHeight="1">
      <c r="A12" s="18" t="inlineStr">
        <is>
          <t>8</t>
        </is>
      </c>
      <c r="B12" s="19" t="inlineStr">
        <is>
          <t>A grid has labels across row 2 and down column A, and cell B3 holds =B$2*$A3. If you copy B3 to D6, what formula will D6 contain? Type it without the =.</t>
        </is>
      </c>
      <c r="C12" s="57" t="inlineStr">
        <is>
          <t>D$2*$A6</t>
        </is>
      </c>
      <c r="D12" s="58" t="inlineStr">
        <is>
          <t>The move is 2 columns right (B to D) and 3 rows down (row 3 to row 6). In B$2 the row is locked, so only the column moves and it becomes D$2. In $A3 the column is locked, so only the row moves and it becomes $A6. The answer is **=D$2*$A6**.</t>
        </is>
      </c>
      <c r="E12" s="18" t="inlineStr">
        <is>
          <t>—</t>
        </is>
      </c>
      <c r="F12" s="19" t="inlineStr">
        <is>
          <t>B$2 always reads row 2 (the labels across the top) in the current column. $A3 always reads column A (the labels down the side) in the current row. Together they make every cell multiply its own column label by its own row label, which is exactly what a two-way grid needs. You'll build one in the next task.</t>
        </is>
      </c>
    </row>
    <row r="13" ht="111" customHeight="1">
      <c r="A13" s="18" t="inlineStr">
        <is>
          <t>9</t>
        </is>
      </c>
      <c r="B13" s="19" t="inlineStr">
        <is>
          <t>On the Staffing Grid sheet, fill the yellow grid B6:H12 with ONE formula: nursing hours needed per day = census (column A) × HPPD target (row 5). Type it in B6, copy it across to H6, then down to row 12. The gray cell adds up the whole grid.</t>
        </is>
      </c>
      <c r="C13" s="57" t="n">
        <v>13328</v>
      </c>
      <c r="D13" s="58" t="inlineStr">
        <is>
          <t>=$A6*B$5</t>
        </is>
      </c>
      <c r="E13" cm="1" s="63">
        <f t="array" ref="E13">SUM('Staffing Grid'!A6:A12)*SUM('Staffing Grid'!B5:H5)</f>
        <v/>
      </c>
      <c r="F13" s="19" t="inlineStr">
        <is>
          <t>$A6 keeps every formula looking at column A, and B$5 keeps every formula looking at row 5. With =$A$6*$B$5, every cell would repeat 182, the B6 result. With no $ at all, C6 would compute =B6*C5, multiplying the previous result by the HPPD instead of using the census. Cross-check: the sum of a multiplication grid equals (sum of the census values) × (sum of the HPPD targets), which is how the key's live formula works.</t>
        </is>
      </c>
    </row>
    <row r="14" ht="66" customHeight="1">
      <c r="A14" s="18" t="inlineStr">
        <is>
          <t>10</t>
        </is>
      </c>
      <c r="B14" s="19" t="inlineStr">
        <is>
          <t>Using one 3-D reference, what did Oncology (row 11 on the Oct, Nov, and Dec sheets) spend on Pharmaceuticals (column F) in Q4 2025?</t>
        </is>
      </c>
      <c r="C14" s="57" t="n">
        <v>654633</v>
      </c>
      <c r="D14" s="58" t="inlineStr">
        <is>
          <t>=SUM(Oct:Dec!F11)</t>
        </is>
      </c>
      <c r="E14" s="63">
        <f>SUM(Oct:Dec!F11)</f>
        <v/>
      </c>
      <c r="F14" s="19" t="inlineStr">
        <is>
          <t>Oct:Dec! means every sheet from the Oct tab through the Dec tab, so the formula adds F11 on all three. It's the same as =Oct!F11+Nov!F11+Dec!F11, but it stays short no matter how many monthly sheets sit between the two end tabs.</t>
        </is>
      </c>
    </row>
    <row r="15" ht="96" customHeight="1">
      <c r="A15" s="18" t="inlineStr">
        <is>
          <t>11</t>
        </is>
      </c>
      <c r="B15" s="19" t="inlineStr">
        <is>
          <t>Fill the yellow grid on the Q4 Summary sheet (C5:I20) with ONE 3-D formula that adds the same cell on the Oct, Nov, and Dec sheets. Type it in C5, copy it across to I5, then down to row 20. The gray cell adds up your grid: what was Bluestone Memorial's Q4 operating expense?</t>
        </is>
      </c>
      <c r="C15" s="57" t="n">
        <v>38299957</v>
      </c>
      <c r="D15" s="58" t="inlineStr">
        <is>
          <t>=SUM(Oct:Dec!C5)</t>
        </is>
      </c>
      <c r="E15" s="63">
        <f>SUM(Oct:Dec!C5:I20)</f>
        <v/>
      </c>
      <c r="F15" s="19" t="inlineStr">
        <is>
          <t>The cell part of Oct:Dec!C5 is relative, so copying moves it exactly like a normal reference: I20 ends up as =SUM(Oct:Dec!I20). This only works because the three monthly sheets share one layout. A 3-D reference adds cells by position, not by department name. Q4 Summary sits to the left of Oct, outside the Oct:Dec range, so it never adds itself.</t>
        </is>
      </c>
    </row>
    <row r="16" ht="96" customHeight="1">
      <c r="A16" s="18" t="inlineStr">
        <is>
          <t>12</t>
        </is>
      </c>
      <c r="B16" s="19" t="inlineStr">
        <is>
          <t>A colleague drags the Nov tab to the right of the Dec tab. What would =SUM(Oct:Dec!J21) return then? (J21 is each month's hospital total.) Predict it with a formula. If you test it by moving the tab, drag Nov back between Oct and Dec afterwards.</t>
        </is>
      </c>
      <c r="C16" s="57" t="n">
        <v>25941245</v>
      </c>
      <c r="D16" s="58" t="inlineStr">
        <is>
          <t>=Oct!J21+Dec!J21</t>
        </is>
      </c>
      <c r="E16" cm="1" s="63">
        <f t="array" ref="E16">Oct!J21+Dec!J21</f>
        <v/>
      </c>
      <c r="F16" s="19" t="inlineStr">
        <is>
          <t>Oct:Dec! means "Oct, Dec, and whatever tabs sit between them right now." Once Nov is dragged past Dec, it's outside the sandwich, so the total silently drops November. A sheet dragged in between the end tabs gets added just as silently. Keep 3-D sheets in order, and consider empty "bookend" sheets (for example First and Last) that mark the range.</t>
        </is>
      </c>
    </row>
  </sheetData>
  <mergeCells count="1">
    <mergeCell ref="A2:F2"/>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54" t="inlineStr">
        <is>
          <t>🔑 Bonus Key — Lesson 1.5</t>
        </is>
      </c>
    </row>
    <row r="2" ht="32" customHeight="1">
      <c r="A2" s="55" t="inlineStr">
        <is>
          <t>Spoiler alert — try every task before reading this sheet. Column C is the value the Check column compares against. Column D is a sample solution; column E is that same formula, live, proving it works.</t>
        </is>
      </c>
    </row>
    <row r="4">
      <c r="A4" s="56" t="inlineStr">
        <is>
          <t>#</t>
        </is>
      </c>
      <c r="B4" s="56" t="inlineStr">
        <is>
          <t>Task</t>
        </is>
      </c>
      <c r="C4" s="56" t="inlineStr">
        <is>
          <t>Answer</t>
        </is>
      </c>
      <c r="D4" s="56" t="inlineStr">
        <is>
          <t>Sample solution</t>
        </is>
      </c>
      <c r="E4" s="56" t="inlineStr">
        <is>
          <t>Live result</t>
        </is>
      </c>
      <c r="F4" s="56" t="inlineStr">
        <is>
          <t>Explanation</t>
        </is>
      </c>
    </row>
    <row r="5" ht="96" customHeight="1">
      <c r="A5" s="18" t="inlineStr">
        <is>
          <t>B1</t>
        </is>
      </c>
      <c r="B5" s="19" t="inlineStr">
        <is>
          <t>Fill the yellow grid on the Plan 2026 sheet (C5:I20) with ONE formula typed in C5 and copied across and down. The gray cell adds up your grid: what is the 2026 plan total? (Don't round.)</t>
        </is>
      </c>
      <c r="C5" s="61" t="n">
        <v>162219455.2832</v>
      </c>
      <c r="D5" s="58" t="inlineStr">
        <is>
          <t>=Expenses!C5*(1+C$3)*(1+$B5)</t>
        </is>
      </c>
      <c r="E5" cm="1" s="62">
        <f t="array" ref="E5">SUMPRODUCT(Expenses!C5:I20*(1+'Plan 2026'!C3:I3)*(1+'Plan 2026'!B5:B20))</f>
        <v/>
      </c>
      <c r="F5" s="19" t="inlineStr">
        <is>
          <t>Expenses!C5 is fully relative, because each plan cell needs the matching 2025 cell. C$3 locks the row, so every department reads the inflation in row 3 of its own category column. $B5 locks the column, so every category reads the growth in column B of its own department row. One formula, three reference types, 112 correct cells.</t>
        </is>
      </c>
    </row>
    <row r="6" ht="66" customHeight="1">
      <c r="A6" s="18" t="inlineStr">
        <is>
          <t>B2</t>
        </is>
      </c>
      <c r="B6" s="19" t="inlineStr">
        <is>
          <t>What is the 2026 plan for Laboratory · Medical Supplies (Plan 2026, row 18, column E)? Reference the cell in your grid.</t>
        </is>
      </c>
      <c r="C6" s="61" t="n">
        <v>3424829.928</v>
      </c>
      <c r="D6" s="58" t="inlineStr">
        <is>
          <t>='Plan 2026'!E18</t>
        </is>
      </c>
      <c r="E6" cm="1" s="62">
        <f t="array" ref="E6">Expenses!E18*(1+'Plan 2026'!E3)*(1+'Plan 2026'!B18)</f>
        <v/>
      </c>
      <c r="F6" s="19" t="inlineStr">
        <is>
          <t>Spot-checking a cell far from where you typed the formula proves the copy worked. E18 should hold =Expenses!E18*(1+E$3)*(1+$B18): the inflation is still read from row 3 and the growth from column B.</t>
        </is>
      </c>
    </row>
    <row r="7" ht="51" customHeight="1">
      <c r="A7" s="18" t="inlineStr">
        <is>
          <t>B3</t>
        </is>
      </c>
      <c r="B7" s="19" t="inlineStr">
        <is>
          <t>By what percentage would Bluestone Memorial's total operating expense grow from 2025 to 2026 under this plan? Enter it as a percentage.</t>
        </is>
      </c>
      <c r="C7" s="59" t="n">
        <v>0.06820111893224712</v>
      </c>
      <c r="D7" s="58" t="inlineStr">
        <is>
          <t>='Plan 2026'!J21/Expenses!J21-1</t>
        </is>
      </c>
      <c r="E7" cm="1" s="60">
        <f t="array" ref="E7">SUMPRODUCT(Expenses!C5:I20*(1+'Plan 2026'!C3:I3)*(1+'Plan 2026'!B5:B20))/Expenses!J21-1</f>
        <v/>
      </c>
      <c r="F7" s="19" t="inlineStr">
        <is>
          <t>'Plan 2026'!J21 is the 2026 grand total and Expenses!J21 is the 2025 grand total. New ÷ old − 1 turns the two totals into a growth rate.</t>
        </is>
      </c>
    </row>
    <row r="8" ht="126" customHeight="1">
      <c r="A8" s="18" t="inlineStr">
        <is>
          <t>B4</t>
        </is>
      </c>
      <c r="B8" s="19" t="inlineStr">
        <is>
          <t>Which department's total expense is planned to grow by the largest percentage? Type the department name exactly as it appears in column A.</t>
        </is>
      </c>
      <c r="C8" s="57" t="inlineStr">
        <is>
          <t>Oncology</t>
        </is>
      </c>
      <c r="D8" s="58" t="inlineStr">
        <is>
          <t>1. In 'Plan 2026'!K5, type `=J5/Expenses!J5-1` and copy it down to K20. Both references are relative, so each row compares its own department.
2. Format K5:K20 as a percentage and find the largest value (`=MAX(K5:K20)` helps).
3. Read the department name in column A of that row.</t>
        </is>
      </c>
      <c r="E8" s="18" t="inlineStr">
        <is>
          <t>—</t>
        </is>
      </c>
      <c r="F8" s="19" t="inlineStr">
        <is>
          <t>Oncology grows 9.7%, ahead of Observation Unit at 9.5%, even though Observation Unit has the highest volume growth (5.0%). Oncology's spending is heavy in Pharmaceuticals, the category with the steepest inflation (7.5%), so its mix pushes the total up faster.</t>
        </is>
      </c>
    </row>
    <row r="9" ht="96" customHeight="1">
      <c r="A9" s="18" t="inlineStr">
        <is>
          <t>B5</t>
        </is>
      </c>
      <c r="B9" s="19" t="inlineStr">
        <is>
          <t>Pharmaceutical prices are the shakiest assumption. If pharmaceutical inflation were 9.0% instead of 7.5%, how many dollars higher would the 2026 plan total be? Change the one input cell, compare the totals, then put it back. Round to the nearest dollar.</t>
        </is>
      </c>
      <c r="C9" s="64" t="n">
        <v>176282</v>
      </c>
      <c r="D9" s="58" t="inlineStr">
        <is>
          <t>1. Note the plan total in 'Plan 2026'!J21 (or the gray cell in B1).
2. Change 'Plan 2026'!F3 from 7.5% to 9.0%.
3. Subtract the old total from the new one and round to the nearest dollar.
4. Set F3 back to 7.5%.</t>
        </is>
      </c>
      <c r="E9" cm="1" s="65">
        <f t="array" ref="E9">ROUND(SUMPRODUCT(Expenses!F5:F20*(1+'Plan 2026'!B5:B20))*(0.09-'Plan 2026'!F3),0)</f>
        <v/>
      </c>
      <c r="F9" s="19" t="inlineStr">
        <is>
          <t>Only the Pharmaceuticals column reads that input, so only those 16 cells change. Each one rises by its 2025 amount × (1 + growth) × 1.5 percentage points. Testing the shakiest assumption like this is called a sensitivity check, and it only takes seconds because the assumption lives in one cell.</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1.5 — Relative, Absolute &amp; Mixed References</dc:title>
  <dcterms:created xsi:type="dcterms:W3CDTF">2026-10-02T15:59:03Z</dcterms:created>
  <dcterms:modified xsi:type="dcterms:W3CDTF">2026-10-02T15:59:04Z</dcterms:modified>
</cp:coreProperties>
</file>
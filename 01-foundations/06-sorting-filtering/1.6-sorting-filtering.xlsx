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Override PartName="/xl/metadata.xml" ContentType="application/vnd.openxmlformats-officedocument.spreadsheetml.sheetMetadata+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Practice" sheetId="2" state="visible" r:id="rId2"/>
    <sheet name="EDVisits" sheetId="3" state="visible" r:id="rId3"/>
    <sheet name="Workspace" sheetId="4" state="visible" r:id="rId4"/>
    <sheet name="Bonus" sheetId="5" state="visible" r:id="rId5"/>
    <sheet name="Answer Key" sheetId="6" state="hidden" r:id="rId6"/>
    <sheet name="Bonus Key" sheetId="7" state="hidden" r:id="rId7"/>
  </sheets>
  <definedNames/>
  <calcPr calcId="124519" fullCalcOnLoad="1"/>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numFmts count="3">
    <numFmt numFmtId="164" formatCode="yyyy-mm-dd h:mm:ss"/>
    <numFmt numFmtId="165" formatCode="mm/dd/yyyy hh:mm"/>
    <numFmt numFmtId="166" formatCode="0.0"/>
  </numFmts>
  <fonts count="17">
    <font>
      <name val="Calibri"/>
      <family val="2"/>
      <color theme="1"/>
      <sz val="11"/>
      <scheme val="minor"/>
    </font>
    <font>
      <b val="1"/>
      <color rgb="00FFFFFF"/>
    </font>
    <font>
      <b val="1"/>
      <color rgb="007B2C2C"/>
      <sz val="16"/>
    </font>
    <font>
      <i val="1"/>
      <color rgb="00595959"/>
    </font>
    <font>
      <b val="1"/>
    </font>
    <font>
      <name val="Consolas"/>
      <sz val="10"/>
    </font>
    <font>
      <b val="1"/>
      <color rgb="001F4E79"/>
      <sz val="16"/>
    </font>
    <font>
      <color rgb="00404040"/>
      <sz val="11"/>
    </font>
    <font>
      <i val="1"/>
      <color rgb="00404040"/>
      <sz val="11"/>
    </font>
    <font>
      <i val="1"/>
      <color rgb="007F7F7F"/>
    </font>
    <font>
      <b val="1"/>
      <color rgb="00375623"/>
      <sz val="12"/>
    </font>
    <font>
      <b val="1"/>
      <color rgb="002E75B6"/>
      <sz val="12"/>
    </font>
    <font>
      <b val="1"/>
      <color rgb="001F4E79"/>
      <sz val="22"/>
    </font>
    <font>
      <b val="1"/>
      <color rgb="00FFFFFF"/>
      <sz val="13"/>
    </font>
    <font/>
    <font>
      <b val="1"/>
      <color rgb="001F4E79"/>
      <sz val="13"/>
    </font>
    <font>
      <i val="1"/>
      <color rgb="007F7F7F"/>
      <sz val="10"/>
    </font>
  </fonts>
  <fills count="8">
    <fill>
      <patternFill/>
    </fill>
    <fill>
      <patternFill patternType="gray125"/>
    </fill>
    <fill>
      <patternFill patternType="solid">
        <fgColor rgb="001F4E79"/>
      </patternFill>
    </fill>
    <fill>
      <patternFill patternType="solid">
        <fgColor rgb="007B2C2C"/>
      </patternFill>
    </fill>
    <fill>
      <patternFill patternType="solid">
        <fgColor rgb="00FFF2CC"/>
      </patternFill>
    </fill>
    <fill>
      <patternFill patternType="solid">
        <fgColor rgb="00C6EFCE"/>
      </patternFill>
    </fill>
    <fill>
      <patternFill patternType="solid">
        <fgColor rgb="00FFC7CE"/>
      </patternFill>
    </fill>
    <fill>
      <patternFill patternType="solid">
        <fgColor rgb="00F8CBAD"/>
      </patternFill>
    </fill>
  </fills>
  <borders count="3">
    <border>
      <left/>
      <right/>
      <top/>
      <bottom/>
      <diagonal/>
    </border>
    <border>
      <left style="thin">
        <color rgb="00BFBFBF"/>
      </left>
      <right style="thin">
        <color rgb="00BFBFBF"/>
      </right>
      <top style="thin">
        <color rgb="00BFBFBF"/>
      </top>
      <bottom style="thin">
        <color rgb="00BFBFBF"/>
      </bottom>
    </border>
    <border>
      <left style="thin">
        <color rgb="00BF9000"/>
      </left>
      <right style="thin">
        <color rgb="00BF9000"/>
      </right>
      <top style="thin">
        <color rgb="00BF9000"/>
      </top>
      <bottom style="thin">
        <color rgb="00BF9000"/>
      </bottom>
    </border>
  </borders>
  <cellStyleXfs count="1">
    <xf numFmtId="0" fontId="0" fillId="0" borderId="0"/>
  </cellStyleXfs>
  <cellXfs count="45">
    <xf numFmtId="0" fontId="0" fillId="0" borderId="0" pivotButton="0" quotePrefix="0" xfId="0"/>
    <xf numFmtId="0" fontId="11" fillId="0" borderId="0" pivotButton="0" quotePrefix="0" xfId="0"/>
    <xf numFmtId="0" fontId="12" fillId="0" borderId="0" pivotButton="0" quotePrefix="0" xfId="0"/>
    <xf numFmtId="0" fontId="3" fillId="0" borderId="0" pivotButton="0" quotePrefix="0" xfId="0"/>
    <xf numFmtId="0" fontId="13" fillId="2" borderId="0" pivotButton="0" quotePrefix="0" xfId="0"/>
    <xf numFmtId="0" fontId="0" fillId="2"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4" fillId="0" borderId="0" applyAlignment="1" pivotButton="0" quotePrefix="0" xfId="0">
      <alignment vertical="top" wrapText="1"/>
    </xf>
    <xf numFmtId="0" fontId="4" fillId="4" borderId="0" applyAlignment="1" pivotButton="0" quotePrefix="0" xfId="0">
      <alignment vertical="top" wrapText="1"/>
    </xf>
    <xf numFmtId="0" fontId="4" fillId="5" borderId="0" applyAlignment="1" pivotButton="0" quotePrefix="0" xfId="0">
      <alignment vertical="top" wrapText="1"/>
    </xf>
    <xf numFmtId="0" fontId="4" fillId="6"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8" fillId="0" borderId="0" applyAlignment="1" pivotButton="0" quotePrefix="0" xfId="0">
      <alignment vertical="top" wrapText="1"/>
    </xf>
    <xf numFmtId="0" fontId="10" fillId="0" borderId="0" pivotButton="0" quotePrefix="0" xfId="0"/>
    <xf numFmtId="0" fontId="1" fillId="2" borderId="1" applyAlignment="1" pivotButton="0" quotePrefix="0" xfId="0">
      <alignment vertical="center" wrapText="1"/>
    </xf>
    <xf numFmtId="0" fontId="0" fillId="0" borderId="1" applyAlignment="1" pivotButton="0" quotePrefix="0" xfId="0">
      <alignment horizontal="center" vertical="top"/>
    </xf>
    <xf numFmtId="0" fontId="0" fillId="0" borderId="1" applyAlignment="1" pivotButton="0" quotePrefix="0" xfId="0">
      <alignment vertical="top" wrapText="1"/>
    </xf>
    <xf numFmtId="0" fontId="9" fillId="0" borderId="1" applyAlignment="1" pivotButton="0" quotePrefix="0" xfId="0">
      <alignment vertical="top" wrapText="1"/>
    </xf>
    <xf numFmtId="0" fontId="0" fillId="4" borderId="2" applyAlignment="1" pivotButton="0" quotePrefix="0" xfId="0">
      <alignment horizontal="left" vertical="top"/>
    </xf>
    <xf numFmtId="0" fontId="4" fillId="0" borderId="1" applyAlignment="1" pivotButton="0" quotePrefix="0" xfId="0">
      <alignment vertical="top"/>
    </xf>
    <xf numFmtId="0" fontId="0" fillId="4" borderId="2" applyAlignment="1" pivotButton="0" quotePrefix="0" xfId="0">
      <alignment horizontal="right" vertical="top"/>
    </xf>
    <xf numFmtId="166" fontId="0" fillId="4" borderId="2" applyAlignment="1" pivotButton="0" quotePrefix="0" xfId="0">
      <alignment horizontal="right" vertical="top"/>
    </xf>
    <xf numFmtId="2" fontId="0" fillId="4" borderId="2" applyAlignment="1" pivotButton="0" quotePrefix="0" xfId="0">
      <alignment horizontal="right" vertical="top"/>
    </xf>
    <xf numFmtId="0" fontId="1" fillId="2" borderId="0" pivotButton="0" quotePrefix="0" xfId="0"/>
    <xf numFmtId="165" fontId="0" fillId="0" borderId="0" pivotButton="0" quotePrefix="0" xfId="0"/>
    <xf numFmtId="1" fontId="0" fillId="0" borderId="0" pivotButton="0" quotePrefix="0" xfId="0"/>
    <xf numFmtId="2" fontId="0" fillId="0" borderId="0" pivotButton="0" quotePrefix="0" xfId="0"/>
    <xf numFmtId="0" fontId="0" fillId="7" borderId="0" pivotButton="0" quotePrefix="0" xfId="0"/>
    <xf numFmtId="165" fontId="0" fillId="7" borderId="0" pivotButton="0" quotePrefix="0" xfId="0"/>
    <xf numFmtId="1" fontId="0" fillId="7" borderId="0" pivotButton="0" quotePrefix="0" xfId="0"/>
    <xf numFmtId="2" fontId="0" fillId="7" borderId="0" pivotButton="0" quotePrefix="0" xfId="0"/>
    <xf numFmtId="0" fontId="15" fillId="0" borderId="0" pivotButton="0" quotePrefix="0" xfId="0"/>
    <xf numFmtId="0" fontId="3" fillId="0" borderId="0" applyAlignment="1" pivotButton="0" quotePrefix="0" xfId="0">
      <alignment/>
    </xf>
    <xf numFmtId="0" fontId="16" fillId="0" borderId="0" pivotButton="0" quotePrefix="0" xfId="0"/>
    <xf numFmtId="0" fontId="2" fillId="0" borderId="0" pivotButton="0" quotePrefix="0" xfId="0"/>
    <xf numFmtId="0" fontId="3" fillId="0" borderId="0" applyAlignment="1" pivotButton="0" quotePrefix="0" xfId="0">
      <alignment vertical="top" wrapText="1"/>
    </xf>
    <xf numFmtId="0" fontId="1" fillId="3" borderId="1" pivotButton="0" quotePrefix="0" xfId="0"/>
    <xf numFmtId="0" fontId="4" fillId="0" borderId="1" applyAlignment="1" pivotButton="0" quotePrefix="0" xfId="0">
      <alignment vertical="top" wrapText="1"/>
    </xf>
    <xf numFmtId="0" fontId="5" fillId="0" borderId="1" applyAlignment="1" pivotButton="0" quotePrefix="1" xfId="0">
      <alignment vertical="top" wrapText="1"/>
    </xf>
    <xf numFmtId="166" fontId="4" fillId="0" borderId="1" applyAlignment="1" pivotButton="0" quotePrefix="0" xfId="0">
      <alignment vertical="top" wrapText="1"/>
    </xf>
    <xf numFmtId="166" fontId="0" fillId="0" borderId="1" applyAlignment="1" pivotButton="0" quotePrefix="0" xfId="0">
      <alignment vertical="top" wrapText="1"/>
    </xf>
    <xf numFmtId="2" fontId="4" fillId="0" borderId="1" applyAlignment="1" pivotButton="0" quotePrefix="0" xfId="0">
      <alignment vertical="top" wrapText="1"/>
    </xf>
    <xf numFmtId="2" fontId="0" fillId="0" borderId="1" applyAlignment="1" pivotButton="0" quotePrefix="0" xfId="0">
      <alignment vertical="top" wrapText="1"/>
    </xf>
  </cellXfs>
  <cellStyles count="1">
    <cellStyle name="Normal" xfId="0" builtinId="0" hidden="0"/>
  </cellStyles>
  <dxfs count="2">
    <dxf>
      <font>
        <b val="1"/>
        <color rgb="00006100"/>
      </font>
      <fill>
        <patternFill patternType="solid">
          <fgColor rgb="00C6EFCE"/>
        </patternFill>
      </fill>
    </dxf>
    <dxf>
      <font>
        <b val="1"/>
        <color rgb="009C0006"/>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 Id="rIdXlcMeta"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4E79"/>
    <outlinePr summaryBelow="1" summaryRight="1"/>
    <pageSetUpPr fitToPage="1"/>
  </sheetPr>
  <dimension ref="B2:C30"/>
  <sheetViews>
    <sheetView tabSelected="1" workbookViewId="0">
      <selection activeCell="A1" sqref="A1"/>
    </sheetView>
  </sheetViews>
  <sheetFormatPr baseColWidth="8" defaultRowHeight="15"/>
  <cols>
    <col width="3" customWidth="1" min="1" max="1"/>
    <col width="26" customWidth="1" min="2" max="2"/>
    <col width="95" customWidth="1" min="3" max="3"/>
  </cols>
  <sheetData>
    <row r="2">
      <c r="B2" s="1" t="inlineStr">
        <is>
          <t>Lesson 1.6</t>
        </is>
      </c>
    </row>
    <row r="3">
      <c r="B3" s="2" t="inlineStr">
        <is>
          <t>Sorting &amp; Filtering Data</t>
        </is>
      </c>
    </row>
    <row r="4">
      <c r="B4" s="3" t="inlineStr">
        <is>
          <t>Beginner  ·  about 45 minutes  ·  Bluestone Health System (fictional)</t>
        </is>
      </c>
    </row>
    <row r="6">
      <c r="B6" s="4" t="inlineStr">
        <is>
          <t>What you'll learn</t>
        </is>
      </c>
      <c r="C6" s="5" t="n"/>
    </row>
    <row r="7" ht="18" customHeight="1">
      <c r="B7" s="6" t="inlineStr">
        <is>
          <t>•</t>
        </is>
      </c>
      <c r="C7" s="7" t="inlineStr">
        <is>
          <t>Sort by one or several columns, including custom orders</t>
        </is>
      </c>
    </row>
    <row r="8" ht="18" customHeight="1">
      <c r="B8" s="6" t="inlineStr">
        <is>
          <t>•</t>
        </is>
      </c>
      <c r="C8" s="7" t="inlineStr">
        <is>
          <t>Filter text, numbers, and dates with AutoFilter (and Top 10, by color)</t>
        </is>
      </c>
    </row>
    <row r="9" ht="18" customHeight="1">
      <c r="B9" s="6" t="inlineStr">
        <is>
          <t>•</t>
        </is>
      </c>
      <c r="C9" s="7" t="inlineStr">
        <is>
          <t>Summarize only visible rows with SUBTOTAL and AGGREGATE</t>
        </is>
      </c>
    </row>
    <row r="10" ht="18" customHeight="1">
      <c r="B10" s="6" t="inlineStr">
        <is>
          <t>•</t>
        </is>
      </c>
      <c r="C10" s="7" t="inlineStr">
        <is>
          <t>Use Advanced Filter for complex AND/OR criteria and unique lists</t>
        </is>
      </c>
    </row>
    <row r="12">
      <c r="B12" s="4" t="inlineStr">
        <is>
          <t>How to use this workbook</t>
        </is>
      </c>
      <c r="C12" s="5" t="n"/>
    </row>
    <row r="13" ht="33" customHeight="1">
      <c r="B13" s="8" t="inlineStr">
        <is>
          <t>1. Read the guide</t>
        </is>
      </c>
      <c r="C13" s="7" t="inlineStr">
        <is>
          <t>The lesson guide (README) explains each skill with examples: https://github.com/lmansf/learn-excel/tree/main/01-foundations/06-sorting-filtering</t>
        </is>
      </c>
    </row>
    <row r="14" ht="18" customHeight="1">
      <c r="B14" s="8" t="inlineStr">
        <is>
          <t>2. Practice</t>
        </is>
      </c>
      <c r="C14" s="7" t="inlineStr">
        <is>
          <t>Go to the 'Practice' sheet. Type a formula or value into each yellow cell.</t>
        </is>
      </c>
    </row>
    <row r="15" ht="18" customHeight="1">
      <c r="B15" s="8" t="inlineStr">
        <is>
          <t>3. Check yourself</t>
        </is>
      </c>
      <c r="C15" s="7" t="inlineStr">
        <is>
          <t>The Check column shows ✔ Correct (green) or ✘ Not yet (red).</t>
        </is>
      </c>
    </row>
    <row r="16" ht="18" customHeight="1">
      <c r="B16" s="8" t="inlineStr">
        <is>
          <t>4. Bonus</t>
        </is>
      </c>
      <c r="C16" s="7" t="inlineStr">
        <is>
          <t>Finished? Try the harder 'Bonus' sheet.</t>
        </is>
      </c>
    </row>
    <row r="17" ht="33" customHeight="1">
      <c r="B17" s="8" t="inlineStr">
        <is>
          <t>5. Answers</t>
        </is>
      </c>
      <c r="C17" s="7" t="inlineStr">
        <is>
          <t>The 'Answer Key' and 'Bonus Key' sheets are hidden. Right-click any sheet tab → Unhide… → pick one → OK. (Try first!)</t>
        </is>
      </c>
    </row>
    <row r="18" ht="33" customHeight="1">
      <c r="B18" s="8" t="inlineStr">
        <is>
          <t>Note</t>
        </is>
      </c>
      <c r="C18" s="7" t="inlineStr">
        <is>
          <t>EDVisits is a plain range on purpose (not an Excel Table), so you turn AutoFilter on yourself with Ctrl+Shift+L (Mac: ⌘+Shift+F). Rows shaded orange were flagged by the triage sepsis screen.</t>
        </is>
      </c>
    </row>
    <row r="19" ht="33" customHeight="1">
      <c r="B19" s="8" t="inlineStr">
        <is>
          <t>Note</t>
        </is>
      </c>
      <c r="C19" s="7" t="inlineStr">
        <is>
          <t>To put the rows back in their original order at any time, sort by EDVisitID A to Z (IDs follow arrival order).</t>
        </is>
      </c>
    </row>
    <row r="20" ht="33" customHeight="1">
      <c r="B20" s="8" t="inlineStr">
        <is>
          <t>Note</t>
        </is>
      </c>
      <c r="C20" s="7" t="inlineStr">
        <is>
          <t>Use the Workspace sheet for Advanced Filter criteria ranges and results, and for trying the guide's formulas. The gray labels in its row 3 show where each task's cells go.</t>
        </is>
      </c>
    </row>
    <row r="22">
      <c r="B22" s="4" t="inlineStr">
        <is>
          <t>Color legend</t>
        </is>
      </c>
      <c r="C22" s="5" t="n"/>
    </row>
    <row r="23" ht="18" customHeight="1">
      <c r="B23" s="9" t="inlineStr">
        <is>
          <t>Yellow cell</t>
        </is>
      </c>
      <c r="C23" s="7" t="inlineStr">
        <is>
          <t>Your answer goes here.</t>
        </is>
      </c>
    </row>
    <row r="24" ht="18" customHeight="1">
      <c r="B24" s="10" t="inlineStr">
        <is>
          <t>✔ Correct</t>
        </is>
      </c>
      <c r="C24" s="7" t="inlineStr">
        <is>
          <t>Your answer matches the key.</t>
        </is>
      </c>
    </row>
    <row r="25" ht="18" customHeight="1">
      <c r="B25" s="11" t="inlineStr">
        <is>
          <t>✘ Not yet</t>
        </is>
      </c>
      <c r="C25" s="7" t="inlineStr">
        <is>
          <t>Not matching yet. Check the hint and try again.</t>
        </is>
      </c>
    </row>
    <row r="27">
      <c r="B27" s="4" t="inlineStr">
        <is>
          <t>Sheets in this workbook</t>
        </is>
      </c>
      <c r="C27" s="5" t="n"/>
    </row>
    <row r="28" ht="18" customHeight="1">
      <c r="B28" s="8" t="inlineStr">
        <is>
          <t>EDVisits</t>
        </is>
      </c>
      <c r="C28" s="7" t="inlineStr">
        <is>
          <t>Data: 937 rows</t>
        </is>
      </c>
    </row>
    <row r="29" ht="63" customHeight="1">
      <c r="B29" s="8" t="inlineStr">
        <is>
          <t>About the data</t>
        </is>
      </c>
      <c r="C29" s="7" t="inlineStr">
        <is>
          <t>All 937 emergency department visits at Cedar Ridge Medical Center in 2025: arrival time, day and hour, arrival mode, ESI triage level, chief complaint, two triage vital signs, a shock index formula, door-to-provider minutes, and disposition. Rows shaded orange were flagged by the triage sepsis screen.</t>
        </is>
      </c>
    </row>
    <row r="30" ht="18" customHeight="1">
      <c r="B30" s="8" t="inlineStr">
        <is>
          <t>Disclaimer</t>
        </is>
      </c>
      <c r="C30" s="7" t="inlineStr">
        <is>
          <t>All people, places, and numbers are synthetic and fictional. Not clinical guidance.</t>
        </is>
      </c>
    </row>
  </sheetData>
  <pageMargins left="0.75" right="0.75" top="1" bottom="1" header="0.5" footer="0.5"/>
  <pageSetup orientation="portrait" fitToHeight="0" fitToWidth="1"/>
</worksheet>
</file>

<file path=xl/worksheets/sheet2.xml><?xml version="1.0" encoding="utf-8"?>
<worksheet xmlns="http://schemas.openxmlformats.org/spreadsheetml/2006/main">
  <sheetPr>
    <tabColor rgb="00548235"/>
    <outlinePr summaryBelow="1" summaryRight="1"/>
    <pageSetUpPr fitToPage="1"/>
  </sheetPr>
  <dimension ref="A1:E17"/>
  <sheetViews>
    <sheetView tabSelected="0" workbookViewId="0">
      <pane ySplit="5" topLeftCell="A6" activePane="bottomLeft" state="frozen"/>
      <selection pane="bottomLeft" activeCell="A1" sqref="A1"/>
    </sheetView>
  </sheetViews>
  <sheetFormatPr baseColWidth="8" defaultRowHeight="15"/>
  <cols>
    <col width="5" customWidth="1" min="1" max="1"/>
    <col width="72" customWidth="1" min="2" max="2"/>
    <col width="38" customWidth="1" min="3" max="3"/>
    <col width="22" customWidth="1" min="4" max="4"/>
    <col width="14" customWidth="1" min="5" max="5"/>
  </cols>
  <sheetData>
    <row r="1">
      <c r="A1" s="12" t="inlineStr">
        <is>
          <t>Lesson 1.6 · Practice</t>
        </is>
      </c>
    </row>
    <row r="2" ht="49" customHeight="1">
      <c r="A2" s="13" t="inlineStr">
        <is>
          <t>Every task uses the EDVisits sheet: 937 visits in rows 2–938, columns A–M. For tasks 1–10, sort or filter, then type what you see in the yellow cell: an ID, a row number, a count, or a value. Before each new filter task, clear the filters left over from the task before (Data → Clear). Tasks 9 and 10 use the Workspace sheet. Tasks 11 and 12 need an ESI 3 filter left on, so do them last.</t>
        </is>
      </c>
    </row>
    <row r="3" ht="34" customHeight="1">
      <c r="A3" s="14" t="inlineStr">
        <is>
          <t>Type a formula or value in each yellow cell. The Check column turns green when your answer matches. Stuck? Read the hint, then the lesson guide. Answers: right-click a sheet tab → Unhide… → 'Answer Key'.</t>
        </is>
      </c>
    </row>
    <row r="4">
      <c r="A4" s="15">
        <f>"Score: "&amp;COUNTIF(E6:E17,"✔*")&amp;" of 12 auto-checked tasks correct"</f>
        <v/>
      </c>
    </row>
    <row r="5">
      <c r="A5" s="16" t="inlineStr">
        <is>
          <t>#</t>
        </is>
      </c>
      <c r="B5" s="16" t="inlineStr">
        <is>
          <t>Task</t>
        </is>
      </c>
      <c r="C5" s="16" t="inlineStr">
        <is>
          <t>Hint</t>
        </is>
      </c>
      <c r="D5" s="16" t="inlineStr">
        <is>
          <t>Your Answer</t>
        </is>
      </c>
      <c r="E5" s="16" t="inlineStr">
        <is>
          <t>Check</t>
        </is>
      </c>
    </row>
    <row r="6" ht="51" customHeight="1">
      <c r="A6" s="17" t="inlineStr">
        <is>
          <t>1</t>
        </is>
      </c>
      <c r="B6" s="18" t="inlineStr">
        <is>
          <t>Sort the EDVisits sheet by DoorToProviderMin, Largest to Smallest. Which EDVisitID is now in row 2? (That's the visit with the longest wait from arrival to first provider contact.)</t>
        </is>
      </c>
      <c r="C6" s="19" t="inlineStr">
        <is>
          <t>Click one cell in the column, then use the Z→A button</t>
        </is>
      </c>
      <c r="D6" s="20" t="n"/>
      <c r="E6" s="21">
        <f>IF(IFERROR(D6="",FALSE),"",IF(IFERROR(OR(LOWER(TRIM(D6&amp;""))=LOWER(TRIM('Answer Key'!$C$5&amp;""))),FALSE),"✔ Correct","✘ Not yet"))</f>
        <v/>
      </c>
    </row>
    <row r="7" ht="51" customHeight="1">
      <c r="A7" s="17" t="inlineStr">
        <is>
          <t>2</t>
        </is>
      </c>
      <c r="B7" s="18" t="inlineStr">
        <is>
          <t>Use the Sort dialog (Data → Sort) to sort by three levels: ESILevel Smallest to Largest, then DoorToProviderMin Largest to Smallest, then ArrivalDateTime Oldest to Newest. Which EDVisitID is in row 11?</t>
        </is>
      </c>
      <c r="C7" s="19" t="inlineStr">
        <is>
          <t>Data → Sort, then Add Level twice. The top level wins</t>
        </is>
      </c>
      <c r="D7" s="20" t="n"/>
      <c r="E7" s="21">
        <f>IF(IFERROR(D7="",FALSE),"",IF(IFERROR(OR(LOWER(TRIM(D7&amp;""))=LOWER(TRIM('Answer Key'!$C$6&amp;""))),FALSE),"✔ Correct","✘ Not yet"))</f>
        <v/>
      </c>
    </row>
    <row r="8" ht="51" customHeight="1">
      <c r="A8" s="17" t="inlineStr">
        <is>
          <t>3</t>
        </is>
      </c>
      <c r="B8" s="18" t="inlineStr">
        <is>
          <t>Sort by ArrivalDay using the built-in custom list Sun, Mon, Tue, Wed, Thu, Fri, Sat (Sort dialog → Order → Custom List…). On which row does the first Wednesday (Wed) visit appear? Type the row number.</t>
        </is>
      </c>
      <c r="C8" s="19" t="inlineStr">
        <is>
          <t>Sunday, Monday and Tuesday visits come first</t>
        </is>
      </c>
      <c r="D8" s="22" t="n"/>
      <c r="E8" s="21">
        <f>IF(IFERROR(D8="",FALSE),"",IF(IFERROR(AND(ISNUMBER(D8),OR(ABS(D8-'Answer Key'!$C$7)&lt;=0.0001)),FALSE),"✔ Correct","✘ Not yet"))</f>
        <v/>
      </c>
    </row>
    <row r="9" ht="36" customHeight="1">
      <c r="A9" s="17" t="inlineStr">
        <is>
          <t>4</t>
        </is>
      </c>
      <c r="B9" s="18" t="inlineStr">
        <is>
          <t>Turn on AutoFilter (Ctrl+Shift+L; Mac: ⌘+Shift+F). Show only visits with ArrivalMode = Ambulance and ESILevel 1 or 2. How many visits are visible?</t>
        </is>
      </c>
      <c r="C9" s="19" t="inlineStr">
        <is>
          <t>Filter two columns, then read the status bar</t>
        </is>
      </c>
      <c r="D9" s="22" t="n"/>
      <c r="E9" s="21">
        <f>IF(IFERROR(D9="",FALSE),"",IF(IFERROR(AND(ISNUMBER(D9),OR(ABS(D9-'Answer Key'!$C$8)&lt;=0.0001)),FALSE),"✔ Correct","✘ Not yet"))</f>
        <v/>
      </c>
    </row>
    <row r="10" ht="51" customHeight="1">
      <c r="A10" s="17" t="inlineStr">
        <is>
          <t>5</t>
        </is>
      </c>
      <c r="B10" s="18" t="inlineStr">
        <is>
          <t>Clear the filters (Data → Clear). Use the Search box in the ChiefComplaint filter to show every visit whose complaint contains the word fever anywhere. How many visits are visible?</t>
        </is>
      </c>
      <c r="C10" s="19" t="inlineStr">
        <is>
          <t>Type in the Search box, then check which items it ticks before you click OK</t>
        </is>
      </c>
      <c r="D10" s="22" t="n"/>
      <c r="E10" s="21">
        <f>IF(IFERROR(D10="",FALSE),"",IF(IFERROR(AND(ISNUMBER(D10),OR(ABS(D10-'Answer Key'!$C$9)&lt;=0.0001)),FALSE),"✔ Correct","✘ Not yet"))</f>
        <v/>
      </c>
    </row>
    <row r="11" ht="51" customHeight="1">
      <c r="A11" s="17" t="inlineStr">
        <is>
          <t>6</t>
        </is>
      </c>
      <c r="B11" s="18" t="inlineStr">
        <is>
          <t>Clear the filters. Use Number Filters → Top 10 on DoorToProviderMin to show the 10 longest waits. What is the smallest DoorToProviderMin still visible (the 10th-longest wait), in minutes?</t>
        </is>
      </c>
      <c r="C11" s="19" t="inlineStr">
        <is>
          <t>After the Top 10 filter, Minimum on the status bar finds the smallest visible wait</t>
        </is>
      </c>
      <c r="D11" s="22" t="n"/>
      <c r="E11" s="21">
        <f>IF(IFERROR(D11="",FALSE),"",IF(IFERROR(AND(ISNUMBER(D11),OR(ABS(D11-'Answer Key'!$C$10)&lt;=0.0001)),FALSE),"✔ Correct","✘ Not yet"))</f>
        <v/>
      </c>
    </row>
    <row r="12" ht="36" customHeight="1">
      <c r="A12" s="17" t="inlineStr">
        <is>
          <t>7</t>
        </is>
      </c>
      <c r="B12" s="18" t="inlineStr">
        <is>
          <t>Clear the filters. Show only visits that arrived in November 2025 on a Saturday or Sunday. How many are there?</t>
        </is>
      </c>
      <c r="C12" s="19" t="inlineStr">
        <is>
          <t>Date tree for the month, then ArrivalDay for the weekend</t>
        </is>
      </c>
      <c r="D12" s="22" t="n"/>
      <c r="E12" s="21">
        <f>IF(IFERROR(D12="",FALSE),"",IF(IFERROR(AND(ISNUMBER(D12),OR(ABS(D12-'Answer Key'!$C$11)&lt;=0.0001)),FALSE),"✔ Correct","✘ Not yet"))</f>
        <v/>
      </c>
    </row>
    <row r="13" ht="66" customHeight="1">
      <c r="A13" s="17" t="inlineStr">
        <is>
          <t>8</t>
        </is>
      </c>
      <c r="B13" s="18" t="inlineStr">
        <is>
          <t>Clear the filters. Rows shaded orange are visits that triage flagged as a positive sepsis screen. Filter to the orange rows, then also keep only those with DoorToProviderMin greater than 30. How many flagged visits waited more than 30 minutes to see a provider?</t>
        </is>
      </c>
      <c r="C13" s="19" t="inlineStr">
        <is>
          <t>Filter by Color, then Number Filters → Greater Than</t>
        </is>
      </c>
      <c r="D13" s="22" t="n"/>
      <c r="E13" s="21">
        <f>IF(IFERROR(D13="",FALSE),"",IF(IFERROR(AND(ISNUMBER(D13),OR(ABS(D13-'Answer Key'!$C$12)&lt;=0.0001)),FALSE),"✔ Correct","✘ Not yet"))</f>
        <v/>
      </c>
    </row>
    <row r="14" ht="81" customHeight="1">
      <c r="A14" s="17" t="inlineStr">
        <is>
          <t>9</t>
        </is>
      </c>
      <c r="B14" s="18" t="inlineStr">
        <is>
          <t>Clear the filters. Use Advanced Filter to find visits that were ESI level 1 OR waited more than 120 minutes for a provider. Type the criteria range in Workspace!A4:B6. Then, with the Workspace sheet active, choose Data → Advanced and copy the results to Workspace!D4. How many visits does it copy? Don't count the header.</t>
        </is>
      </c>
      <c r="C14" s="19" t="inlineStr">
        <is>
          <t>Conditions on different rows of the criteria range mean OR</t>
        </is>
      </c>
      <c r="D14" s="22" t="n"/>
      <c r="E14" s="21">
        <f>IF(IFERROR(D14="",FALSE),"",IF(IFERROR(AND(ISNUMBER(D14),OR(ABS(D14-'Answer Key'!$C$13)&lt;=0.0001)),FALSE),"✔ Correct","✘ Not yet"))</f>
        <v/>
      </c>
    </row>
    <row r="15" ht="51" customHeight="1">
      <c r="A15" s="17" t="inlineStr">
        <is>
          <t>10</t>
        </is>
      </c>
      <c r="B15" s="18" t="inlineStr">
        <is>
          <t>Use Advanced Filter with Unique records only to copy a list of the different ChiefComplaint values to Workspace!S4. How many different chief complaints are there? Don't count the header.</t>
        </is>
      </c>
      <c r="C15" s="19" t="inlineStr">
        <is>
          <t>List range: the ChiefComplaint column only. Empty the Criteria range box</t>
        </is>
      </c>
      <c r="D15" s="22" t="n"/>
      <c r="E15" s="21">
        <f>IF(IFERROR(D15="",FALSE),"",IF(IFERROR(AND(ISNUMBER(D15),OR(ABS(D15-'Answer Key'!$C$14)&lt;=0.0001)),FALSE),"✔ Correct","✘ Not yet"))</f>
        <v/>
      </c>
    </row>
    <row r="16" ht="51" customHeight="1">
      <c r="A16" s="17" t="inlineStr">
        <is>
          <t>11</t>
        </is>
      </c>
      <c r="B16" s="18" t="inlineStr">
        <is>
          <t>Filter EDVisits to ESILevel 3 only, with no other filters on. In the yellow cell, write a formula that averages DoorToProviderMin for the visible rows only, rounded to 1 decimal place with ROUND. Leave the filter on for task 12.</t>
        </is>
      </c>
      <c r="C16" s="19" t="inlineStr">
        <is>
          <t>SUBTOTAL's AVERAGE is function_num 1 (or 101)</t>
        </is>
      </c>
      <c r="D16" s="23" t="n"/>
      <c r="E16" s="21">
        <f>IF(IFERROR(D16="",FALSE),"",IF(IFERROR(AND(ISNUMBER(D16),OR(ABS(D16-'Answer Key'!$C$15)&lt;=0.0001)),FALSE),"✔ Correct","✘ Not yet"))</f>
        <v/>
      </c>
    </row>
    <row r="17" ht="81" customHeight="1">
      <c r="A17" s="17" t="inlineStr">
        <is>
          <t>12</t>
        </is>
      </c>
      <c r="B17" s="18" t="inlineStr">
        <is>
          <t>Keep the ESI 3 filter on. ShockIndex (HeartRate ÷ SystolicBP) shows #DIV/0! where no blood pressure was recorded, so =SUBTOTAL(104,EDVisits!K2:K938) returns #DIV/0!. In the yellow cell, write an AGGREGATE formula that returns the highest ShockIndex among the visible rows while ignoring the errors. Don't round it.</t>
        </is>
      </c>
      <c r="C17" s="19" t="inlineStr">
        <is>
          <t>MAX is function 4. Pick the option that ignores hidden rows AND error values</t>
        </is>
      </c>
      <c r="D17" s="24" t="n"/>
      <c r="E17" s="21">
        <f>IF(IFERROR(D17="",FALSE),"",IF(IFERROR(AND(ISNUMBER(D17),OR(ABS(D17-'Answer Key'!$C$16)&lt;=0.0051)),FALSE),"✔ Correct","✘ Not yet"))</f>
        <v/>
      </c>
    </row>
  </sheetData>
  <mergeCells count="3">
    <mergeCell ref="A2:E2"/>
    <mergeCell ref="A4:C4"/>
    <mergeCell ref="A3:E3"/>
  </mergeCells>
  <conditionalFormatting sqref="E6:E17">
    <cfRule type="expression" priority="1" dxfId="0">
      <formula>LEFT(E6,1)="✔"</formula>
    </cfRule>
    <cfRule type="expression" priority="2" dxfId="1">
      <formula>LEFT(E6,1)="✘"</formula>
    </cfRule>
  </conditionalFormatting>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sheetPr>
  <dimension ref="A1:M938"/>
  <sheetViews>
    <sheetView tabSelected="0" workbookViewId="0">
      <pane ySplit="1" topLeftCell="A2" activePane="bottomLeft" state="frozen"/>
      <selection pane="bottomLeft" activeCell="A1" sqref="A1"/>
    </sheetView>
  </sheetViews>
  <sheetFormatPr baseColWidth="8" defaultRowHeight="15"/>
  <cols>
    <col width="11" customWidth="1" min="1" max="1"/>
    <col width="10" customWidth="1" min="2" max="2"/>
    <col width="17" customWidth="1" min="3" max="3"/>
    <col width="11" customWidth="1" min="4" max="4"/>
    <col width="12" customWidth="1" min="5" max="5"/>
    <col width="13" customWidth="1" min="6" max="6"/>
    <col width="9" customWidth="1" min="7" max="7"/>
    <col width="30" customWidth="1" min="8" max="8"/>
    <col width="10" customWidth="1" min="9" max="9"/>
    <col width="11" customWidth="1" min="10" max="10"/>
    <col width="11" customWidth="1" min="11" max="11"/>
    <col width="18" customWidth="1" min="12" max="12"/>
    <col width="14" customWidth="1" min="13" max="13"/>
  </cols>
  <sheetData>
    <row r="1" ht="18" customHeight="1">
      <c r="A1" s="25" t="inlineStr">
        <is>
          <t>EDVisitID</t>
        </is>
      </c>
      <c r="B1" s="25" t="inlineStr">
        <is>
          <t>PatientID</t>
        </is>
      </c>
      <c r="C1" s="25" t="inlineStr">
        <is>
          <t>ArrivalDateTime</t>
        </is>
      </c>
      <c r="D1" s="25" t="inlineStr">
        <is>
          <t>ArrivalDay</t>
        </is>
      </c>
      <c r="E1" s="25" t="inlineStr">
        <is>
          <t>ArrivalHour</t>
        </is>
      </c>
      <c r="F1" s="25" t="inlineStr">
        <is>
          <t>ArrivalMode</t>
        </is>
      </c>
      <c r="G1" s="25" t="inlineStr">
        <is>
          <t>ESILevel</t>
        </is>
      </c>
      <c r="H1" s="25" t="inlineStr">
        <is>
          <t>ChiefComplaint</t>
        </is>
      </c>
      <c r="I1" s="25" t="inlineStr">
        <is>
          <t>HeartRate</t>
        </is>
      </c>
      <c r="J1" s="25" t="inlineStr">
        <is>
          <t>SystolicBP</t>
        </is>
      </c>
      <c r="K1" s="25" t="inlineStr">
        <is>
          <t>ShockIndex</t>
        </is>
      </c>
      <c r="L1" s="25" t="inlineStr">
        <is>
          <t>DoorToProviderMin</t>
        </is>
      </c>
      <c r="M1" s="25" t="inlineStr">
        <is>
          <t>EDDisposition</t>
        </is>
      </c>
    </row>
    <row r="2">
      <c r="A2" t="inlineStr">
        <is>
          <t>ED206077</t>
        </is>
      </c>
      <c r="B2" t="inlineStr">
        <is>
          <t>PT13365</t>
        </is>
      </c>
      <c r="C2" s="26" t="n">
        <v>45658.25138888889</v>
      </c>
      <c r="D2" t="inlineStr">
        <is>
          <t>Wed</t>
        </is>
      </c>
      <c r="E2" s="27" t="n">
        <v>6</v>
      </c>
      <c r="F2" t="inlineStr">
        <is>
          <t>Walk-In</t>
        </is>
      </c>
      <c r="G2" s="27" t="n">
        <v>4</v>
      </c>
      <c r="H2" t="inlineStr">
        <is>
          <t>Ankle Injury</t>
        </is>
      </c>
      <c r="I2" t="n">
        <v>74</v>
      </c>
      <c r="J2" t="n">
        <v>135</v>
      </c>
      <c r="K2" s="28">
        <f>I2/J2</f>
        <v/>
      </c>
      <c r="L2" s="27" t="n">
        <v>19</v>
      </c>
      <c r="M2" t="inlineStr">
        <is>
          <t>Discharged</t>
        </is>
      </c>
    </row>
    <row r="3">
      <c r="A3" t="inlineStr">
        <is>
          <t>ED206081</t>
        </is>
      </c>
      <c r="B3" t="inlineStr">
        <is>
          <t>PT11101</t>
        </is>
      </c>
      <c r="C3" s="26" t="n">
        <v>45658.55555555555</v>
      </c>
      <c r="D3" t="inlineStr">
        <is>
          <t>Wed</t>
        </is>
      </c>
      <c r="E3" s="27" t="n">
        <v>13</v>
      </c>
      <c r="F3" t="inlineStr">
        <is>
          <t>Walk-In</t>
        </is>
      </c>
      <c r="G3" s="27" t="n">
        <v>2</v>
      </c>
      <c r="H3" t="inlineStr">
        <is>
          <t>Shortness of Breath</t>
        </is>
      </c>
      <c r="I3" t="n">
        <v>76</v>
      </c>
      <c r="J3" t="n">
        <v>123</v>
      </c>
      <c r="K3" s="28">
        <f>I3/J3</f>
        <v/>
      </c>
      <c r="L3" s="27" t="n">
        <v>30</v>
      </c>
      <c r="M3" t="inlineStr">
        <is>
          <t>Admitted</t>
        </is>
      </c>
    </row>
    <row r="4">
      <c r="A4" t="inlineStr">
        <is>
          <t>ED206087</t>
        </is>
      </c>
      <c r="B4" t="inlineStr">
        <is>
          <t>PT10252</t>
        </is>
      </c>
      <c r="C4" s="26" t="n">
        <v>45658.98402777778</v>
      </c>
      <c r="D4" t="inlineStr">
        <is>
          <t>Wed</t>
        </is>
      </c>
      <c r="E4" s="27" t="n">
        <v>23</v>
      </c>
      <c r="F4" t="inlineStr">
        <is>
          <t>Ambulance</t>
        </is>
      </c>
      <c r="G4" s="27" t="n">
        <v>4</v>
      </c>
      <c r="H4" t="inlineStr">
        <is>
          <t>Nausea</t>
        </is>
      </c>
      <c r="I4" t="n">
        <v>94</v>
      </c>
      <c r="J4" t="n">
        <v>127</v>
      </c>
      <c r="K4" s="28">
        <f>I4/J4</f>
        <v/>
      </c>
      <c r="L4" s="27" t="n">
        <v>50</v>
      </c>
      <c r="M4" t="inlineStr">
        <is>
          <t>Discharged</t>
        </is>
      </c>
    </row>
    <row r="5">
      <c r="A5" s="29" t="inlineStr">
        <is>
          <t>ED206088</t>
        </is>
      </c>
      <c r="B5" s="29" t="inlineStr">
        <is>
          <t>PT12695</t>
        </is>
      </c>
      <c r="C5" s="30" t="n">
        <v>45659.42430555556</v>
      </c>
      <c r="D5" s="29" t="inlineStr">
        <is>
          <t>Thu</t>
        </is>
      </c>
      <c r="E5" s="31" t="n">
        <v>10</v>
      </c>
      <c r="F5" s="29" t="inlineStr">
        <is>
          <t>Walk-In</t>
        </is>
      </c>
      <c r="G5" s="31" t="n">
        <v>2</v>
      </c>
      <c r="H5" s="29" t="inlineStr">
        <is>
          <t>Cough / Fever</t>
        </is>
      </c>
      <c r="I5" s="29" t="n">
        <v>112</v>
      </c>
      <c r="J5" s="29" t="n">
        <v>114</v>
      </c>
      <c r="K5" s="32">
        <f>I5/J5</f>
        <v/>
      </c>
      <c r="L5" s="31" t="n">
        <v>26</v>
      </c>
      <c r="M5" s="29" t="inlineStr">
        <is>
          <t>Admitted</t>
        </is>
      </c>
    </row>
    <row r="6">
      <c r="A6" t="inlineStr">
        <is>
          <t>ED206098</t>
        </is>
      </c>
      <c r="B6" t="inlineStr">
        <is>
          <t>PT10695</t>
        </is>
      </c>
      <c r="C6" s="26" t="n">
        <v>45659.75833333333</v>
      </c>
      <c r="D6" t="inlineStr">
        <is>
          <t>Thu</t>
        </is>
      </c>
      <c r="E6" s="27" t="n">
        <v>18</v>
      </c>
      <c r="F6" t="inlineStr">
        <is>
          <t>Walk-In</t>
        </is>
      </c>
      <c r="G6" s="27" t="n">
        <v>4</v>
      </c>
      <c r="H6" t="inlineStr">
        <is>
          <t>Vomiting / Diarrhea</t>
        </is>
      </c>
      <c r="I6" t="n">
        <v>85</v>
      </c>
      <c r="J6" t="n">
        <v>123</v>
      </c>
      <c r="K6" s="28">
        <f>I6/J6</f>
        <v/>
      </c>
      <c r="L6" s="27" t="n">
        <v>52</v>
      </c>
      <c r="M6" t="inlineStr">
        <is>
          <t>Discharged</t>
        </is>
      </c>
    </row>
    <row r="7">
      <c r="A7" t="inlineStr">
        <is>
          <t>ED206146</t>
        </is>
      </c>
      <c r="B7" t="inlineStr">
        <is>
          <t>PT12933</t>
        </is>
      </c>
      <c r="C7" s="26" t="n">
        <v>45662.50347222222</v>
      </c>
      <c r="D7" t="inlineStr">
        <is>
          <t>Sun</t>
        </is>
      </c>
      <c r="E7" s="27" t="n">
        <v>12</v>
      </c>
      <c r="F7" t="inlineStr">
        <is>
          <t>Walk-In</t>
        </is>
      </c>
      <c r="G7" s="27" t="n">
        <v>4</v>
      </c>
      <c r="H7" t="inlineStr">
        <is>
          <t>Head Injury</t>
        </is>
      </c>
      <c r="I7" t="n">
        <v>86</v>
      </c>
      <c r="K7" s="28">
        <f>I7/J7</f>
        <v/>
      </c>
      <c r="L7" s="27" t="n"/>
      <c r="M7" t="inlineStr">
        <is>
          <t>LWBS</t>
        </is>
      </c>
    </row>
    <row r="8">
      <c r="A8" t="inlineStr">
        <is>
          <t>ED206148</t>
        </is>
      </c>
      <c r="B8" t="inlineStr">
        <is>
          <t>PT11889</t>
        </is>
      </c>
      <c r="C8" s="26" t="n">
        <v>45662.54513888889</v>
      </c>
      <c r="D8" t="inlineStr">
        <is>
          <t>Sun</t>
        </is>
      </c>
      <c r="E8" s="27" t="n">
        <v>13</v>
      </c>
      <c r="F8" t="inlineStr">
        <is>
          <t>Ambulance</t>
        </is>
      </c>
      <c r="G8" s="27" t="n">
        <v>2</v>
      </c>
      <c r="H8" t="inlineStr">
        <is>
          <t>Shortness of Breath</t>
        </is>
      </c>
      <c r="I8" t="n">
        <v>91</v>
      </c>
      <c r="J8" t="n">
        <v>112</v>
      </c>
      <c r="K8" s="28">
        <f>I8/J8</f>
        <v/>
      </c>
      <c r="L8" s="27" t="n">
        <v>17</v>
      </c>
      <c r="M8" t="inlineStr">
        <is>
          <t>Admitted</t>
        </is>
      </c>
    </row>
    <row r="9">
      <c r="A9" t="inlineStr">
        <is>
          <t>ED206151</t>
        </is>
      </c>
      <c r="B9" t="inlineStr">
        <is>
          <t>PT13715</t>
        </is>
      </c>
      <c r="C9" s="26" t="n">
        <v>45662.58958333333</v>
      </c>
      <c r="D9" t="inlineStr">
        <is>
          <t>Sun</t>
        </is>
      </c>
      <c r="E9" s="27" t="n">
        <v>14</v>
      </c>
      <c r="F9" t="inlineStr">
        <is>
          <t>Walk-In</t>
        </is>
      </c>
      <c r="G9" s="27" t="n">
        <v>3</v>
      </c>
      <c r="H9" t="inlineStr">
        <is>
          <t>Cough / Fever</t>
        </is>
      </c>
      <c r="I9" t="n">
        <v>115</v>
      </c>
      <c r="J9" t="n">
        <v>105</v>
      </c>
      <c r="K9" s="28">
        <f>I9/J9</f>
        <v/>
      </c>
      <c r="L9" s="27" t="n">
        <v>88</v>
      </c>
      <c r="M9" t="inlineStr">
        <is>
          <t>Admitted</t>
        </is>
      </c>
    </row>
    <row r="10">
      <c r="A10" t="inlineStr">
        <is>
          <t>ED206158</t>
        </is>
      </c>
      <c r="B10" t="inlineStr">
        <is>
          <t>PT11204</t>
        </is>
      </c>
      <c r="C10" s="26" t="n">
        <v>45662.91805555556</v>
      </c>
      <c r="D10" t="inlineStr">
        <is>
          <t>Sun</t>
        </is>
      </c>
      <c r="E10" s="27" t="n">
        <v>22</v>
      </c>
      <c r="F10" t="inlineStr">
        <is>
          <t>Ambulance</t>
        </is>
      </c>
      <c r="G10" s="27" t="n">
        <v>2</v>
      </c>
      <c r="H10" t="inlineStr">
        <is>
          <t>Shortness of Breath</t>
        </is>
      </c>
      <c r="I10" t="n">
        <v>93</v>
      </c>
      <c r="J10" t="n">
        <v>133</v>
      </c>
      <c r="K10" s="28">
        <f>I10/J10</f>
        <v/>
      </c>
      <c r="L10" s="27" t="n">
        <v>9</v>
      </c>
      <c r="M10" t="inlineStr">
        <is>
          <t>Admitted</t>
        </is>
      </c>
    </row>
    <row r="11">
      <c r="A11" t="inlineStr">
        <is>
          <t>ED206166</t>
        </is>
      </c>
      <c r="B11" t="inlineStr">
        <is>
          <t>PT10002</t>
        </is>
      </c>
      <c r="C11" s="26" t="n">
        <v>45663.37708333333</v>
      </c>
      <c r="D11" t="inlineStr">
        <is>
          <t>Mon</t>
        </is>
      </c>
      <c r="E11" s="27" t="n">
        <v>9</v>
      </c>
      <c r="F11" t="inlineStr">
        <is>
          <t>Walk-In</t>
        </is>
      </c>
      <c r="G11" s="27" t="n">
        <v>3</v>
      </c>
      <c r="H11" t="inlineStr">
        <is>
          <t>Painful Urination / Fever</t>
        </is>
      </c>
      <c r="I11" t="n">
        <v>82</v>
      </c>
      <c r="J11" t="n">
        <v>135</v>
      </c>
      <c r="K11" s="28">
        <f>I11/J11</f>
        <v/>
      </c>
      <c r="L11" s="27" t="n">
        <v>20</v>
      </c>
      <c r="M11" t="inlineStr">
        <is>
          <t>Discharged</t>
        </is>
      </c>
    </row>
    <row r="12">
      <c r="A12" t="inlineStr">
        <is>
          <t>ED206186</t>
        </is>
      </c>
      <c r="B12" t="inlineStr">
        <is>
          <t>PT10855</t>
        </is>
      </c>
      <c r="C12" s="26" t="n">
        <v>45663.77569444444</v>
      </c>
      <c r="D12" t="inlineStr">
        <is>
          <t>Mon</t>
        </is>
      </c>
      <c r="E12" s="27" t="n">
        <v>18</v>
      </c>
      <c r="F12" t="inlineStr">
        <is>
          <t>Walk-In</t>
        </is>
      </c>
      <c r="G12" s="27" t="n">
        <v>4</v>
      </c>
      <c r="H12" t="inlineStr">
        <is>
          <t>Vomiting / Dizziness</t>
        </is>
      </c>
      <c r="I12" t="n">
        <v>84</v>
      </c>
      <c r="J12" t="n">
        <v>162</v>
      </c>
      <c r="K12" s="28">
        <f>I12/J12</f>
        <v/>
      </c>
      <c r="L12" s="27" t="n">
        <v>46</v>
      </c>
      <c r="M12" t="inlineStr">
        <is>
          <t>Admitted</t>
        </is>
      </c>
    </row>
    <row r="13">
      <c r="A13" s="29" t="inlineStr">
        <is>
          <t>ED206191</t>
        </is>
      </c>
      <c r="B13" s="29" t="inlineStr">
        <is>
          <t>PT12542</t>
        </is>
      </c>
      <c r="C13" s="30" t="n">
        <v>45664.45833333334</v>
      </c>
      <c r="D13" s="29" t="inlineStr">
        <is>
          <t>Tue</t>
        </is>
      </c>
      <c r="E13" s="31" t="n">
        <v>11</v>
      </c>
      <c r="F13" s="29" t="inlineStr">
        <is>
          <t>Walk-In</t>
        </is>
      </c>
      <c r="G13" s="31" t="n">
        <v>2</v>
      </c>
      <c r="H13" s="29" t="inlineStr">
        <is>
          <t>Cough / Fever</t>
        </is>
      </c>
      <c r="I13" s="29" t="n">
        <v>103</v>
      </c>
      <c r="J13" s="29" t="n">
        <v>136</v>
      </c>
      <c r="K13" s="32">
        <f>I13/J13</f>
        <v/>
      </c>
      <c r="L13" s="31" t="n">
        <v>41</v>
      </c>
      <c r="M13" s="29" t="inlineStr">
        <is>
          <t>Discharged</t>
        </is>
      </c>
    </row>
    <row r="14">
      <c r="A14" t="inlineStr">
        <is>
          <t>ED206195</t>
        </is>
      </c>
      <c r="B14" t="inlineStr">
        <is>
          <t>PT11582</t>
        </is>
      </c>
      <c r="C14" s="26" t="n">
        <v>45664.56527777778</v>
      </c>
      <c r="D14" t="inlineStr">
        <is>
          <t>Tue</t>
        </is>
      </c>
      <c r="E14" s="27" t="n">
        <v>13</v>
      </c>
      <c r="F14" t="inlineStr">
        <is>
          <t>Walk-In</t>
        </is>
      </c>
      <c r="G14" s="27" t="n">
        <v>3</v>
      </c>
      <c r="H14" t="inlineStr">
        <is>
          <t>Abdominal Pain</t>
        </is>
      </c>
      <c r="I14" t="n">
        <v>78</v>
      </c>
      <c r="J14" t="n">
        <v>127</v>
      </c>
      <c r="K14" s="28">
        <f>I14/J14</f>
        <v/>
      </c>
      <c r="L14" s="27" t="n">
        <v>65</v>
      </c>
      <c r="M14" t="inlineStr">
        <is>
          <t>Discharged</t>
        </is>
      </c>
    </row>
    <row r="15">
      <c r="A15" t="inlineStr">
        <is>
          <t>ED206210</t>
        </is>
      </c>
      <c r="B15" t="inlineStr">
        <is>
          <t>PT11138</t>
        </is>
      </c>
      <c r="C15" s="26" t="n">
        <v>45665.35833333333</v>
      </c>
      <c r="D15" t="inlineStr">
        <is>
          <t>Wed</t>
        </is>
      </c>
      <c r="E15" s="27" t="n">
        <v>8</v>
      </c>
      <c r="F15" t="inlineStr">
        <is>
          <t>Walk-In</t>
        </is>
      </c>
      <c r="G15" s="27" t="n">
        <v>3</v>
      </c>
      <c r="H15" t="inlineStr">
        <is>
          <t>Painful Urination / Fever</t>
        </is>
      </c>
      <c r="I15" t="n">
        <v>76</v>
      </c>
      <c r="J15" t="n">
        <v>116</v>
      </c>
      <c r="K15" s="28">
        <f>I15/J15</f>
        <v/>
      </c>
      <c r="L15" s="27" t="n">
        <v>50</v>
      </c>
      <c r="M15" t="inlineStr">
        <is>
          <t>Admitted</t>
        </is>
      </c>
    </row>
    <row r="16">
      <c r="A16" t="inlineStr">
        <is>
          <t>ED206226</t>
        </is>
      </c>
      <c r="B16" t="inlineStr">
        <is>
          <t>PT13009</t>
        </is>
      </c>
      <c r="C16" s="26" t="n">
        <v>45666.10277777778</v>
      </c>
      <c r="D16" t="inlineStr">
        <is>
          <t>Thu</t>
        </is>
      </c>
      <c r="E16" s="27" t="n">
        <v>2</v>
      </c>
      <c r="F16" t="inlineStr">
        <is>
          <t>Walk-In</t>
        </is>
      </c>
      <c r="G16" s="27" t="n">
        <v>5</v>
      </c>
      <c r="H16" t="inlineStr">
        <is>
          <t>Back Pain</t>
        </is>
      </c>
      <c r="I16" t="n">
        <v>86</v>
      </c>
      <c r="J16" t="n">
        <v>120</v>
      </c>
      <c r="K16" s="28">
        <f>I16/J16</f>
        <v/>
      </c>
      <c r="L16" s="27" t="n">
        <v>32</v>
      </c>
      <c r="M16" t="inlineStr">
        <is>
          <t>Discharged</t>
        </is>
      </c>
    </row>
    <row r="17">
      <c r="A17" t="inlineStr">
        <is>
          <t>ED206228</t>
        </is>
      </c>
      <c r="B17" t="inlineStr">
        <is>
          <t>PT11104</t>
        </is>
      </c>
      <c r="C17" s="26" t="n">
        <v>45666.24791666667</v>
      </c>
      <c r="D17" t="inlineStr">
        <is>
          <t>Thu</t>
        </is>
      </c>
      <c r="E17" s="27" t="n">
        <v>5</v>
      </c>
      <c r="F17" t="inlineStr">
        <is>
          <t>Walk-In</t>
        </is>
      </c>
      <c r="G17" s="27" t="n">
        <v>4</v>
      </c>
      <c r="H17" t="inlineStr">
        <is>
          <t>Cough / Fever</t>
        </is>
      </c>
      <c r="I17" t="n">
        <v>72</v>
      </c>
      <c r="J17" t="n">
        <v>144</v>
      </c>
      <c r="K17" s="28">
        <f>I17/J17</f>
        <v/>
      </c>
      <c r="L17" s="27" t="n">
        <v>51</v>
      </c>
      <c r="M17" t="inlineStr">
        <is>
          <t>Discharged</t>
        </is>
      </c>
    </row>
    <row r="18">
      <c r="A18" t="inlineStr">
        <is>
          <t>ED206246</t>
        </is>
      </c>
      <c r="B18" t="inlineStr">
        <is>
          <t>PT11114</t>
        </is>
      </c>
      <c r="C18" s="26" t="n">
        <v>45666.98402777778</v>
      </c>
      <c r="D18" t="inlineStr">
        <is>
          <t>Thu</t>
        </is>
      </c>
      <c r="E18" s="27" t="n">
        <v>23</v>
      </c>
      <c r="F18" t="inlineStr">
        <is>
          <t>Ambulance</t>
        </is>
      </c>
      <c r="G18" s="27" t="n">
        <v>2</v>
      </c>
      <c r="H18" t="inlineStr">
        <is>
          <t>Bloody Stool / Vomiting Blood</t>
        </is>
      </c>
      <c r="I18" t="n">
        <v>89</v>
      </c>
      <c r="J18" t="n">
        <v>91</v>
      </c>
      <c r="K18" s="28">
        <f>I18/J18</f>
        <v/>
      </c>
      <c r="L18" s="27" t="n">
        <v>19</v>
      </c>
      <c r="M18" t="inlineStr">
        <is>
          <t>Observation</t>
        </is>
      </c>
    </row>
    <row r="19">
      <c r="A19" t="inlineStr">
        <is>
          <t>ED206248</t>
        </is>
      </c>
      <c r="B19" t="inlineStr">
        <is>
          <t>PT10715</t>
        </is>
      </c>
      <c r="C19" s="26" t="n">
        <v>45667.21180555555</v>
      </c>
      <c r="D19" t="inlineStr">
        <is>
          <t>Fri</t>
        </is>
      </c>
      <c r="E19" s="27" t="n">
        <v>5</v>
      </c>
      <c r="F19" t="inlineStr">
        <is>
          <t>Walk-In</t>
        </is>
      </c>
      <c r="G19" s="27" t="n">
        <v>2</v>
      </c>
      <c r="H19" t="inlineStr">
        <is>
          <t>Fever / Altered Mental Status</t>
        </is>
      </c>
      <c r="I19" t="n">
        <v>133</v>
      </c>
      <c r="J19" t="n">
        <v>81</v>
      </c>
      <c r="K19" s="28">
        <f>I19/J19</f>
        <v/>
      </c>
      <c r="L19" s="27" t="n">
        <v>10</v>
      </c>
      <c r="M19" t="inlineStr">
        <is>
          <t>Admitted</t>
        </is>
      </c>
    </row>
    <row r="20">
      <c r="A20" t="inlineStr">
        <is>
          <t>ED206249</t>
        </is>
      </c>
      <c r="B20" t="inlineStr">
        <is>
          <t>PT13877</t>
        </is>
      </c>
      <c r="C20" s="26" t="n">
        <v>45667.47777777778</v>
      </c>
      <c r="D20" t="inlineStr">
        <is>
          <t>Fri</t>
        </is>
      </c>
      <c r="E20" s="27" t="n">
        <v>11</v>
      </c>
      <c r="F20" t="inlineStr">
        <is>
          <t>Walk-In</t>
        </is>
      </c>
      <c r="G20" s="27" t="n">
        <v>4</v>
      </c>
      <c r="H20" t="inlineStr">
        <is>
          <t>Weakness / Fatigue</t>
        </is>
      </c>
      <c r="I20" t="n">
        <v>79</v>
      </c>
      <c r="J20" t="n">
        <v>123</v>
      </c>
      <c r="K20" s="28">
        <f>I20/J20</f>
        <v/>
      </c>
      <c r="L20" s="27" t="n">
        <v>86</v>
      </c>
      <c r="M20" t="inlineStr">
        <is>
          <t>Discharged</t>
        </is>
      </c>
    </row>
    <row r="21">
      <c r="A21" t="inlineStr">
        <is>
          <t>ED206252</t>
        </is>
      </c>
      <c r="B21" t="inlineStr">
        <is>
          <t>PT10750</t>
        </is>
      </c>
      <c r="C21" s="26" t="n">
        <v>45667.55416666667</v>
      </c>
      <c r="D21" t="inlineStr">
        <is>
          <t>Fri</t>
        </is>
      </c>
      <c r="E21" s="27" t="n">
        <v>13</v>
      </c>
      <c r="F21" t="inlineStr">
        <is>
          <t>Walk-In</t>
        </is>
      </c>
      <c r="G21" s="27" t="n">
        <v>5</v>
      </c>
      <c r="H21" t="inlineStr">
        <is>
          <t>Ankle Injury</t>
        </is>
      </c>
      <c r="I21" t="n">
        <v>83</v>
      </c>
      <c r="J21" t="n">
        <v>147</v>
      </c>
      <c r="K21" s="28">
        <f>I21/J21</f>
        <v/>
      </c>
      <c r="L21" s="27" t="n">
        <v>102</v>
      </c>
      <c r="M21" t="inlineStr">
        <is>
          <t>Discharged</t>
        </is>
      </c>
    </row>
    <row r="22">
      <c r="A22" t="inlineStr">
        <is>
          <t>ED206253</t>
        </is>
      </c>
      <c r="B22" t="inlineStr">
        <is>
          <t>PT10668</t>
        </is>
      </c>
      <c r="C22" s="26" t="n">
        <v>45667.55763888889</v>
      </c>
      <c r="D22" t="inlineStr">
        <is>
          <t>Fri</t>
        </is>
      </c>
      <c r="E22" s="27" t="n">
        <v>13</v>
      </c>
      <c r="F22" t="inlineStr">
        <is>
          <t>Walk-In</t>
        </is>
      </c>
      <c r="G22" s="27" t="n">
        <v>5</v>
      </c>
      <c r="H22" t="inlineStr">
        <is>
          <t>Cough / Fever</t>
        </is>
      </c>
      <c r="I22" t="n">
        <v>65</v>
      </c>
      <c r="J22" t="n">
        <v>152</v>
      </c>
      <c r="K22" s="28">
        <f>I22/J22</f>
        <v/>
      </c>
      <c r="L22" s="27" t="n">
        <v>63</v>
      </c>
      <c r="M22" t="inlineStr">
        <is>
          <t>Discharged</t>
        </is>
      </c>
    </row>
    <row r="23">
      <c r="A23" s="29" t="inlineStr">
        <is>
          <t>ED206263</t>
        </is>
      </c>
      <c r="B23" s="29" t="inlineStr">
        <is>
          <t>PT12060</t>
        </is>
      </c>
      <c r="C23" s="30" t="n">
        <v>45667.83680555555</v>
      </c>
      <c r="D23" s="29" t="inlineStr">
        <is>
          <t>Fri</t>
        </is>
      </c>
      <c r="E23" s="31" t="n">
        <v>20</v>
      </c>
      <c r="F23" s="29" t="inlineStr">
        <is>
          <t>Walk-In</t>
        </is>
      </c>
      <c r="G23" s="31" t="n">
        <v>2</v>
      </c>
      <c r="H23" s="29" t="inlineStr">
        <is>
          <t>Fever / Altered Mental Status</t>
        </is>
      </c>
      <c r="I23" s="29" t="n">
        <v>123</v>
      </c>
      <c r="J23" s="29" t="n">
        <v>115</v>
      </c>
      <c r="K23" s="32">
        <f>I23/J23</f>
        <v/>
      </c>
      <c r="L23" s="31" t="n">
        <v>7</v>
      </c>
      <c r="M23" s="29" t="inlineStr">
        <is>
          <t>Admitted</t>
        </is>
      </c>
    </row>
    <row r="24">
      <c r="A24" t="inlineStr">
        <is>
          <t>ED206276</t>
        </is>
      </c>
      <c r="B24" t="inlineStr">
        <is>
          <t>PT12193</t>
        </is>
      </c>
      <c r="C24" s="26" t="n">
        <v>45668.55277777778</v>
      </c>
      <c r="D24" t="inlineStr">
        <is>
          <t>Sat</t>
        </is>
      </c>
      <c r="E24" s="27" t="n">
        <v>13</v>
      </c>
      <c r="F24" t="inlineStr">
        <is>
          <t>Walk-In</t>
        </is>
      </c>
      <c r="G24" s="27" t="n">
        <v>3</v>
      </c>
      <c r="H24" t="inlineStr">
        <is>
          <t>Rash</t>
        </is>
      </c>
      <c r="I24" t="n">
        <v>87</v>
      </c>
      <c r="J24" t="n">
        <v>131</v>
      </c>
      <c r="K24" s="28">
        <f>I24/J24</f>
        <v/>
      </c>
      <c r="L24" s="27" t="n">
        <v>49</v>
      </c>
      <c r="M24" t="inlineStr">
        <is>
          <t>Admitted</t>
        </is>
      </c>
    </row>
    <row r="25">
      <c r="A25" t="inlineStr">
        <is>
          <t>ED206283</t>
        </is>
      </c>
      <c r="B25" t="inlineStr">
        <is>
          <t>PT12264</t>
        </is>
      </c>
      <c r="C25" s="26" t="n">
        <v>45668.67013888889</v>
      </c>
      <c r="D25" t="inlineStr">
        <is>
          <t>Sat</t>
        </is>
      </c>
      <c r="E25" s="27" t="n">
        <v>16</v>
      </c>
      <c r="F25" t="inlineStr">
        <is>
          <t>Ambulance</t>
        </is>
      </c>
      <c r="G25" s="27" t="n">
        <v>3</v>
      </c>
      <c r="H25" t="inlineStr">
        <is>
          <t>Confusion</t>
        </is>
      </c>
      <c r="I25" t="n">
        <v>78</v>
      </c>
      <c r="J25" t="n">
        <v>146</v>
      </c>
      <c r="K25" s="28">
        <f>I25/J25</f>
        <v/>
      </c>
      <c r="L25" s="27" t="n">
        <v>46</v>
      </c>
      <c r="M25" t="inlineStr">
        <is>
          <t>Admitted</t>
        </is>
      </c>
    </row>
    <row r="26">
      <c r="A26" t="inlineStr">
        <is>
          <t>ED206291</t>
        </is>
      </c>
      <c r="B26" t="inlineStr">
        <is>
          <t>PT11371</t>
        </is>
      </c>
      <c r="C26" s="26" t="n">
        <v>45668.97083333333</v>
      </c>
      <c r="D26" t="inlineStr">
        <is>
          <t>Sat</t>
        </is>
      </c>
      <c r="E26" s="27" t="n">
        <v>23</v>
      </c>
      <c r="F26" t="inlineStr">
        <is>
          <t>Walk-In</t>
        </is>
      </c>
      <c r="G26" s="27" t="n">
        <v>3</v>
      </c>
      <c r="H26" t="inlineStr">
        <is>
          <t>Weakness / Fatigue</t>
        </is>
      </c>
      <c r="I26" t="n">
        <v>91</v>
      </c>
      <c r="J26" t="n">
        <v>131</v>
      </c>
      <c r="K26" s="28">
        <f>I26/J26</f>
        <v/>
      </c>
      <c r="L26" s="27" t="n">
        <v>44</v>
      </c>
      <c r="M26" t="inlineStr">
        <is>
          <t>Admitted</t>
        </is>
      </c>
    </row>
    <row r="27">
      <c r="A27" t="inlineStr">
        <is>
          <t>ED206293</t>
        </is>
      </c>
      <c r="B27" t="inlineStr">
        <is>
          <t>PT13426</t>
        </is>
      </c>
      <c r="C27" s="26" t="n">
        <v>45669.19930555556</v>
      </c>
      <c r="D27" t="inlineStr">
        <is>
          <t>Sun</t>
        </is>
      </c>
      <c r="E27" s="27" t="n">
        <v>4</v>
      </c>
      <c r="F27" t="inlineStr">
        <is>
          <t>Walk-In</t>
        </is>
      </c>
      <c r="G27" s="27" t="n">
        <v>4</v>
      </c>
      <c r="H27" t="inlineStr">
        <is>
          <t>Shortness of Breath</t>
        </is>
      </c>
      <c r="I27" t="n">
        <v>96</v>
      </c>
      <c r="J27" t="n">
        <v>129</v>
      </c>
      <c r="K27" s="28">
        <f>I27/J27</f>
        <v/>
      </c>
      <c r="L27" s="27" t="n">
        <v>31</v>
      </c>
      <c r="M27" t="inlineStr">
        <is>
          <t>Discharged</t>
        </is>
      </c>
    </row>
    <row r="28">
      <c r="A28" t="inlineStr">
        <is>
          <t>ED206295</t>
        </is>
      </c>
      <c r="B28" t="inlineStr">
        <is>
          <t>PT10076</t>
        </is>
      </c>
      <c r="C28" s="26" t="n">
        <v>45669.37152777778</v>
      </c>
      <c r="D28" t="inlineStr">
        <is>
          <t>Sun</t>
        </is>
      </c>
      <c r="E28" s="27" t="n">
        <v>8</v>
      </c>
      <c r="F28" t="inlineStr">
        <is>
          <t>Walk-In</t>
        </is>
      </c>
      <c r="G28" s="27" t="n">
        <v>4</v>
      </c>
      <c r="H28" t="inlineStr">
        <is>
          <t>Anxiety / Palpitations</t>
        </is>
      </c>
      <c r="I28" t="n">
        <v>78</v>
      </c>
      <c r="J28" t="n">
        <v>115</v>
      </c>
      <c r="K28" s="28">
        <f>I28/J28</f>
        <v/>
      </c>
      <c r="L28" s="27" t="n">
        <v>125</v>
      </c>
      <c r="M28" t="inlineStr">
        <is>
          <t>Discharged</t>
        </is>
      </c>
    </row>
    <row r="29">
      <c r="A29" t="inlineStr">
        <is>
          <t>ED206296</t>
        </is>
      </c>
      <c r="B29" t="inlineStr">
        <is>
          <t>PT11101</t>
        </is>
      </c>
      <c r="C29" s="26" t="n">
        <v>45669.40138888889</v>
      </c>
      <c r="D29" t="inlineStr">
        <is>
          <t>Sun</t>
        </is>
      </c>
      <c r="E29" s="27" t="n">
        <v>9</v>
      </c>
      <c r="F29" t="inlineStr">
        <is>
          <t>Walk-In</t>
        </is>
      </c>
      <c r="G29" s="27" t="n">
        <v>2</v>
      </c>
      <c r="H29" t="inlineStr">
        <is>
          <t>Cough / Fever</t>
        </is>
      </c>
      <c r="I29" t="n">
        <v>104</v>
      </c>
      <c r="J29" t="n">
        <v>148</v>
      </c>
      <c r="K29" s="28">
        <f>I29/J29</f>
        <v/>
      </c>
      <c r="L29" s="27" t="n">
        <v>21</v>
      </c>
      <c r="M29" t="inlineStr">
        <is>
          <t>Admitted</t>
        </is>
      </c>
    </row>
    <row r="30">
      <c r="A30" t="inlineStr">
        <is>
          <t>ED206307</t>
        </is>
      </c>
      <c r="B30" t="inlineStr">
        <is>
          <t>PT13991</t>
        </is>
      </c>
      <c r="C30" s="26" t="n">
        <v>45669.66458333333</v>
      </c>
      <c r="D30" t="inlineStr">
        <is>
          <t>Sun</t>
        </is>
      </c>
      <c r="E30" s="27" t="n">
        <v>15</v>
      </c>
      <c r="F30" t="inlineStr">
        <is>
          <t>Walk-In</t>
        </is>
      </c>
      <c r="G30" s="27" t="n">
        <v>3</v>
      </c>
      <c r="H30" t="inlineStr">
        <is>
          <t>Painful Urination / Fever</t>
        </is>
      </c>
      <c r="I30" t="n">
        <v>69</v>
      </c>
      <c r="J30" t="n">
        <v>124</v>
      </c>
      <c r="K30" s="28">
        <f>I30/J30</f>
        <v/>
      </c>
      <c r="L30" s="27" t="n">
        <v>156</v>
      </c>
      <c r="M30" t="inlineStr">
        <is>
          <t>Observation</t>
        </is>
      </c>
    </row>
    <row r="31">
      <c r="A31" t="inlineStr">
        <is>
          <t>ED206311</t>
        </is>
      </c>
      <c r="B31" t="inlineStr">
        <is>
          <t>PT13531</t>
        </is>
      </c>
      <c r="C31" s="26" t="n">
        <v>45669.7625</v>
      </c>
      <c r="D31" t="inlineStr">
        <is>
          <t>Sun</t>
        </is>
      </c>
      <c r="E31" s="27" t="n">
        <v>18</v>
      </c>
      <c r="F31" t="inlineStr">
        <is>
          <t>Walk-In</t>
        </is>
      </c>
      <c r="G31" s="27" t="n">
        <v>4</v>
      </c>
      <c r="H31" t="inlineStr">
        <is>
          <t>Abdominal Pain</t>
        </is>
      </c>
      <c r="I31" t="n">
        <v>61</v>
      </c>
      <c r="J31" t="n">
        <v>130</v>
      </c>
      <c r="K31" s="28">
        <f>I31/J31</f>
        <v/>
      </c>
      <c r="L31" s="27" t="n">
        <v>99</v>
      </c>
      <c r="M31" t="inlineStr">
        <is>
          <t>Discharged</t>
        </is>
      </c>
    </row>
    <row r="32">
      <c r="A32" t="inlineStr">
        <is>
          <t>ED206329</t>
        </is>
      </c>
      <c r="B32" t="inlineStr">
        <is>
          <t>PT10814</t>
        </is>
      </c>
      <c r="C32" s="26" t="n">
        <v>45670.54930555556</v>
      </c>
      <c r="D32" t="inlineStr">
        <is>
          <t>Mon</t>
        </is>
      </c>
      <c r="E32" s="27" t="n">
        <v>13</v>
      </c>
      <c r="F32" t="inlineStr">
        <is>
          <t>Walk-In</t>
        </is>
      </c>
      <c r="G32" s="27" t="n">
        <v>5</v>
      </c>
      <c r="H32" t="inlineStr">
        <is>
          <t>Ankle Injury</t>
        </is>
      </c>
      <c r="I32" t="n">
        <v>71</v>
      </c>
      <c r="J32" t="n">
        <v>99</v>
      </c>
      <c r="K32" s="28">
        <f>I32/J32</f>
        <v/>
      </c>
      <c r="L32" s="27" t="n">
        <v>151</v>
      </c>
      <c r="M32" t="inlineStr">
        <is>
          <t>Discharged</t>
        </is>
      </c>
    </row>
    <row r="33">
      <c r="A33" t="inlineStr">
        <is>
          <t>ED206332</t>
        </is>
      </c>
      <c r="B33" t="inlineStr">
        <is>
          <t>PT12484</t>
        </is>
      </c>
      <c r="C33" s="26" t="n">
        <v>45670.59444444445</v>
      </c>
      <c r="D33" t="inlineStr">
        <is>
          <t>Mon</t>
        </is>
      </c>
      <c r="E33" s="27" t="n">
        <v>14</v>
      </c>
      <c r="F33" t="inlineStr">
        <is>
          <t>Walk-In</t>
        </is>
      </c>
      <c r="G33" s="27" t="n">
        <v>3</v>
      </c>
      <c r="H33" t="inlineStr">
        <is>
          <t>Shortness of Breath</t>
        </is>
      </c>
      <c r="I33" t="n">
        <v>80</v>
      </c>
      <c r="J33" t="n">
        <v>145</v>
      </c>
      <c r="K33" s="28">
        <f>I33/J33</f>
        <v/>
      </c>
      <c r="L33" s="27" t="n">
        <v>107</v>
      </c>
      <c r="M33" t="inlineStr">
        <is>
          <t>Admitted</t>
        </is>
      </c>
    </row>
    <row r="34">
      <c r="A34" t="inlineStr">
        <is>
          <t>ED206352</t>
        </is>
      </c>
      <c r="B34" t="inlineStr">
        <is>
          <t>PT10219</t>
        </is>
      </c>
      <c r="C34" s="26" t="n">
        <v>45671.64513888889</v>
      </c>
      <c r="D34" t="inlineStr">
        <is>
          <t>Tue</t>
        </is>
      </c>
      <c r="E34" s="27" t="n">
        <v>15</v>
      </c>
      <c r="F34" t="inlineStr">
        <is>
          <t>Walk-In</t>
        </is>
      </c>
      <c r="G34" s="27" t="n">
        <v>4</v>
      </c>
      <c r="H34" t="inlineStr">
        <is>
          <t>Abdominal Pain</t>
        </is>
      </c>
      <c r="I34" t="n">
        <v>82</v>
      </c>
      <c r="K34" s="28">
        <f>I34/J34</f>
        <v/>
      </c>
      <c r="L34" s="27" t="n"/>
      <c r="M34" t="inlineStr">
        <is>
          <t>LWBS</t>
        </is>
      </c>
    </row>
    <row r="35">
      <c r="A35" t="inlineStr">
        <is>
          <t>ED206353</t>
        </is>
      </c>
      <c r="B35" t="inlineStr">
        <is>
          <t>PT11403</t>
        </is>
      </c>
      <c r="C35" s="26" t="n">
        <v>45671.64652777778</v>
      </c>
      <c r="D35" t="inlineStr">
        <is>
          <t>Tue</t>
        </is>
      </c>
      <c r="E35" s="27" t="n">
        <v>15</v>
      </c>
      <c r="F35" t="inlineStr">
        <is>
          <t>Ambulance</t>
        </is>
      </c>
      <c r="G35" s="27" t="n">
        <v>2</v>
      </c>
      <c r="H35" t="inlineStr">
        <is>
          <t>Chest Pain</t>
        </is>
      </c>
      <c r="I35" t="n">
        <v>84</v>
      </c>
      <c r="J35" t="n">
        <v>158</v>
      </c>
      <c r="K35" s="28">
        <f>I35/J35</f>
        <v/>
      </c>
      <c r="L35" s="27" t="n">
        <v>12</v>
      </c>
      <c r="M35" t="inlineStr">
        <is>
          <t>Discharged</t>
        </is>
      </c>
    </row>
    <row r="36">
      <c r="A36" t="inlineStr">
        <is>
          <t>ED206364</t>
        </is>
      </c>
      <c r="B36" t="inlineStr">
        <is>
          <t>PT11719</t>
        </is>
      </c>
      <c r="C36" s="26" t="n">
        <v>45672.44444444445</v>
      </c>
      <c r="D36" t="inlineStr">
        <is>
          <t>Wed</t>
        </is>
      </c>
      <c r="E36" s="27" t="n">
        <v>10</v>
      </c>
      <c r="F36" t="inlineStr">
        <is>
          <t>Walk-In</t>
        </is>
      </c>
      <c r="G36" s="27" t="n">
        <v>4</v>
      </c>
      <c r="H36" t="inlineStr">
        <is>
          <t>Cough / Fever</t>
        </is>
      </c>
      <c r="I36" t="n">
        <v>106</v>
      </c>
      <c r="K36" s="28">
        <f>I36/J36</f>
        <v/>
      </c>
      <c r="L36" s="27" t="n"/>
      <c r="M36" t="inlineStr">
        <is>
          <t>LWBS</t>
        </is>
      </c>
    </row>
    <row r="37">
      <c r="A37" t="inlineStr">
        <is>
          <t>ED206369</t>
        </is>
      </c>
      <c r="B37" t="inlineStr">
        <is>
          <t>PT12494</t>
        </is>
      </c>
      <c r="C37" s="26" t="n">
        <v>45672.65347222222</v>
      </c>
      <c r="D37" t="inlineStr">
        <is>
          <t>Wed</t>
        </is>
      </c>
      <c r="E37" s="27" t="n">
        <v>15</v>
      </c>
      <c r="F37" t="inlineStr">
        <is>
          <t>Walk-In</t>
        </is>
      </c>
      <c r="G37" s="27" t="n">
        <v>3</v>
      </c>
      <c r="H37" t="inlineStr">
        <is>
          <t>Shortness of Breath</t>
        </is>
      </c>
      <c r="I37" t="n">
        <v>109</v>
      </c>
      <c r="J37" t="n">
        <v>121</v>
      </c>
      <c r="K37" s="28">
        <f>I37/J37</f>
        <v/>
      </c>
      <c r="L37" s="27" t="n">
        <v>63</v>
      </c>
      <c r="M37" t="inlineStr">
        <is>
          <t>Admitted</t>
        </is>
      </c>
    </row>
    <row r="38">
      <c r="A38" t="inlineStr">
        <is>
          <t>ED206371</t>
        </is>
      </c>
      <c r="B38" t="inlineStr">
        <is>
          <t>PT10171</t>
        </is>
      </c>
      <c r="C38" s="26" t="n">
        <v>45672.7</v>
      </c>
      <c r="D38" t="inlineStr">
        <is>
          <t>Wed</t>
        </is>
      </c>
      <c r="E38" s="27" t="n">
        <v>16</v>
      </c>
      <c r="F38" t="inlineStr">
        <is>
          <t>Walk-In</t>
        </is>
      </c>
      <c r="G38" s="27" t="n">
        <v>3</v>
      </c>
      <c r="H38" t="inlineStr">
        <is>
          <t>High Blood Sugar</t>
        </is>
      </c>
      <c r="I38" t="n">
        <v>106</v>
      </c>
      <c r="J38" t="n">
        <v>129</v>
      </c>
      <c r="K38" s="28">
        <f>I38/J38</f>
        <v/>
      </c>
      <c r="L38" s="27" t="n">
        <v>55</v>
      </c>
      <c r="M38" t="inlineStr">
        <is>
          <t>Admitted</t>
        </is>
      </c>
    </row>
    <row r="39">
      <c r="A39" t="inlineStr">
        <is>
          <t>ED206373</t>
        </is>
      </c>
      <c r="B39" t="inlineStr">
        <is>
          <t>PT12893</t>
        </is>
      </c>
      <c r="C39" s="26" t="n">
        <v>45672.80069444444</v>
      </c>
      <c r="D39" t="inlineStr">
        <is>
          <t>Wed</t>
        </is>
      </c>
      <c r="E39" s="27" t="n">
        <v>19</v>
      </c>
      <c r="F39" t="inlineStr">
        <is>
          <t>Walk-In</t>
        </is>
      </c>
      <c r="G39" s="27" t="n">
        <v>4</v>
      </c>
      <c r="H39" t="inlineStr">
        <is>
          <t>Abdominal Pain</t>
        </is>
      </c>
      <c r="I39" t="n">
        <v>76</v>
      </c>
      <c r="J39" t="n">
        <v>103</v>
      </c>
      <c r="K39" s="28">
        <f>I39/J39</f>
        <v/>
      </c>
      <c r="L39" s="27" t="n">
        <v>39</v>
      </c>
      <c r="M39" t="inlineStr">
        <is>
          <t>Observation</t>
        </is>
      </c>
    </row>
    <row r="40">
      <c r="A40" t="inlineStr">
        <is>
          <t>ED206375</t>
        </is>
      </c>
      <c r="B40" t="inlineStr">
        <is>
          <t>PT10610</t>
        </is>
      </c>
      <c r="C40" s="26" t="n">
        <v>45672.84583333333</v>
      </c>
      <c r="D40" t="inlineStr">
        <is>
          <t>Wed</t>
        </is>
      </c>
      <c r="E40" s="27" t="n">
        <v>20</v>
      </c>
      <c r="F40" t="inlineStr">
        <is>
          <t>Ambulance</t>
        </is>
      </c>
      <c r="G40" s="27" t="n">
        <v>3</v>
      </c>
      <c r="H40" t="inlineStr">
        <is>
          <t>Painful Urination / Fever</t>
        </is>
      </c>
      <c r="I40" t="n">
        <v>86</v>
      </c>
      <c r="J40" t="n">
        <v>134</v>
      </c>
      <c r="K40" s="28">
        <f>I40/J40</f>
        <v/>
      </c>
      <c r="L40" s="27" t="n">
        <v>24</v>
      </c>
      <c r="M40" t="inlineStr">
        <is>
          <t>Admitted</t>
        </is>
      </c>
    </row>
    <row r="41">
      <c r="A41" t="inlineStr">
        <is>
          <t>ED206379</t>
        </is>
      </c>
      <c r="B41" t="inlineStr">
        <is>
          <t>PT12636</t>
        </is>
      </c>
      <c r="C41" s="26" t="n">
        <v>45673.00277777778</v>
      </c>
      <c r="D41" t="inlineStr">
        <is>
          <t>Thu</t>
        </is>
      </c>
      <c r="E41" s="27" t="n">
        <v>0</v>
      </c>
      <c r="F41" t="inlineStr">
        <is>
          <t>Walk-In</t>
        </is>
      </c>
      <c r="G41" s="27" t="n">
        <v>3</v>
      </c>
      <c r="H41" t="inlineStr">
        <is>
          <t>Palpitations</t>
        </is>
      </c>
      <c r="I41" t="n">
        <v>139</v>
      </c>
      <c r="J41" t="n">
        <v>112</v>
      </c>
      <c r="K41" s="28">
        <f>I41/J41</f>
        <v/>
      </c>
      <c r="L41" s="27" t="n">
        <v>40</v>
      </c>
      <c r="M41" t="inlineStr">
        <is>
          <t>Admitted</t>
        </is>
      </c>
    </row>
    <row r="42">
      <c r="A42" t="inlineStr">
        <is>
          <t>ED206380</t>
        </is>
      </c>
      <c r="B42" t="inlineStr">
        <is>
          <t>PT13821</t>
        </is>
      </c>
      <c r="C42" s="26" t="n">
        <v>45673.21875</v>
      </c>
      <c r="D42" t="inlineStr">
        <is>
          <t>Thu</t>
        </is>
      </c>
      <c r="E42" s="27" t="n">
        <v>5</v>
      </c>
      <c r="F42" t="inlineStr">
        <is>
          <t>Ambulance</t>
        </is>
      </c>
      <c r="G42" s="27" t="n">
        <v>1</v>
      </c>
      <c r="H42" t="inlineStr">
        <is>
          <t>Fever / Altered Mental Status</t>
        </is>
      </c>
      <c r="I42" t="n">
        <v>89</v>
      </c>
      <c r="J42" t="n">
        <v>74</v>
      </c>
      <c r="K42" s="28">
        <f>I42/J42</f>
        <v/>
      </c>
      <c r="L42" s="27" t="n">
        <v>3</v>
      </c>
      <c r="M42" t="inlineStr">
        <is>
          <t>Admitted</t>
        </is>
      </c>
    </row>
    <row r="43">
      <c r="A43" t="inlineStr">
        <is>
          <t>ED206396</t>
        </is>
      </c>
      <c r="B43" t="inlineStr">
        <is>
          <t>PT10120</t>
        </is>
      </c>
      <c r="C43" s="26" t="n">
        <v>45673.93958333333</v>
      </c>
      <c r="D43" t="inlineStr">
        <is>
          <t>Thu</t>
        </is>
      </c>
      <c r="E43" s="27" t="n">
        <v>22</v>
      </c>
      <c r="F43" t="inlineStr">
        <is>
          <t>Walk-In</t>
        </is>
      </c>
      <c r="G43" s="27" t="n">
        <v>3</v>
      </c>
      <c r="H43" t="inlineStr">
        <is>
          <t>Painful Urination / Fever</t>
        </is>
      </c>
      <c r="I43" t="n">
        <v>72</v>
      </c>
      <c r="J43" t="n">
        <v>143</v>
      </c>
      <c r="K43" s="28">
        <f>I43/J43</f>
        <v/>
      </c>
      <c r="L43" s="27" t="n">
        <v>66</v>
      </c>
      <c r="M43" t="inlineStr">
        <is>
          <t>Discharged</t>
        </is>
      </c>
    </row>
    <row r="44">
      <c r="A44" t="inlineStr">
        <is>
          <t>ED206401</t>
        </is>
      </c>
      <c r="B44" t="inlineStr">
        <is>
          <t>PT13751</t>
        </is>
      </c>
      <c r="C44" s="26" t="n">
        <v>45674.37777777778</v>
      </c>
      <c r="D44" t="inlineStr">
        <is>
          <t>Fri</t>
        </is>
      </c>
      <c r="E44" s="27" t="n">
        <v>9</v>
      </c>
      <c r="F44" t="inlineStr">
        <is>
          <t>Walk-In</t>
        </is>
      </c>
      <c r="G44" s="27" t="n">
        <v>2</v>
      </c>
      <c r="H44" t="inlineStr">
        <is>
          <t>Shortness of Breath</t>
        </is>
      </c>
      <c r="I44" t="n">
        <v>82</v>
      </c>
      <c r="J44" t="n">
        <v>158</v>
      </c>
      <c r="K44" s="28">
        <f>I44/J44</f>
        <v/>
      </c>
      <c r="L44" s="27" t="n">
        <v>17</v>
      </c>
      <c r="M44" t="inlineStr">
        <is>
          <t>Observation</t>
        </is>
      </c>
    </row>
    <row r="45">
      <c r="A45" s="29" t="inlineStr">
        <is>
          <t>ED206412</t>
        </is>
      </c>
      <c r="B45" s="29" t="inlineStr">
        <is>
          <t>PT13940</t>
        </is>
      </c>
      <c r="C45" s="30" t="n">
        <v>45674.72222222222</v>
      </c>
      <c r="D45" s="29" t="inlineStr">
        <is>
          <t>Fri</t>
        </is>
      </c>
      <c r="E45" s="31" t="n">
        <v>17</v>
      </c>
      <c r="F45" s="29" t="inlineStr">
        <is>
          <t>Walk-In</t>
        </is>
      </c>
      <c r="G45" s="31" t="n">
        <v>3</v>
      </c>
      <c r="H45" s="29" t="inlineStr">
        <is>
          <t>Cough / Fever</t>
        </is>
      </c>
      <c r="I45" s="29" t="n">
        <v>105</v>
      </c>
      <c r="J45" s="29" t="n">
        <v>113</v>
      </c>
      <c r="K45" s="32">
        <f>I45/J45</f>
        <v/>
      </c>
      <c r="L45" s="31" t="n">
        <v>62</v>
      </c>
      <c r="M45" s="29" t="inlineStr">
        <is>
          <t>Observation</t>
        </is>
      </c>
    </row>
    <row r="46">
      <c r="A46" t="inlineStr">
        <is>
          <t>ED206426</t>
        </is>
      </c>
      <c r="B46" t="inlineStr">
        <is>
          <t>PT13603</t>
        </is>
      </c>
      <c r="C46" s="26" t="n">
        <v>45675.46597222222</v>
      </c>
      <c r="D46" t="inlineStr">
        <is>
          <t>Sat</t>
        </is>
      </c>
      <c r="E46" s="27" t="n">
        <v>11</v>
      </c>
      <c r="F46" t="inlineStr">
        <is>
          <t>Walk-In</t>
        </is>
      </c>
      <c r="G46" s="27" t="n">
        <v>2</v>
      </c>
      <c r="H46" t="inlineStr">
        <is>
          <t>Shortness of Breath</t>
        </is>
      </c>
      <c r="I46" t="n">
        <v>94</v>
      </c>
      <c r="J46" t="n">
        <v>112</v>
      </c>
      <c r="K46" s="28">
        <f>I46/J46</f>
        <v/>
      </c>
      <c r="L46" s="27" t="n">
        <v>10</v>
      </c>
      <c r="M46" t="inlineStr">
        <is>
          <t>Admitted</t>
        </is>
      </c>
    </row>
    <row r="47">
      <c r="A47" t="inlineStr">
        <is>
          <t>ED206433</t>
        </is>
      </c>
      <c r="B47" t="inlineStr">
        <is>
          <t>PT12325</t>
        </is>
      </c>
      <c r="C47" s="26" t="n">
        <v>45676.38611111111</v>
      </c>
      <c r="D47" t="inlineStr">
        <is>
          <t>Sun</t>
        </is>
      </c>
      <c r="E47" s="27" t="n">
        <v>9</v>
      </c>
      <c r="F47" t="inlineStr">
        <is>
          <t>Walk-In</t>
        </is>
      </c>
      <c r="G47" s="27" t="n">
        <v>3</v>
      </c>
      <c r="H47" t="inlineStr">
        <is>
          <t>Chest Pain</t>
        </is>
      </c>
      <c r="I47" t="n">
        <v>79</v>
      </c>
      <c r="J47" t="n">
        <v>149</v>
      </c>
      <c r="K47" s="28">
        <f>I47/J47</f>
        <v/>
      </c>
      <c r="L47" s="27" t="n">
        <v>34</v>
      </c>
      <c r="M47" t="inlineStr">
        <is>
          <t>Observation</t>
        </is>
      </c>
    </row>
    <row r="48">
      <c r="A48" t="inlineStr">
        <is>
          <t>ED206446</t>
        </is>
      </c>
      <c r="B48" t="inlineStr">
        <is>
          <t>PT11842</t>
        </is>
      </c>
      <c r="C48" s="26" t="n">
        <v>45676.86875</v>
      </c>
      <c r="D48" t="inlineStr">
        <is>
          <t>Sun</t>
        </is>
      </c>
      <c r="E48" s="27" t="n">
        <v>20</v>
      </c>
      <c r="F48" t="inlineStr">
        <is>
          <t>Walk-In</t>
        </is>
      </c>
      <c r="G48" s="27" t="n">
        <v>4</v>
      </c>
      <c r="H48" t="inlineStr">
        <is>
          <t>Cough / Fever</t>
        </is>
      </c>
      <c r="I48" t="n">
        <v>71</v>
      </c>
      <c r="J48" t="n">
        <v>143</v>
      </c>
      <c r="K48" s="28">
        <f>I48/J48</f>
        <v/>
      </c>
      <c r="L48" s="27" t="n">
        <v>89</v>
      </c>
      <c r="M48" t="inlineStr">
        <is>
          <t>Discharged</t>
        </is>
      </c>
    </row>
    <row r="49">
      <c r="A49" t="inlineStr">
        <is>
          <t>ED206452</t>
        </is>
      </c>
      <c r="B49" t="inlineStr">
        <is>
          <t>PT13424</t>
        </is>
      </c>
      <c r="C49" s="26" t="n">
        <v>45677.46736111111</v>
      </c>
      <c r="D49" t="inlineStr">
        <is>
          <t>Mon</t>
        </is>
      </c>
      <c r="E49" s="27" t="n">
        <v>11</v>
      </c>
      <c r="F49" t="inlineStr">
        <is>
          <t>Walk-In</t>
        </is>
      </c>
      <c r="G49" s="27" t="n">
        <v>3</v>
      </c>
      <c r="H49" t="inlineStr">
        <is>
          <t>Painful Urination / Fever</t>
        </is>
      </c>
      <c r="I49" t="n">
        <v>79</v>
      </c>
      <c r="J49" t="n">
        <v>157</v>
      </c>
      <c r="K49" s="28">
        <f>I49/J49</f>
        <v/>
      </c>
      <c r="L49" s="27" t="n">
        <v>58</v>
      </c>
      <c r="M49" t="inlineStr">
        <is>
          <t>Discharged</t>
        </is>
      </c>
    </row>
    <row r="50">
      <c r="A50" t="inlineStr">
        <is>
          <t>ED206457</t>
        </is>
      </c>
      <c r="B50" t="inlineStr">
        <is>
          <t>PT12860</t>
        </is>
      </c>
      <c r="C50" s="26" t="n">
        <v>45677.62569444445</v>
      </c>
      <c r="D50" t="inlineStr">
        <is>
          <t>Mon</t>
        </is>
      </c>
      <c r="E50" s="27" t="n">
        <v>15</v>
      </c>
      <c r="F50" t="inlineStr">
        <is>
          <t>Walk-In</t>
        </is>
      </c>
      <c r="G50" s="27" t="n">
        <v>5</v>
      </c>
      <c r="H50" t="inlineStr">
        <is>
          <t>Back Pain</t>
        </is>
      </c>
      <c r="I50" t="n">
        <v>99</v>
      </c>
      <c r="J50" t="n">
        <v>130</v>
      </c>
      <c r="K50" s="28">
        <f>I50/J50</f>
        <v/>
      </c>
      <c r="L50" s="27" t="n">
        <v>117</v>
      </c>
      <c r="M50" t="inlineStr">
        <is>
          <t>Discharged</t>
        </is>
      </c>
    </row>
    <row r="51">
      <c r="A51" t="inlineStr">
        <is>
          <t>ED206464</t>
        </is>
      </c>
      <c r="B51" t="inlineStr">
        <is>
          <t>PT13218</t>
        </is>
      </c>
      <c r="C51" s="26" t="n">
        <v>45677.94722222222</v>
      </c>
      <c r="D51" t="inlineStr">
        <is>
          <t>Mon</t>
        </is>
      </c>
      <c r="E51" s="27" t="n">
        <v>22</v>
      </c>
      <c r="F51" t="inlineStr">
        <is>
          <t>Ambulance</t>
        </is>
      </c>
      <c r="G51" s="27" t="n">
        <v>2</v>
      </c>
      <c r="H51" t="inlineStr">
        <is>
          <t>Cough / Fever</t>
        </is>
      </c>
      <c r="I51" t="n">
        <v>106</v>
      </c>
      <c r="J51" t="n">
        <v>120</v>
      </c>
      <c r="K51" s="28">
        <f>I51/J51</f>
        <v/>
      </c>
      <c r="L51" s="27" t="n">
        <v>11</v>
      </c>
      <c r="M51" t="inlineStr">
        <is>
          <t>Admitted</t>
        </is>
      </c>
    </row>
    <row r="52">
      <c r="A52" t="inlineStr">
        <is>
          <t>ED206491</t>
        </is>
      </c>
      <c r="B52" t="inlineStr">
        <is>
          <t>PT13134</t>
        </is>
      </c>
      <c r="C52" s="26" t="n">
        <v>45679.03194444445</v>
      </c>
      <c r="D52" t="inlineStr">
        <is>
          <t>Wed</t>
        </is>
      </c>
      <c r="E52" s="27" t="n">
        <v>0</v>
      </c>
      <c r="F52" t="inlineStr">
        <is>
          <t>Walk-In</t>
        </is>
      </c>
      <c r="G52" s="27" t="n">
        <v>5</v>
      </c>
      <c r="H52" t="inlineStr">
        <is>
          <t>Headache</t>
        </is>
      </c>
      <c r="I52" t="n">
        <v>92</v>
      </c>
      <c r="J52" t="n">
        <v>176</v>
      </c>
      <c r="K52" s="28">
        <f>I52/J52</f>
        <v/>
      </c>
      <c r="L52" s="27" t="n">
        <v>27</v>
      </c>
      <c r="M52" t="inlineStr">
        <is>
          <t>Discharged</t>
        </is>
      </c>
    </row>
    <row r="53">
      <c r="A53" t="inlineStr">
        <is>
          <t>ED206492</t>
        </is>
      </c>
      <c r="B53" t="inlineStr">
        <is>
          <t>PT12636</t>
        </is>
      </c>
      <c r="C53" s="26" t="n">
        <v>45679.21597222222</v>
      </c>
      <c r="D53" t="inlineStr">
        <is>
          <t>Wed</t>
        </is>
      </c>
      <c r="E53" s="27" t="n">
        <v>5</v>
      </c>
      <c r="F53" t="inlineStr">
        <is>
          <t>Walk-In</t>
        </is>
      </c>
      <c r="G53" s="27" t="n">
        <v>3</v>
      </c>
      <c r="H53" t="inlineStr">
        <is>
          <t>Chest Pain</t>
        </is>
      </c>
      <c r="I53" t="n">
        <v>95</v>
      </c>
      <c r="J53" t="n">
        <v>116</v>
      </c>
      <c r="K53" s="28">
        <f>I53/J53</f>
        <v/>
      </c>
      <c r="L53" s="27" t="n">
        <v>20</v>
      </c>
      <c r="M53" t="inlineStr">
        <is>
          <t>Discharged</t>
        </is>
      </c>
    </row>
    <row r="54">
      <c r="A54" t="inlineStr">
        <is>
          <t>ED206499</t>
        </is>
      </c>
      <c r="B54" t="inlineStr">
        <is>
          <t>PT13408</t>
        </is>
      </c>
      <c r="C54" s="26" t="n">
        <v>45679.52847222222</v>
      </c>
      <c r="D54" t="inlineStr">
        <is>
          <t>Wed</t>
        </is>
      </c>
      <c r="E54" s="27" t="n">
        <v>12</v>
      </c>
      <c r="F54" t="inlineStr">
        <is>
          <t>Walk-In</t>
        </is>
      </c>
      <c r="G54" s="27" t="n">
        <v>4</v>
      </c>
      <c r="H54" t="inlineStr">
        <is>
          <t>Cough / Fever</t>
        </is>
      </c>
      <c r="I54" t="n">
        <v>87</v>
      </c>
      <c r="J54" t="n">
        <v>145</v>
      </c>
      <c r="K54" s="28">
        <f>I54/J54</f>
        <v/>
      </c>
      <c r="L54" s="27" t="n">
        <v>125</v>
      </c>
      <c r="M54" t="inlineStr">
        <is>
          <t>Discharged</t>
        </is>
      </c>
    </row>
    <row r="55">
      <c r="A55" t="inlineStr">
        <is>
          <t>ED206513</t>
        </is>
      </c>
      <c r="B55" t="inlineStr">
        <is>
          <t>PT11372</t>
        </is>
      </c>
      <c r="C55" s="26" t="n">
        <v>45679.8875</v>
      </c>
      <c r="D55" t="inlineStr">
        <is>
          <t>Wed</t>
        </is>
      </c>
      <c r="E55" s="27" t="n">
        <v>21</v>
      </c>
      <c r="F55" t="inlineStr">
        <is>
          <t>Walk-In</t>
        </is>
      </c>
      <c r="G55" s="27" t="n">
        <v>2</v>
      </c>
      <c r="H55" t="inlineStr">
        <is>
          <t>Rash</t>
        </is>
      </c>
      <c r="I55" t="n">
        <v>118</v>
      </c>
      <c r="J55" t="n">
        <v>114</v>
      </c>
      <c r="K55" s="28">
        <f>I55/J55</f>
        <v/>
      </c>
      <c r="L55" s="27" t="n">
        <v>69</v>
      </c>
      <c r="M55" t="inlineStr">
        <is>
          <t>Admitted</t>
        </is>
      </c>
    </row>
    <row r="56">
      <c r="A56" t="inlineStr">
        <is>
          <t>ED206515</t>
        </is>
      </c>
      <c r="B56" t="inlineStr">
        <is>
          <t>PT13090</t>
        </is>
      </c>
      <c r="C56" s="26" t="n">
        <v>45680.02986111111</v>
      </c>
      <c r="D56" t="inlineStr">
        <is>
          <t>Thu</t>
        </is>
      </c>
      <c r="E56" s="27" t="n">
        <v>0</v>
      </c>
      <c r="F56" t="inlineStr">
        <is>
          <t>Ambulance</t>
        </is>
      </c>
      <c r="G56" s="27" t="n">
        <v>2</v>
      </c>
      <c r="H56" t="inlineStr">
        <is>
          <t>Cough / Fever</t>
        </is>
      </c>
      <c r="I56" t="n">
        <v>104</v>
      </c>
      <c r="J56" t="n">
        <v>133</v>
      </c>
      <c r="K56" s="28">
        <f>I56/J56</f>
        <v/>
      </c>
      <c r="L56" s="27" t="n">
        <v>15</v>
      </c>
      <c r="M56" t="inlineStr">
        <is>
          <t>Admitted</t>
        </is>
      </c>
    </row>
    <row r="57">
      <c r="A57" t="inlineStr">
        <is>
          <t>ED206518</t>
        </is>
      </c>
      <c r="B57" t="inlineStr">
        <is>
          <t>PT10510</t>
        </is>
      </c>
      <c r="C57" s="26" t="n">
        <v>45680.32152777778</v>
      </c>
      <c r="D57" t="inlineStr">
        <is>
          <t>Thu</t>
        </is>
      </c>
      <c r="E57" s="27" t="n">
        <v>7</v>
      </c>
      <c r="F57" t="inlineStr">
        <is>
          <t>Ambulance</t>
        </is>
      </c>
      <c r="G57" s="27" t="n">
        <v>3</v>
      </c>
      <c r="H57" t="inlineStr">
        <is>
          <t>Weakness / Fatigue</t>
        </is>
      </c>
      <c r="I57" t="n">
        <v>84</v>
      </c>
      <c r="J57" t="n">
        <v>127</v>
      </c>
      <c r="K57" s="28">
        <f>I57/J57</f>
        <v/>
      </c>
      <c r="L57" s="27" t="n">
        <v>18</v>
      </c>
      <c r="M57" t="inlineStr">
        <is>
          <t>Observation</t>
        </is>
      </c>
    </row>
    <row r="58">
      <c r="A58" t="inlineStr">
        <is>
          <t>ED206520</t>
        </is>
      </c>
      <c r="B58" t="inlineStr">
        <is>
          <t>PT11068</t>
        </is>
      </c>
      <c r="C58" s="26" t="n">
        <v>45680.34722222222</v>
      </c>
      <c r="D58" t="inlineStr">
        <is>
          <t>Thu</t>
        </is>
      </c>
      <c r="E58" s="27" t="n">
        <v>8</v>
      </c>
      <c r="F58" t="inlineStr">
        <is>
          <t>Ambulance</t>
        </is>
      </c>
      <c r="G58" s="27" t="n">
        <v>3</v>
      </c>
      <c r="H58" t="inlineStr">
        <is>
          <t>Painful Urination / Fever</t>
        </is>
      </c>
      <c r="I58" t="n">
        <v>108</v>
      </c>
      <c r="J58" t="n">
        <v>121</v>
      </c>
      <c r="K58" s="28">
        <f>I58/J58</f>
        <v/>
      </c>
      <c r="L58" s="27" t="n">
        <v>17</v>
      </c>
      <c r="M58" t="inlineStr">
        <is>
          <t>Discharged</t>
        </is>
      </c>
    </row>
    <row r="59">
      <c r="A59" t="inlineStr">
        <is>
          <t>ED206542</t>
        </is>
      </c>
      <c r="B59" t="inlineStr">
        <is>
          <t>PT13619</t>
        </is>
      </c>
      <c r="C59" s="26" t="n">
        <v>45681.11527777778</v>
      </c>
      <c r="D59" t="inlineStr">
        <is>
          <t>Fri</t>
        </is>
      </c>
      <c r="E59" s="27" t="n">
        <v>2</v>
      </c>
      <c r="F59" t="inlineStr">
        <is>
          <t>Walk-In</t>
        </is>
      </c>
      <c r="G59" s="27" t="n">
        <v>3</v>
      </c>
      <c r="H59" t="inlineStr">
        <is>
          <t>Shortness of Breath</t>
        </is>
      </c>
      <c r="I59" t="n">
        <v>109</v>
      </c>
      <c r="J59" t="n">
        <v>129</v>
      </c>
      <c r="K59" s="28">
        <f>I59/J59</f>
        <v/>
      </c>
      <c r="L59" s="27" t="n">
        <v>20</v>
      </c>
      <c r="M59" t="inlineStr">
        <is>
          <t>Discharged</t>
        </is>
      </c>
    </row>
    <row r="60">
      <c r="A60" t="inlineStr">
        <is>
          <t>ED206549</t>
        </is>
      </c>
      <c r="B60" t="inlineStr">
        <is>
          <t>PT13815</t>
        </is>
      </c>
      <c r="C60" s="26" t="n">
        <v>45681.48541666667</v>
      </c>
      <c r="D60" t="inlineStr">
        <is>
          <t>Fri</t>
        </is>
      </c>
      <c r="E60" s="27" t="n">
        <v>11</v>
      </c>
      <c r="F60" t="inlineStr">
        <is>
          <t>Walk-In</t>
        </is>
      </c>
      <c r="G60" s="27" t="n">
        <v>4</v>
      </c>
      <c r="H60" t="inlineStr">
        <is>
          <t>Nausea</t>
        </is>
      </c>
      <c r="I60" t="n">
        <v>84</v>
      </c>
      <c r="J60" t="n">
        <v>148</v>
      </c>
      <c r="K60" s="28">
        <f>I60/J60</f>
        <v/>
      </c>
      <c r="L60" s="27" t="n">
        <v>126</v>
      </c>
      <c r="M60" t="inlineStr">
        <is>
          <t>Discharged</t>
        </is>
      </c>
    </row>
    <row r="61">
      <c r="A61" t="inlineStr">
        <is>
          <t>ED206561</t>
        </is>
      </c>
      <c r="B61" t="inlineStr">
        <is>
          <t>PT10893</t>
        </is>
      </c>
      <c r="C61" s="26" t="n">
        <v>45682.4</v>
      </c>
      <c r="D61" t="inlineStr">
        <is>
          <t>Sat</t>
        </is>
      </c>
      <c r="E61" s="27" t="n">
        <v>9</v>
      </c>
      <c r="F61" t="inlineStr">
        <is>
          <t>Walk-In</t>
        </is>
      </c>
      <c r="G61" s="27" t="n">
        <v>4</v>
      </c>
      <c r="H61" t="inlineStr">
        <is>
          <t>Headache</t>
        </is>
      </c>
      <c r="I61" t="n">
        <v>87</v>
      </c>
      <c r="J61" t="n">
        <v>139</v>
      </c>
      <c r="K61" s="28">
        <f>I61/J61</f>
        <v/>
      </c>
      <c r="L61" s="27" t="n">
        <v>252</v>
      </c>
      <c r="M61" t="inlineStr">
        <is>
          <t>Discharged</t>
        </is>
      </c>
    </row>
    <row r="62">
      <c r="A62" t="inlineStr">
        <is>
          <t>ED206562</t>
        </is>
      </c>
      <c r="B62" t="inlineStr">
        <is>
          <t>PT13479</t>
        </is>
      </c>
      <c r="C62" s="26" t="n">
        <v>45682.42083333333</v>
      </c>
      <c r="D62" t="inlineStr">
        <is>
          <t>Sat</t>
        </is>
      </c>
      <c r="E62" s="27" t="n">
        <v>10</v>
      </c>
      <c r="F62" t="inlineStr">
        <is>
          <t>Walk-In</t>
        </is>
      </c>
      <c r="G62" s="27" t="n">
        <v>4</v>
      </c>
      <c r="H62" t="inlineStr">
        <is>
          <t>Cough / Fever</t>
        </is>
      </c>
      <c r="I62" t="n">
        <v>111</v>
      </c>
      <c r="J62" t="n">
        <v>106</v>
      </c>
      <c r="K62" s="28">
        <f>I62/J62</f>
        <v/>
      </c>
      <c r="L62" s="27" t="n">
        <v>29</v>
      </c>
      <c r="M62" t="inlineStr">
        <is>
          <t>Discharged</t>
        </is>
      </c>
    </row>
    <row r="63">
      <c r="A63" t="inlineStr">
        <is>
          <t>ED206569</t>
        </is>
      </c>
      <c r="B63" t="inlineStr">
        <is>
          <t>PT13384</t>
        </is>
      </c>
      <c r="C63" s="26" t="n">
        <v>45682.60208333333</v>
      </c>
      <c r="D63" t="inlineStr">
        <is>
          <t>Sat</t>
        </is>
      </c>
      <c r="E63" s="27" t="n">
        <v>14</v>
      </c>
      <c r="F63" t="inlineStr">
        <is>
          <t>Walk-In</t>
        </is>
      </c>
      <c r="G63" s="27" t="n">
        <v>3</v>
      </c>
      <c r="H63" t="inlineStr">
        <is>
          <t>Shortness of Breath</t>
        </is>
      </c>
      <c r="I63" t="n">
        <v>89</v>
      </c>
      <c r="J63" t="n">
        <v>136</v>
      </c>
      <c r="K63" s="28">
        <f>I63/J63</f>
        <v/>
      </c>
      <c r="L63" s="27" t="n">
        <v>23</v>
      </c>
      <c r="M63" t="inlineStr">
        <is>
          <t>Discharged</t>
        </is>
      </c>
    </row>
    <row r="64">
      <c r="A64" t="inlineStr">
        <is>
          <t>ED206570</t>
        </is>
      </c>
      <c r="B64" t="inlineStr">
        <is>
          <t>PT10719</t>
        </is>
      </c>
      <c r="C64" s="26" t="n">
        <v>45682.64236111111</v>
      </c>
      <c r="D64" t="inlineStr">
        <is>
          <t>Sat</t>
        </is>
      </c>
      <c r="E64" s="27" t="n">
        <v>15</v>
      </c>
      <c r="F64" t="inlineStr">
        <is>
          <t>Walk-In</t>
        </is>
      </c>
      <c r="G64" s="27" t="n">
        <v>3</v>
      </c>
      <c r="H64" t="inlineStr">
        <is>
          <t>Shortness of Breath</t>
        </is>
      </c>
      <c r="I64" t="n">
        <v>102</v>
      </c>
      <c r="J64" t="n">
        <v>132</v>
      </c>
      <c r="K64" s="28">
        <f>I64/J64</f>
        <v/>
      </c>
      <c r="L64" s="27" t="n">
        <v>48</v>
      </c>
      <c r="M64" t="inlineStr">
        <is>
          <t>Discharged</t>
        </is>
      </c>
    </row>
    <row r="65">
      <c r="A65" t="inlineStr">
        <is>
          <t>ED206579</t>
        </is>
      </c>
      <c r="B65" t="inlineStr">
        <is>
          <t>PT11597</t>
        </is>
      </c>
      <c r="C65" s="26" t="n">
        <v>45682.91041666667</v>
      </c>
      <c r="D65" t="inlineStr">
        <is>
          <t>Sat</t>
        </is>
      </c>
      <c r="E65" s="27" t="n">
        <v>21</v>
      </c>
      <c r="F65" t="inlineStr">
        <is>
          <t>Walk-In</t>
        </is>
      </c>
      <c r="G65" s="27" t="n">
        <v>4</v>
      </c>
      <c r="H65" t="inlineStr">
        <is>
          <t>Cough / Fever</t>
        </is>
      </c>
      <c r="I65" t="n">
        <v>84</v>
      </c>
      <c r="J65" t="n">
        <v>101</v>
      </c>
      <c r="K65" s="28">
        <f>I65/J65</f>
        <v/>
      </c>
      <c r="L65" s="27" t="n">
        <v>28</v>
      </c>
      <c r="M65" t="inlineStr">
        <is>
          <t>Discharged</t>
        </is>
      </c>
    </row>
    <row r="66">
      <c r="A66" s="29" t="inlineStr">
        <is>
          <t>ED206592</t>
        </is>
      </c>
      <c r="B66" s="29" t="inlineStr">
        <is>
          <t>PT12770</t>
        </is>
      </c>
      <c r="C66" s="30" t="n">
        <v>45683.49791666667</v>
      </c>
      <c r="D66" s="29" t="inlineStr">
        <is>
          <t>Sun</t>
        </is>
      </c>
      <c r="E66" s="31" t="n">
        <v>11</v>
      </c>
      <c r="F66" s="29" t="inlineStr">
        <is>
          <t>Walk-In</t>
        </is>
      </c>
      <c r="G66" s="31" t="n">
        <v>3</v>
      </c>
      <c r="H66" s="29" t="inlineStr">
        <is>
          <t>Cough / Fever</t>
        </is>
      </c>
      <c r="I66" s="29" t="n">
        <v>117</v>
      </c>
      <c r="J66" s="29" t="n">
        <v>177</v>
      </c>
      <c r="K66" s="32">
        <f>I66/J66</f>
        <v/>
      </c>
      <c r="L66" s="31" t="n">
        <v>182</v>
      </c>
      <c r="M66" s="29" t="inlineStr">
        <is>
          <t>Admitted</t>
        </is>
      </c>
    </row>
    <row r="67">
      <c r="A67" t="inlineStr">
        <is>
          <t>ED206594</t>
        </is>
      </c>
      <c r="B67" t="inlineStr">
        <is>
          <t>PT10266</t>
        </is>
      </c>
      <c r="C67" s="26" t="n">
        <v>45683.52222222222</v>
      </c>
      <c r="D67" t="inlineStr">
        <is>
          <t>Sun</t>
        </is>
      </c>
      <c r="E67" s="27" t="n">
        <v>12</v>
      </c>
      <c r="F67" t="inlineStr">
        <is>
          <t>Walk-In</t>
        </is>
      </c>
      <c r="G67" s="27" t="n">
        <v>5</v>
      </c>
      <c r="H67" t="inlineStr">
        <is>
          <t>Anxiety / Palpitations</t>
        </is>
      </c>
      <c r="I67" t="n">
        <v>73</v>
      </c>
      <c r="J67" t="n">
        <v>146</v>
      </c>
      <c r="K67" s="28">
        <f>I67/J67</f>
        <v/>
      </c>
      <c r="L67" s="27" t="n">
        <v>113</v>
      </c>
      <c r="M67" t="inlineStr">
        <is>
          <t>Discharged</t>
        </is>
      </c>
    </row>
    <row r="68">
      <c r="A68" t="inlineStr">
        <is>
          <t>ED206597</t>
        </is>
      </c>
      <c r="B68" t="inlineStr">
        <is>
          <t>PT12586</t>
        </is>
      </c>
      <c r="C68" s="26" t="n">
        <v>45683.53333333333</v>
      </c>
      <c r="D68" t="inlineStr">
        <is>
          <t>Sun</t>
        </is>
      </c>
      <c r="E68" s="27" t="n">
        <v>12</v>
      </c>
      <c r="F68" t="inlineStr">
        <is>
          <t>Walk-In</t>
        </is>
      </c>
      <c r="G68" s="27" t="n">
        <v>3</v>
      </c>
      <c r="H68" t="inlineStr">
        <is>
          <t>Vomiting / Dizziness</t>
        </is>
      </c>
      <c r="I68" t="n">
        <v>104</v>
      </c>
      <c r="J68" t="n">
        <v>132</v>
      </c>
      <c r="K68" s="28">
        <f>I68/J68</f>
        <v/>
      </c>
      <c r="L68" s="27" t="n">
        <v>102</v>
      </c>
      <c r="M68" t="inlineStr">
        <is>
          <t>Discharged</t>
        </is>
      </c>
    </row>
    <row r="69">
      <c r="A69" t="inlineStr">
        <is>
          <t>ED206602</t>
        </is>
      </c>
      <c r="B69" t="inlineStr">
        <is>
          <t>PT10050</t>
        </is>
      </c>
      <c r="C69" s="26" t="n">
        <v>45683.61111111111</v>
      </c>
      <c r="D69" t="inlineStr">
        <is>
          <t>Sun</t>
        </is>
      </c>
      <c r="E69" s="27" t="n">
        <v>14</v>
      </c>
      <c r="F69" t="inlineStr">
        <is>
          <t>Walk-In</t>
        </is>
      </c>
      <c r="G69" s="27" t="n">
        <v>3</v>
      </c>
      <c r="H69" t="inlineStr">
        <is>
          <t>Confusion</t>
        </is>
      </c>
      <c r="I69" t="n">
        <v>82</v>
      </c>
      <c r="J69" t="n">
        <v>126</v>
      </c>
      <c r="K69" s="28">
        <f>I69/J69</f>
        <v/>
      </c>
      <c r="L69" s="27" t="n">
        <v>53</v>
      </c>
      <c r="M69" t="inlineStr">
        <is>
          <t>Admitted</t>
        </is>
      </c>
    </row>
    <row r="70">
      <c r="A70" t="inlineStr">
        <is>
          <t>ED206603</t>
        </is>
      </c>
      <c r="B70" t="inlineStr">
        <is>
          <t>PT13237</t>
        </is>
      </c>
      <c r="C70" s="26" t="n">
        <v>45683.61597222222</v>
      </c>
      <c r="D70" t="inlineStr">
        <is>
          <t>Sun</t>
        </is>
      </c>
      <c r="E70" s="27" t="n">
        <v>14</v>
      </c>
      <c r="F70" t="inlineStr">
        <is>
          <t>Ambulance</t>
        </is>
      </c>
      <c r="G70" s="27" t="n">
        <v>4</v>
      </c>
      <c r="H70" t="inlineStr">
        <is>
          <t>Cough / Fever</t>
        </is>
      </c>
      <c r="I70" t="n">
        <v>81</v>
      </c>
      <c r="J70" t="n">
        <v>148</v>
      </c>
      <c r="K70" s="28">
        <f>I70/J70</f>
        <v/>
      </c>
      <c r="L70" s="27" t="n">
        <v>74</v>
      </c>
      <c r="M70" t="inlineStr">
        <is>
          <t>Discharged</t>
        </is>
      </c>
    </row>
    <row r="71">
      <c r="A71" t="inlineStr">
        <is>
          <t>ED206615</t>
        </is>
      </c>
      <c r="B71" t="inlineStr">
        <is>
          <t>PT10855</t>
        </is>
      </c>
      <c r="C71" s="26" t="n">
        <v>45684.49444444444</v>
      </c>
      <c r="D71" t="inlineStr">
        <is>
          <t>Mon</t>
        </is>
      </c>
      <c r="E71" s="27" t="n">
        <v>11</v>
      </c>
      <c r="F71" t="inlineStr">
        <is>
          <t>Ambulance</t>
        </is>
      </c>
      <c r="G71" s="27" t="n">
        <v>2</v>
      </c>
      <c r="H71" t="inlineStr">
        <is>
          <t>Shortness of Breath</t>
        </is>
      </c>
      <c r="I71" t="n">
        <v>91</v>
      </c>
      <c r="J71" t="n">
        <v>107</v>
      </c>
      <c r="K71" s="28">
        <f>I71/J71</f>
        <v/>
      </c>
      <c r="L71" s="27" t="n">
        <v>23</v>
      </c>
      <c r="M71" t="inlineStr">
        <is>
          <t>Transferred</t>
        </is>
      </c>
    </row>
    <row r="72">
      <c r="A72" t="inlineStr">
        <is>
          <t>ED206629</t>
        </is>
      </c>
      <c r="B72" t="inlineStr">
        <is>
          <t>PT11448</t>
        </is>
      </c>
      <c r="C72" s="26" t="n">
        <v>45685.175</v>
      </c>
      <c r="D72" t="inlineStr">
        <is>
          <t>Tue</t>
        </is>
      </c>
      <c r="E72" s="27" t="n">
        <v>4</v>
      </c>
      <c r="F72" t="inlineStr">
        <is>
          <t>Walk-In</t>
        </is>
      </c>
      <c r="G72" s="27" t="n">
        <v>4</v>
      </c>
      <c r="H72" t="inlineStr">
        <is>
          <t>Anxiety / Palpitations</t>
        </is>
      </c>
      <c r="I72" t="n">
        <v>68</v>
      </c>
      <c r="J72" t="n">
        <v>153</v>
      </c>
      <c r="K72" s="28">
        <f>I72/J72</f>
        <v/>
      </c>
      <c r="L72" s="27" t="n">
        <v>39</v>
      </c>
      <c r="M72" t="inlineStr">
        <is>
          <t>Discharged</t>
        </is>
      </c>
    </row>
    <row r="73">
      <c r="A73" t="inlineStr">
        <is>
          <t>ED206639</t>
        </is>
      </c>
      <c r="B73" t="inlineStr">
        <is>
          <t>PT11707</t>
        </is>
      </c>
      <c r="C73" s="26" t="n">
        <v>45685.65208333333</v>
      </c>
      <c r="D73" t="inlineStr">
        <is>
          <t>Tue</t>
        </is>
      </c>
      <c r="E73" s="27" t="n">
        <v>15</v>
      </c>
      <c r="F73" t="inlineStr">
        <is>
          <t>Ambulance</t>
        </is>
      </c>
      <c r="G73" s="27" t="n">
        <v>2</v>
      </c>
      <c r="H73" t="inlineStr">
        <is>
          <t>Vomiting / Dizziness</t>
        </is>
      </c>
      <c r="I73" t="n">
        <v>103</v>
      </c>
      <c r="J73" t="n">
        <v>130</v>
      </c>
      <c r="K73" s="28">
        <f>I73/J73</f>
        <v/>
      </c>
      <c r="L73" s="27" t="n">
        <v>22</v>
      </c>
      <c r="M73" t="inlineStr">
        <is>
          <t>Discharged</t>
        </is>
      </c>
    </row>
    <row r="74">
      <c r="A74" t="inlineStr">
        <is>
          <t>ED206643</t>
        </is>
      </c>
      <c r="B74" t="inlineStr">
        <is>
          <t>PT12444</t>
        </is>
      </c>
      <c r="C74" s="26" t="n">
        <v>45685.77986111111</v>
      </c>
      <c r="D74" t="inlineStr">
        <is>
          <t>Tue</t>
        </is>
      </c>
      <c r="E74" s="27" t="n">
        <v>18</v>
      </c>
      <c r="F74" t="inlineStr">
        <is>
          <t>Walk-In</t>
        </is>
      </c>
      <c r="G74" s="27" t="n">
        <v>4</v>
      </c>
      <c r="H74" t="inlineStr">
        <is>
          <t>Back Pain</t>
        </is>
      </c>
      <c r="I74" t="n">
        <v>77</v>
      </c>
      <c r="J74" t="n">
        <v>136</v>
      </c>
      <c r="K74" s="28">
        <f>I74/J74</f>
        <v/>
      </c>
      <c r="L74" s="27" t="n">
        <v>46</v>
      </c>
      <c r="M74" t="inlineStr">
        <is>
          <t>Transferred</t>
        </is>
      </c>
    </row>
    <row r="75">
      <c r="A75" s="29" t="inlineStr">
        <is>
          <t>ED206655</t>
        </is>
      </c>
      <c r="B75" s="29" t="inlineStr">
        <is>
          <t>PT13311</t>
        </is>
      </c>
      <c r="C75" s="30" t="n">
        <v>45686.475</v>
      </c>
      <c r="D75" s="29" t="inlineStr">
        <is>
          <t>Wed</t>
        </is>
      </c>
      <c r="E75" s="31" t="n">
        <v>11</v>
      </c>
      <c r="F75" s="29" t="inlineStr">
        <is>
          <t>Walk-In</t>
        </is>
      </c>
      <c r="G75" s="31" t="n">
        <v>3</v>
      </c>
      <c r="H75" s="29" t="inlineStr">
        <is>
          <t>Cough / Fever</t>
        </is>
      </c>
      <c r="I75" s="29" t="n">
        <v>92</v>
      </c>
      <c r="J75" s="29" t="n">
        <v>127</v>
      </c>
      <c r="K75" s="32">
        <f>I75/J75</f>
        <v/>
      </c>
      <c r="L75" s="31" t="n">
        <v>81</v>
      </c>
      <c r="M75" s="29" t="inlineStr">
        <is>
          <t>Admitted</t>
        </is>
      </c>
    </row>
    <row r="76">
      <c r="A76" t="inlineStr">
        <is>
          <t>ED206660</t>
        </is>
      </c>
      <c r="B76" t="inlineStr">
        <is>
          <t>PT12121</t>
        </is>
      </c>
      <c r="C76" s="26" t="n">
        <v>45686.56944444445</v>
      </c>
      <c r="D76" t="inlineStr">
        <is>
          <t>Wed</t>
        </is>
      </c>
      <c r="E76" s="27" t="n">
        <v>13</v>
      </c>
      <c r="F76" t="inlineStr">
        <is>
          <t>Walk-In</t>
        </is>
      </c>
      <c r="G76" s="27" t="n">
        <v>3</v>
      </c>
      <c r="H76" t="inlineStr">
        <is>
          <t>Head Injury</t>
        </is>
      </c>
      <c r="I76" t="n">
        <v>91</v>
      </c>
      <c r="J76" t="n">
        <v>139</v>
      </c>
      <c r="K76" s="28">
        <f>I76/J76</f>
        <v/>
      </c>
      <c r="L76" s="27" t="n">
        <v>43</v>
      </c>
      <c r="M76" t="inlineStr">
        <is>
          <t>Discharged</t>
        </is>
      </c>
    </row>
    <row r="77">
      <c r="A77" t="inlineStr">
        <is>
          <t>ED206661</t>
        </is>
      </c>
      <c r="B77" t="inlineStr">
        <is>
          <t>PT12984</t>
        </is>
      </c>
      <c r="C77" s="26" t="n">
        <v>45686.57361111111</v>
      </c>
      <c r="D77" t="inlineStr">
        <is>
          <t>Wed</t>
        </is>
      </c>
      <c r="E77" s="27" t="n">
        <v>13</v>
      </c>
      <c r="F77" t="inlineStr">
        <is>
          <t>Ambulance</t>
        </is>
      </c>
      <c r="G77" s="27" t="n">
        <v>3</v>
      </c>
      <c r="H77" t="inlineStr">
        <is>
          <t>Cough / Fever</t>
        </is>
      </c>
      <c r="I77" t="n">
        <v>93</v>
      </c>
      <c r="J77" t="n">
        <v>141</v>
      </c>
      <c r="K77" s="28">
        <f>I77/J77</f>
        <v/>
      </c>
      <c r="L77" s="27" t="n">
        <v>9</v>
      </c>
      <c r="M77" t="inlineStr">
        <is>
          <t>Discharged</t>
        </is>
      </c>
    </row>
    <row r="78">
      <c r="A78" t="inlineStr">
        <is>
          <t>ED206662</t>
        </is>
      </c>
      <c r="B78" t="inlineStr">
        <is>
          <t>PT10840</t>
        </is>
      </c>
      <c r="C78" s="26" t="n">
        <v>45686.58263888889</v>
      </c>
      <c r="D78" t="inlineStr">
        <is>
          <t>Wed</t>
        </is>
      </c>
      <c r="E78" s="27" t="n">
        <v>13</v>
      </c>
      <c r="F78" t="inlineStr">
        <is>
          <t>Walk-In</t>
        </is>
      </c>
      <c r="G78" s="27" t="n">
        <v>4</v>
      </c>
      <c r="H78" t="inlineStr">
        <is>
          <t>Dizziness</t>
        </is>
      </c>
      <c r="I78" t="n">
        <v>91</v>
      </c>
      <c r="J78" t="n">
        <v>154</v>
      </c>
      <c r="K78" s="28">
        <f>I78/J78</f>
        <v/>
      </c>
      <c r="L78" s="27" t="n">
        <v>58</v>
      </c>
      <c r="M78" t="inlineStr">
        <is>
          <t>Discharged</t>
        </is>
      </c>
    </row>
    <row r="79">
      <c r="A79" t="inlineStr">
        <is>
          <t>ED206679</t>
        </is>
      </c>
      <c r="B79" t="inlineStr">
        <is>
          <t>PT12979</t>
        </is>
      </c>
      <c r="C79" s="26" t="n">
        <v>45687.47152777778</v>
      </c>
      <c r="D79" t="inlineStr">
        <is>
          <t>Thu</t>
        </is>
      </c>
      <c r="E79" s="27" t="n">
        <v>11</v>
      </c>
      <c r="F79" t="inlineStr">
        <is>
          <t>Walk-In</t>
        </is>
      </c>
      <c r="G79" s="27" t="n">
        <v>2</v>
      </c>
      <c r="H79" t="inlineStr">
        <is>
          <t>High Blood Sugar</t>
        </is>
      </c>
      <c r="I79" t="n">
        <v>81</v>
      </c>
      <c r="J79" t="n">
        <v>166</v>
      </c>
      <c r="K79" s="28">
        <f>I79/J79</f>
        <v/>
      </c>
      <c r="L79" s="27" t="n">
        <v>10</v>
      </c>
      <c r="M79" t="inlineStr">
        <is>
          <t>Discharged</t>
        </is>
      </c>
    </row>
    <row r="80">
      <c r="A80" t="inlineStr">
        <is>
          <t>ED206682</t>
        </is>
      </c>
      <c r="B80" t="inlineStr">
        <is>
          <t>PT12058</t>
        </is>
      </c>
      <c r="C80" s="26" t="n">
        <v>45687.55277777778</v>
      </c>
      <c r="D80" t="inlineStr">
        <is>
          <t>Thu</t>
        </is>
      </c>
      <c r="E80" s="27" t="n">
        <v>13</v>
      </c>
      <c r="F80" t="inlineStr">
        <is>
          <t>Ambulance</t>
        </is>
      </c>
      <c r="G80" s="27" t="n">
        <v>2</v>
      </c>
      <c r="H80" t="inlineStr">
        <is>
          <t>Palpitations</t>
        </is>
      </c>
      <c r="I80" t="n">
        <v>124</v>
      </c>
      <c r="J80" t="n">
        <v>129</v>
      </c>
      <c r="K80" s="28">
        <f>I80/J80</f>
        <v/>
      </c>
      <c r="L80" s="27" t="n">
        <v>18</v>
      </c>
      <c r="M80" t="inlineStr">
        <is>
          <t>Admitted</t>
        </is>
      </c>
    </row>
    <row r="81">
      <c r="A81" t="inlineStr">
        <is>
          <t>ED206720</t>
        </is>
      </c>
      <c r="B81" t="inlineStr">
        <is>
          <t>PT12469</t>
        </is>
      </c>
      <c r="C81" s="26" t="n">
        <v>45689.78472222222</v>
      </c>
      <c r="D81" t="inlineStr">
        <is>
          <t>Sat</t>
        </is>
      </c>
      <c r="E81" s="27" t="n">
        <v>18</v>
      </c>
      <c r="F81" t="inlineStr">
        <is>
          <t>Walk-In</t>
        </is>
      </c>
      <c r="G81" s="27" t="n">
        <v>2</v>
      </c>
      <c r="H81" t="inlineStr">
        <is>
          <t>Chest Pain</t>
        </is>
      </c>
      <c r="I81" t="n">
        <v>125</v>
      </c>
      <c r="J81" t="n">
        <v>190</v>
      </c>
      <c r="K81" s="28">
        <f>I81/J81</f>
        <v/>
      </c>
      <c r="L81" s="27" t="n">
        <v>64</v>
      </c>
      <c r="M81" t="inlineStr">
        <is>
          <t>Observation</t>
        </is>
      </c>
    </row>
    <row r="82">
      <c r="A82" s="29" t="inlineStr">
        <is>
          <t>ED206727</t>
        </is>
      </c>
      <c r="B82" s="29" t="inlineStr">
        <is>
          <t>PT11288</t>
        </is>
      </c>
      <c r="C82" s="30" t="n">
        <v>45690.37083333333</v>
      </c>
      <c r="D82" s="29" t="inlineStr">
        <is>
          <t>Sun</t>
        </is>
      </c>
      <c r="E82" s="31" t="n">
        <v>8</v>
      </c>
      <c r="F82" s="29" t="inlineStr">
        <is>
          <t>Walk-In</t>
        </is>
      </c>
      <c r="G82" s="31" t="n">
        <v>2</v>
      </c>
      <c r="H82" s="29" t="inlineStr">
        <is>
          <t>Cough / Fever</t>
        </is>
      </c>
      <c r="I82" s="29" t="n">
        <v>117</v>
      </c>
      <c r="J82" s="29" t="n">
        <v>121</v>
      </c>
      <c r="K82" s="32">
        <f>I82/J82</f>
        <v/>
      </c>
      <c r="L82" s="31" t="n">
        <v>26</v>
      </c>
      <c r="M82" s="29" t="inlineStr">
        <is>
          <t>Observation</t>
        </is>
      </c>
    </row>
    <row r="83">
      <c r="A83" t="inlineStr">
        <is>
          <t>ED206731</t>
        </is>
      </c>
      <c r="B83" t="inlineStr">
        <is>
          <t>PT11805</t>
        </is>
      </c>
      <c r="C83" s="26" t="n">
        <v>45690.49097222222</v>
      </c>
      <c r="D83" t="inlineStr">
        <is>
          <t>Sun</t>
        </is>
      </c>
      <c r="E83" s="27" t="n">
        <v>11</v>
      </c>
      <c r="F83" t="inlineStr">
        <is>
          <t>Walk-In</t>
        </is>
      </c>
      <c r="G83" s="27" t="n">
        <v>2</v>
      </c>
      <c r="H83" t="inlineStr">
        <is>
          <t>Abdominal Pain</t>
        </is>
      </c>
      <c r="I83" t="n">
        <v>78</v>
      </c>
      <c r="J83" t="n">
        <v>118</v>
      </c>
      <c r="K83" s="28">
        <f>I83/J83</f>
        <v/>
      </c>
      <c r="L83" s="27" t="n">
        <v>15</v>
      </c>
      <c r="M83" t="inlineStr">
        <is>
          <t>Discharged</t>
        </is>
      </c>
    </row>
    <row r="84">
      <c r="A84" t="inlineStr">
        <is>
          <t>ED206738</t>
        </is>
      </c>
      <c r="B84" t="inlineStr">
        <is>
          <t>PT13309</t>
        </is>
      </c>
      <c r="C84" s="26" t="n">
        <v>45690.7625</v>
      </c>
      <c r="D84" t="inlineStr">
        <is>
          <t>Sun</t>
        </is>
      </c>
      <c r="E84" s="27" t="n">
        <v>18</v>
      </c>
      <c r="F84" t="inlineStr">
        <is>
          <t>Walk-In</t>
        </is>
      </c>
      <c r="G84" s="27" t="n">
        <v>4</v>
      </c>
      <c r="H84" t="inlineStr">
        <is>
          <t>Cough / Fever</t>
        </is>
      </c>
      <c r="I84" t="n">
        <v>73</v>
      </c>
      <c r="J84" t="n">
        <v>124</v>
      </c>
      <c r="K84" s="28">
        <f>I84/J84</f>
        <v/>
      </c>
      <c r="L84" s="27" t="n">
        <v>87</v>
      </c>
      <c r="M84" t="inlineStr">
        <is>
          <t>Discharged</t>
        </is>
      </c>
    </row>
    <row r="85">
      <c r="A85" t="inlineStr">
        <is>
          <t>ED206740</t>
        </is>
      </c>
      <c r="B85" t="inlineStr">
        <is>
          <t>PT13304</t>
        </is>
      </c>
      <c r="C85" s="26" t="n">
        <v>45690.77430555555</v>
      </c>
      <c r="D85" t="inlineStr">
        <is>
          <t>Sun</t>
        </is>
      </c>
      <c r="E85" s="27" t="n">
        <v>18</v>
      </c>
      <c r="F85" t="inlineStr">
        <is>
          <t>Ambulance</t>
        </is>
      </c>
      <c r="G85" s="27" t="n">
        <v>3</v>
      </c>
      <c r="H85" t="inlineStr">
        <is>
          <t>Cough / Fever</t>
        </is>
      </c>
      <c r="I85" t="n">
        <v>83</v>
      </c>
      <c r="J85" t="n">
        <v>132</v>
      </c>
      <c r="K85" s="28">
        <f>I85/J85</f>
        <v/>
      </c>
      <c r="L85" s="27" t="n">
        <v>51</v>
      </c>
      <c r="M85" t="inlineStr">
        <is>
          <t>Admitted</t>
        </is>
      </c>
    </row>
    <row r="86">
      <c r="A86" t="inlineStr">
        <is>
          <t>ED206743</t>
        </is>
      </c>
      <c r="B86" t="inlineStr">
        <is>
          <t>PT12081</t>
        </is>
      </c>
      <c r="C86" s="26" t="n">
        <v>45690.89513888889</v>
      </c>
      <c r="D86" t="inlineStr">
        <is>
          <t>Sun</t>
        </is>
      </c>
      <c r="E86" s="27" t="n">
        <v>21</v>
      </c>
      <c r="F86" t="inlineStr">
        <is>
          <t>Walk-In</t>
        </is>
      </c>
      <c r="G86" s="27" t="n">
        <v>5</v>
      </c>
      <c r="H86" t="inlineStr">
        <is>
          <t>Cough / Fever</t>
        </is>
      </c>
      <c r="I86" t="n">
        <v>77</v>
      </c>
      <c r="J86" t="n">
        <v>144</v>
      </c>
      <c r="K86" s="28">
        <f>I86/J86</f>
        <v/>
      </c>
      <c r="L86" s="27" t="n">
        <v>54</v>
      </c>
      <c r="M86" t="inlineStr">
        <is>
          <t>Discharged</t>
        </is>
      </c>
    </row>
    <row r="87">
      <c r="A87" t="inlineStr">
        <is>
          <t>ED206751</t>
        </is>
      </c>
      <c r="B87" t="inlineStr">
        <is>
          <t>PT10660</t>
        </is>
      </c>
      <c r="C87" s="26" t="n">
        <v>45691.58888888889</v>
      </c>
      <c r="D87" t="inlineStr">
        <is>
          <t>Mon</t>
        </is>
      </c>
      <c r="E87" s="27" t="n">
        <v>14</v>
      </c>
      <c r="F87" t="inlineStr">
        <is>
          <t>Ambulance</t>
        </is>
      </c>
      <c r="G87" s="27" t="n">
        <v>3</v>
      </c>
      <c r="H87" t="inlineStr">
        <is>
          <t>Fainting</t>
        </is>
      </c>
      <c r="I87" t="n">
        <v>81</v>
      </c>
      <c r="J87" t="n">
        <v>114</v>
      </c>
      <c r="K87" s="28">
        <f>I87/J87</f>
        <v/>
      </c>
      <c r="L87" s="27" t="n">
        <v>66</v>
      </c>
      <c r="M87" t="inlineStr">
        <is>
          <t>Observation</t>
        </is>
      </c>
    </row>
    <row r="88">
      <c r="A88" t="inlineStr">
        <is>
          <t>ED206752</t>
        </is>
      </c>
      <c r="B88" t="inlineStr">
        <is>
          <t>PT10755</t>
        </is>
      </c>
      <c r="C88" s="26" t="n">
        <v>45691.60277777778</v>
      </c>
      <c r="D88" t="inlineStr">
        <is>
          <t>Mon</t>
        </is>
      </c>
      <c r="E88" s="27" t="n">
        <v>14</v>
      </c>
      <c r="F88" t="inlineStr">
        <is>
          <t>Walk-In</t>
        </is>
      </c>
      <c r="G88" s="27" t="n">
        <v>3</v>
      </c>
      <c r="H88" t="inlineStr">
        <is>
          <t>Painful Urination / Fever</t>
        </is>
      </c>
      <c r="I88" t="n">
        <v>86</v>
      </c>
      <c r="J88" t="n">
        <v>155</v>
      </c>
      <c r="K88" s="28">
        <f>I88/J88</f>
        <v/>
      </c>
      <c r="L88" s="27" t="n">
        <v>79</v>
      </c>
      <c r="M88" t="inlineStr">
        <is>
          <t>Admitted</t>
        </is>
      </c>
    </row>
    <row r="89">
      <c r="A89" t="inlineStr">
        <is>
          <t>ED206766</t>
        </is>
      </c>
      <c r="B89" t="inlineStr">
        <is>
          <t>PT12513</t>
        </is>
      </c>
      <c r="C89" s="26" t="n">
        <v>45692.22708333333</v>
      </c>
      <c r="D89" t="inlineStr">
        <is>
          <t>Tue</t>
        </is>
      </c>
      <c r="E89" s="27" t="n">
        <v>5</v>
      </c>
      <c r="F89" t="inlineStr">
        <is>
          <t>Walk-In</t>
        </is>
      </c>
      <c r="G89" s="27" t="n">
        <v>4</v>
      </c>
      <c r="H89" t="inlineStr">
        <is>
          <t>Weakness / Fatigue</t>
        </is>
      </c>
      <c r="I89" t="n">
        <v>75</v>
      </c>
      <c r="J89" t="n">
        <v>123</v>
      </c>
      <c r="K89" s="28">
        <f>I89/J89</f>
        <v/>
      </c>
      <c r="L89" s="27" t="n">
        <v>28</v>
      </c>
      <c r="M89" t="inlineStr">
        <is>
          <t>Admitted</t>
        </is>
      </c>
    </row>
    <row r="90">
      <c r="A90" t="inlineStr">
        <is>
          <t>ED206770</t>
        </is>
      </c>
      <c r="B90" t="inlineStr">
        <is>
          <t>PT11473</t>
        </is>
      </c>
      <c r="C90" s="26" t="n">
        <v>45692.34513888889</v>
      </c>
      <c r="D90" t="inlineStr">
        <is>
          <t>Tue</t>
        </is>
      </c>
      <c r="E90" s="27" t="n">
        <v>8</v>
      </c>
      <c r="F90" t="inlineStr">
        <is>
          <t>Walk-In</t>
        </is>
      </c>
      <c r="G90" s="27" t="n">
        <v>4</v>
      </c>
      <c r="H90" t="inlineStr">
        <is>
          <t>Cough / Fever</t>
        </is>
      </c>
      <c r="I90" t="n">
        <v>90</v>
      </c>
      <c r="J90" t="n">
        <v>126</v>
      </c>
      <c r="K90" s="28">
        <f>I90/J90</f>
        <v/>
      </c>
      <c r="L90" s="27" t="n">
        <v>29</v>
      </c>
      <c r="M90" t="inlineStr">
        <is>
          <t>Discharged</t>
        </is>
      </c>
    </row>
    <row r="91">
      <c r="A91" s="29" t="inlineStr">
        <is>
          <t>ED206771</t>
        </is>
      </c>
      <c r="B91" s="29" t="inlineStr">
        <is>
          <t>PT13346</t>
        </is>
      </c>
      <c r="C91" s="30" t="n">
        <v>45692.36805555555</v>
      </c>
      <c r="D91" s="29" t="inlineStr">
        <is>
          <t>Tue</t>
        </is>
      </c>
      <c r="E91" s="31" t="n">
        <v>8</v>
      </c>
      <c r="F91" s="29" t="inlineStr">
        <is>
          <t>Ambulance</t>
        </is>
      </c>
      <c r="G91" s="31" t="n">
        <v>2</v>
      </c>
      <c r="H91" s="29" t="inlineStr">
        <is>
          <t>Cough / Fever</t>
        </is>
      </c>
      <c r="I91" s="29" t="n">
        <v>128</v>
      </c>
      <c r="J91" s="29" t="n">
        <v>140</v>
      </c>
      <c r="K91" s="32">
        <f>I91/J91</f>
        <v/>
      </c>
      <c r="L91" s="31" t="n">
        <v>13</v>
      </c>
      <c r="M91" s="29" t="inlineStr">
        <is>
          <t>Observation</t>
        </is>
      </c>
    </row>
    <row r="92">
      <c r="A92" t="inlineStr">
        <is>
          <t>ED206780</t>
        </is>
      </c>
      <c r="B92" t="inlineStr">
        <is>
          <t>PT11194</t>
        </is>
      </c>
      <c r="C92" s="26" t="n">
        <v>45692.57291666666</v>
      </c>
      <c r="D92" t="inlineStr">
        <is>
          <t>Tue</t>
        </is>
      </c>
      <c r="E92" s="27" t="n">
        <v>13</v>
      </c>
      <c r="F92" t="inlineStr">
        <is>
          <t>Walk-In</t>
        </is>
      </c>
      <c r="G92" s="27" t="n">
        <v>3</v>
      </c>
      <c r="H92" t="inlineStr">
        <is>
          <t>Chest Pain</t>
        </is>
      </c>
      <c r="I92" t="n">
        <v>83</v>
      </c>
      <c r="J92" t="n">
        <v>152</v>
      </c>
      <c r="K92" s="28">
        <f>I92/J92</f>
        <v/>
      </c>
      <c r="L92" s="27" t="n">
        <v>105</v>
      </c>
      <c r="M92" t="inlineStr">
        <is>
          <t>Observation</t>
        </is>
      </c>
    </row>
    <row r="93">
      <c r="A93" t="inlineStr">
        <is>
          <t>ED206785</t>
        </is>
      </c>
      <c r="B93" t="inlineStr">
        <is>
          <t>PT13628</t>
        </is>
      </c>
      <c r="C93" s="26" t="n">
        <v>45692.80069444444</v>
      </c>
      <c r="D93" t="inlineStr">
        <is>
          <t>Tue</t>
        </is>
      </c>
      <c r="E93" s="27" t="n">
        <v>19</v>
      </c>
      <c r="F93" t="inlineStr">
        <is>
          <t>Ambulance</t>
        </is>
      </c>
      <c r="G93" s="27" t="n">
        <v>3</v>
      </c>
      <c r="H93" t="inlineStr">
        <is>
          <t>Fall</t>
        </is>
      </c>
      <c r="I93" t="n">
        <v>76</v>
      </c>
      <c r="J93" t="n">
        <v>142</v>
      </c>
      <c r="K93" s="28">
        <f>I93/J93</f>
        <v/>
      </c>
      <c r="L93" s="27" t="n">
        <v>76</v>
      </c>
      <c r="M93" t="inlineStr">
        <is>
          <t>Admitted</t>
        </is>
      </c>
    </row>
    <row r="94">
      <c r="A94" t="inlineStr">
        <is>
          <t>ED206790</t>
        </is>
      </c>
      <c r="B94" t="inlineStr">
        <is>
          <t>PT12542</t>
        </is>
      </c>
      <c r="C94" s="26" t="n">
        <v>45692.93472222222</v>
      </c>
      <c r="D94" t="inlineStr">
        <is>
          <t>Tue</t>
        </is>
      </c>
      <c r="E94" s="27" t="n">
        <v>22</v>
      </c>
      <c r="F94" t="inlineStr">
        <is>
          <t>Walk-In</t>
        </is>
      </c>
      <c r="G94" s="27" t="n">
        <v>5</v>
      </c>
      <c r="H94" t="inlineStr">
        <is>
          <t>Back Pain</t>
        </is>
      </c>
      <c r="I94" t="n">
        <v>92</v>
      </c>
      <c r="J94" t="n">
        <v>118</v>
      </c>
      <c r="K94" s="28">
        <f>I94/J94</f>
        <v/>
      </c>
      <c r="L94" s="27" t="n">
        <v>63</v>
      </c>
      <c r="M94" t="inlineStr">
        <is>
          <t>Discharged</t>
        </is>
      </c>
    </row>
    <row r="95">
      <c r="A95" t="inlineStr">
        <is>
          <t>ED206818</t>
        </is>
      </c>
      <c r="B95" t="inlineStr">
        <is>
          <t>PT10644</t>
        </is>
      </c>
      <c r="C95" s="26" t="n">
        <v>45694.37291666667</v>
      </c>
      <c r="D95" t="inlineStr">
        <is>
          <t>Thu</t>
        </is>
      </c>
      <c r="E95" s="27" t="n">
        <v>8</v>
      </c>
      <c r="F95" t="inlineStr">
        <is>
          <t>Ambulance</t>
        </is>
      </c>
      <c r="G95" s="27" t="n">
        <v>2</v>
      </c>
      <c r="H95" t="inlineStr">
        <is>
          <t>Shortness of Breath</t>
        </is>
      </c>
      <c r="I95" t="n">
        <v>90</v>
      </c>
      <c r="J95" t="n">
        <v>181</v>
      </c>
      <c r="K95" s="28">
        <f>I95/J95</f>
        <v/>
      </c>
      <c r="L95" s="27" t="n">
        <v>23</v>
      </c>
      <c r="M95" t="inlineStr">
        <is>
          <t>Admitted</t>
        </is>
      </c>
    </row>
    <row r="96">
      <c r="A96" t="inlineStr">
        <is>
          <t>ED206821</t>
        </is>
      </c>
      <c r="B96" t="inlineStr">
        <is>
          <t>PT11625</t>
        </is>
      </c>
      <c r="C96" s="26" t="n">
        <v>45694.41666666666</v>
      </c>
      <c r="D96" t="inlineStr">
        <is>
          <t>Thu</t>
        </is>
      </c>
      <c r="E96" s="27" t="n">
        <v>10</v>
      </c>
      <c r="F96" t="inlineStr">
        <is>
          <t>Walk-In</t>
        </is>
      </c>
      <c r="G96" s="27" t="n">
        <v>3</v>
      </c>
      <c r="H96" t="inlineStr">
        <is>
          <t>Tremors / Alcohol Withdrawal</t>
        </is>
      </c>
      <c r="I96" t="n">
        <v>75</v>
      </c>
      <c r="J96" t="n">
        <v>122</v>
      </c>
      <c r="K96" s="28">
        <f>I96/J96</f>
        <v/>
      </c>
      <c r="L96" s="27" t="n">
        <v>90</v>
      </c>
      <c r="M96" t="inlineStr">
        <is>
          <t>Discharged</t>
        </is>
      </c>
    </row>
    <row r="97">
      <c r="A97" t="inlineStr">
        <is>
          <t>ED206825</t>
        </is>
      </c>
      <c r="B97" t="inlineStr">
        <is>
          <t>PT13136</t>
        </is>
      </c>
      <c r="C97" s="26" t="n">
        <v>45694.51388888889</v>
      </c>
      <c r="D97" t="inlineStr">
        <is>
          <t>Thu</t>
        </is>
      </c>
      <c r="E97" s="27" t="n">
        <v>12</v>
      </c>
      <c r="F97" t="inlineStr">
        <is>
          <t>Walk-In</t>
        </is>
      </c>
      <c r="G97" s="27" t="n">
        <v>5</v>
      </c>
      <c r="H97" t="inlineStr">
        <is>
          <t>Anxiety / Palpitations</t>
        </is>
      </c>
      <c r="I97" t="n">
        <v>77</v>
      </c>
      <c r="J97" t="n">
        <v>114</v>
      </c>
      <c r="K97" s="28">
        <f>I97/J97</f>
        <v/>
      </c>
      <c r="L97" s="27" t="n">
        <v>18</v>
      </c>
      <c r="M97" t="inlineStr">
        <is>
          <t>Discharged</t>
        </is>
      </c>
    </row>
    <row r="98">
      <c r="A98" t="inlineStr">
        <is>
          <t>ED206826</t>
        </is>
      </c>
      <c r="B98" t="inlineStr">
        <is>
          <t>PT12478</t>
        </is>
      </c>
      <c r="C98" s="26" t="n">
        <v>45694.52291666667</v>
      </c>
      <c r="D98" t="inlineStr">
        <is>
          <t>Thu</t>
        </is>
      </c>
      <c r="E98" s="27" t="n">
        <v>12</v>
      </c>
      <c r="F98" t="inlineStr">
        <is>
          <t>Ambulance</t>
        </is>
      </c>
      <c r="G98" s="27" t="n">
        <v>3</v>
      </c>
      <c r="H98" t="inlineStr">
        <is>
          <t>Cough / Fever</t>
        </is>
      </c>
      <c r="I98" t="n">
        <v>113</v>
      </c>
      <c r="J98" t="n">
        <v>128</v>
      </c>
      <c r="K98" s="28">
        <f>I98/J98</f>
        <v/>
      </c>
      <c r="L98" s="27" t="n">
        <v>44</v>
      </c>
      <c r="M98" t="inlineStr">
        <is>
          <t>Discharged</t>
        </is>
      </c>
    </row>
    <row r="99">
      <c r="A99" t="inlineStr">
        <is>
          <t>ED206827</t>
        </is>
      </c>
      <c r="B99" t="inlineStr">
        <is>
          <t>PT12703</t>
        </is>
      </c>
      <c r="C99" s="26" t="n">
        <v>45694.52847222222</v>
      </c>
      <c r="D99" t="inlineStr">
        <is>
          <t>Thu</t>
        </is>
      </c>
      <c r="E99" s="27" t="n">
        <v>12</v>
      </c>
      <c r="F99" t="inlineStr">
        <is>
          <t>Walk-In</t>
        </is>
      </c>
      <c r="G99" s="27" t="n">
        <v>3</v>
      </c>
      <c r="H99" t="inlineStr">
        <is>
          <t>Fainting</t>
        </is>
      </c>
      <c r="I99" t="n">
        <v>88</v>
      </c>
      <c r="J99" t="n">
        <v>141</v>
      </c>
      <c r="K99" s="28">
        <f>I99/J99</f>
        <v/>
      </c>
      <c r="L99" s="27" t="n">
        <v>108</v>
      </c>
      <c r="M99" t="inlineStr">
        <is>
          <t>Observation</t>
        </is>
      </c>
    </row>
    <row r="100">
      <c r="A100" t="inlineStr">
        <is>
          <t>ED206838</t>
        </is>
      </c>
      <c r="B100" t="inlineStr">
        <is>
          <t>PT10253</t>
        </is>
      </c>
      <c r="C100" s="26" t="n">
        <v>45694.99166666667</v>
      </c>
      <c r="D100" t="inlineStr">
        <is>
          <t>Thu</t>
        </is>
      </c>
      <c r="E100" s="27" t="n">
        <v>23</v>
      </c>
      <c r="F100" t="inlineStr">
        <is>
          <t>Walk-In</t>
        </is>
      </c>
      <c r="G100" s="27" t="n">
        <v>5</v>
      </c>
      <c r="H100" t="inlineStr">
        <is>
          <t>Cough / Fever</t>
        </is>
      </c>
      <c r="I100" t="n">
        <v>80</v>
      </c>
      <c r="J100" t="n">
        <v>137</v>
      </c>
      <c r="K100" s="28">
        <f>I100/J100</f>
        <v/>
      </c>
      <c r="L100" s="27" t="n">
        <v>18</v>
      </c>
      <c r="M100" t="inlineStr">
        <is>
          <t>Discharged</t>
        </is>
      </c>
    </row>
    <row r="101">
      <c r="A101" t="inlineStr">
        <is>
          <t>ED206839</t>
        </is>
      </c>
      <c r="B101" t="inlineStr">
        <is>
          <t>PT10032</t>
        </is>
      </c>
      <c r="C101" s="26" t="n">
        <v>45695.09861111111</v>
      </c>
      <c r="D101" t="inlineStr">
        <is>
          <t>Fri</t>
        </is>
      </c>
      <c r="E101" s="27" t="n">
        <v>2</v>
      </c>
      <c r="F101" t="inlineStr">
        <is>
          <t>Walk-In</t>
        </is>
      </c>
      <c r="G101" s="27" t="n">
        <v>4</v>
      </c>
      <c r="H101" t="inlineStr">
        <is>
          <t>Cough / Fever</t>
        </is>
      </c>
      <c r="I101" t="n">
        <v>85</v>
      </c>
      <c r="J101" t="n">
        <v>125</v>
      </c>
      <c r="K101" s="28">
        <f>I101/J101</f>
        <v/>
      </c>
      <c r="L101" s="27" t="n">
        <v>42</v>
      </c>
      <c r="M101" t="inlineStr">
        <is>
          <t>Admitted</t>
        </is>
      </c>
    </row>
    <row r="102">
      <c r="A102" t="inlineStr">
        <is>
          <t>ED206842</t>
        </is>
      </c>
      <c r="B102" t="inlineStr">
        <is>
          <t>PT11751</t>
        </is>
      </c>
      <c r="C102" s="26" t="n">
        <v>45695.34027777778</v>
      </c>
      <c r="D102" t="inlineStr">
        <is>
          <t>Fri</t>
        </is>
      </c>
      <c r="E102" s="27" t="n">
        <v>8</v>
      </c>
      <c r="F102" t="inlineStr">
        <is>
          <t>Walk-In</t>
        </is>
      </c>
      <c r="G102" s="27" t="n">
        <v>4</v>
      </c>
      <c r="H102" t="inlineStr">
        <is>
          <t>Vomiting / Dizziness</t>
        </is>
      </c>
      <c r="I102" t="n">
        <v>81</v>
      </c>
      <c r="J102" t="n">
        <v>118</v>
      </c>
      <c r="K102" s="28">
        <f>I102/J102</f>
        <v/>
      </c>
      <c r="L102" s="27" t="n">
        <v>87</v>
      </c>
      <c r="M102" t="inlineStr">
        <is>
          <t>Discharged</t>
        </is>
      </c>
    </row>
    <row r="103">
      <c r="A103" t="inlineStr">
        <is>
          <t>ED206848</t>
        </is>
      </c>
      <c r="B103" t="inlineStr">
        <is>
          <t>PT11842</t>
        </is>
      </c>
      <c r="C103" s="26" t="n">
        <v>45695.72083333333</v>
      </c>
      <c r="D103" t="inlineStr">
        <is>
          <t>Fri</t>
        </is>
      </c>
      <c r="E103" s="27" t="n">
        <v>17</v>
      </c>
      <c r="F103" t="inlineStr">
        <is>
          <t>Walk-In</t>
        </is>
      </c>
      <c r="G103" s="27" t="n">
        <v>2</v>
      </c>
      <c r="H103" t="inlineStr">
        <is>
          <t>Abdominal Pain</t>
        </is>
      </c>
      <c r="I103" t="n">
        <v>93</v>
      </c>
      <c r="J103" t="n">
        <v>144</v>
      </c>
      <c r="K103" s="28">
        <f>I103/J103</f>
        <v/>
      </c>
      <c r="L103" s="27" t="n">
        <v>9</v>
      </c>
      <c r="M103" t="inlineStr">
        <is>
          <t>Discharged</t>
        </is>
      </c>
    </row>
    <row r="104">
      <c r="A104" t="inlineStr">
        <is>
          <t>ED206849</t>
        </is>
      </c>
      <c r="B104" t="inlineStr">
        <is>
          <t>PT11466</t>
        </is>
      </c>
      <c r="C104" s="26" t="n">
        <v>45695.74166666667</v>
      </c>
      <c r="D104" t="inlineStr">
        <is>
          <t>Fri</t>
        </is>
      </c>
      <c r="E104" s="27" t="n">
        <v>17</v>
      </c>
      <c r="F104" t="inlineStr">
        <is>
          <t>Walk-In</t>
        </is>
      </c>
      <c r="G104" s="27" t="n">
        <v>4</v>
      </c>
      <c r="H104" t="inlineStr">
        <is>
          <t>Cough / Fever</t>
        </is>
      </c>
      <c r="I104" t="n">
        <v>95</v>
      </c>
      <c r="J104" t="n">
        <v>99</v>
      </c>
      <c r="K104" s="28">
        <f>I104/J104</f>
        <v/>
      </c>
      <c r="L104" s="27" t="n">
        <v>40</v>
      </c>
      <c r="M104" t="inlineStr">
        <is>
          <t>Discharged</t>
        </is>
      </c>
    </row>
    <row r="105">
      <c r="A105" t="inlineStr">
        <is>
          <t>ED206850</t>
        </is>
      </c>
      <c r="B105" t="inlineStr">
        <is>
          <t>PT13980</t>
        </is>
      </c>
      <c r="C105" s="26" t="n">
        <v>45695.77083333334</v>
      </c>
      <c r="D105" t="inlineStr">
        <is>
          <t>Fri</t>
        </is>
      </c>
      <c r="E105" s="27" t="n">
        <v>18</v>
      </c>
      <c r="F105" t="inlineStr">
        <is>
          <t>Walk-In</t>
        </is>
      </c>
      <c r="G105" s="27" t="n">
        <v>3</v>
      </c>
      <c r="H105" t="inlineStr">
        <is>
          <t>Cough / Fever</t>
        </is>
      </c>
      <c r="I105" t="n">
        <v>99</v>
      </c>
      <c r="J105" t="n">
        <v>107</v>
      </c>
      <c r="K105" s="28">
        <f>I105/J105</f>
        <v/>
      </c>
      <c r="L105" s="27" t="n">
        <v>17</v>
      </c>
      <c r="M105" t="inlineStr">
        <is>
          <t>Admitted</t>
        </is>
      </c>
    </row>
    <row r="106">
      <c r="A106" t="inlineStr">
        <is>
          <t>ED206852</t>
        </is>
      </c>
      <c r="B106" t="inlineStr">
        <is>
          <t>PT12494</t>
        </is>
      </c>
      <c r="C106" s="26" t="n">
        <v>45695.81666666667</v>
      </c>
      <c r="D106" t="inlineStr">
        <is>
          <t>Fri</t>
        </is>
      </c>
      <c r="E106" s="27" t="n">
        <v>19</v>
      </c>
      <c r="F106" t="inlineStr">
        <is>
          <t>Walk-In</t>
        </is>
      </c>
      <c r="G106" s="27" t="n">
        <v>3</v>
      </c>
      <c r="H106" t="inlineStr">
        <is>
          <t>Shortness of Breath</t>
        </is>
      </c>
      <c r="I106" t="n">
        <v>78</v>
      </c>
      <c r="J106" t="n">
        <v>116</v>
      </c>
      <c r="K106" s="28">
        <f>I106/J106</f>
        <v/>
      </c>
      <c r="L106" s="27" t="n">
        <v>73</v>
      </c>
      <c r="M106" t="inlineStr">
        <is>
          <t>Admitted</t>
        </is>
      </c>
    </row>
    <row r="107">
      <c r="A107" t="inlineStr">
        <is>
          <t>ED206855</t>
        </is>
      </c>
      <c r="B107" t="inlineStr">
        <is>
          <t>PT12387</t>
        </is>
      </c>
      <c r="C107" s="26" t="n">
        <v>45695.88125</v>
      </c>
      <c r="D107" t="inlineStr">
        <is>
          <t>Fri</t>
        </is>
      </c>
      <c r="E107" s="27" t="n">
        <v>21</v>
      </c>
      <c r="F107" t="inlineStr">
        <is>
          <t>Ambulance</t>
        </is>
      </c>
      <c r="G107" s="27" t="n">
        <v>3</v>
      </c>
      <c r="H107" t="inlineStr">
        <is>
          <t>Shortness of Breath</t>
        </is>
      </c>
      <c r="I107" t="n">
        <v>118</v>
      </c>
      <c r="J107" t="n">
        <v>137</v>
      </c>
      <c r="K107" s="28">
        <f>I107/J107</f>
        <v/>
      </c>
      <c r="L107" s="27" t="n">
        <v>23</v>
      </c>
      <c r="M107" t="inlineStr">
        <is>
          <t>Discharged</t>
        </is>
      </c>
    </row>
    <row r="108">
      <c r="A108" t="inlineStr">
        <is>
          <t>ED206859</t>
        </is>
      </c>
      <c r="B108" t="inlineStr">
        <is>
          <t>PT10981</t>
        </is>
      </c>
      <c r="C108" s="26" t="n">
        <v>45696.07430555556</v>
      </c>
      <c r="D108" t="inlineStr">
        <is>
          <t>Sat</t>
        </is>
      </c>
      <c r="E108" s="27" t="n">
        <v>1</v>
      </c>
      <c r="F108" t="inlineStr">
        <is>
          <t>Walk-In</t>
        </is>
      </c>
      <c r="G108" s="27" t="n">
        <v>4</v>
      </c>
      <c r="H108" t="inlineStr">
        <is>
          <t>Abdominal Pain</t>
        </is>
      </c>
      <c r="I108" t="n">
        <v>90</v>
      </c>
      <c r="J108" t="n">
        <v>138</v>
      </c>
      <c r="K108" s="28">
        <f>I108/J108</f>
        <v/>
      </c>
      <c r="L108" s="27" t="n">
        <v>94</v>
      </c>
      <c r="M108" t="inlineStr">
        <is>
          <t>Discharged</t>
        </is>
      </c>
    </row>
    <row r="109">
      <c r="A109" t="inlineStr">
        <is>
          <t>ED206860</t>
        </is>
      </c>
      <c r="B109" t="inlineStr">
        <is>
          <t>PT13168</t>
        </is>
      </c>
      <c r="C109" s="26" t="n">
        <v>45696.16458333333</v>
      </c>
      <c r="D109" t="inlineStr">
        <is>
          <t>Sat</t>
        </is>
      </c>
      <c r="E109" s="27" t="n">
        <v>3</v>
      </c>
      <c r="F109" t="inlineStr">
        <is>
          <t>Walk-In</t>
        </is>
      </c>
      <c r="G109" s="27" t="n">
        <v>5</v>
      </c>
      <c r="H109" t="inlineStr">
        <is>
          <t>Cough / Fever</t>
        </is>
      </c>
      <c r="I109" t="n">
        <v>84</v>
      </c>
      <c r="J109" t="n">
        <v>127</v>
      </c>
      <c r="K109" s="28">
        <f>I109/J109</f>
        <v/>
      </c>
      <c r="L109" s="27" t="n">
        <v>93</v>
      </c>
      <c r="M109" t="inlineStr">
        <is>
          <t>Discharged</t>
        </is>
      </c>
    </row>
    <row r="110">
      <c r="A110" t="inlineStr">
        <is>
          <t>ED206861</t>
        </is>
      </c>
      <c r="B110" t="inlineStr">
        <is>
          <t>PT10463</t>
        </is>
      </c>
      <c r="C110" s="26" t="n">
        <v>45696.29375</v>
      </c>
      <c r="D110" t="inlineStr">
        <is>
          <t>Sat</t>
        </is>
      </c>
      <c r="E110" s="27" t="n">
        <v>7</v>
      </c>
      <c r="F110" t="inlineStr">
        <is>
          <t>Walk-In</t>
        </is>
      </c>
      <c r="G110" s="27" t="n">
        <v>4</v>
      </c>
      <c r="H110" t="inlineStr">
        <is>
          <t>Chest Pain</t>
        </is>
      </c>
      <c r="I110" t="n">
        <v>79</v>
      </c>
      <c r="J110" t="n">
        <v>140</v>
      </c>
      <c r="K110" s="28">
        <f>I110/J110</f>
        <v/>
      </c>
      <c r="L110" s="27" t="n">
        <v>58</v>
      </c>
      <c r="M110" t="inlineStr">
        <is>
          <t>Discharged</t>
        </is>
      </c>
    </row>
    <row r="111">
      <c r="A111" t="inlineStr">
        <is>
          <t>ED206871</t>
        </is>
      </c>
      <c r="B111" t="inlineStr">
        <is>
          <t>PT10981</t>
        </is>
      </c>
      <c r="C111" s="26" t="n">
        <v>45696.925</v>
      </c>
      <c r="D111" t="inlineStr">
        <is>
          <t>Sat</t>
        </is>
      </c>
      <c r="E111" s="27" t="n">
        <v>22</v>
      </c>
      <c r="F111" t="inlineStr">
        <is>
          <t>Walk-In</t>
        </is>
      </c>
      <c r="G111" s="27" t="n">
        <v>3</v>
      </c>
      <c r="H111" t="inlineStr">
        <is>
          <t>Cough / Fever</t>
        </is>
      </c>
      <c r="I111" t="n">
        <v>87</v>
      </c>
      <c r="J111" t="n">
        <v>147</v>
      </c>
      <c r="K111" s="28">
        <f>I111/J111</f>
        <v/>
      </c>
      <c r="L111" s="27" t="n">
        <v>11</v>
      </c>
      <c r="M111" t="inlineStr">
        <is>
          <t>Discharged</t>
        </is>
      </c>
    </row>
    <row r="112">
      <c r="A112" s="29" t="inlineStr">
        <is>
          <t>ED206879</t>
        </is>
      </c>
      <c r="B112" s="29" t="inlineStr">
        <is>
          <t>PT10230</t>
        </is>
      </c>
      <c r="C112" s="30" t="n">
        <v>45697.47986111111</v>
      </c>
      <c r="D112" s="29" t="inlineStr">
        <is>
          <t>Sun</t>
        </is>
      </c>
      <c r="E112" s="31" t="n">
        <v>11</v>
      </c>
      <c r="F112" s="29" t="inlineStr">
        <is>
          <t>Walk-In</t>
        </is>
      </c>
      <c r="G112" s="31" t="n">
        <v>3</v>
      </c>
      <c r="H112" s="29" t="inlineStr">
        <is>
          <t>Cough / Fever</t>
        </is>
      </c>
      <c r="I112" s="29" t="n">
        <v>96</v>
      </c>
      <c r="J112" s="29" t="n">
        <v>101</v>
      </c>
      <c r="K112" s="32">
        <f>I112/J112</f>
        <v/>
      </c>
      <c r="L112" s="31" t="n">
        <v>24</v>
      </c>
      <c r="M112" s="29" t="inlineStr">
        <is>
          <t>Discharged</t>
        </is>
      </c>
    </row>
    <row r="113">
      <c r="A113" t="inlineStr">
        <is>
          <t>ED206886</t>
        </is>
      </c>
      <c r="B113" t="inlineStr">
        <is>
          <t>PT12242</t>
        </is>
      </c>
      <c r="C113" s="26" t="n">
        <v>45697.64236111111</v>
      </c>
      <c r="D113" t="inlineStr">
        <is>
          <t>Sun</t>
        </is>
      </c>
      <c r="E113" s="27" t="n">
        <v>15</v>
      </c>
      <c r="F113" t="inlineStr">
        <is>
          <t>Ambulance</t>
        </is>
      </c>
      <c r="G113" s="27" t="n">
        <v>2</v>
      </c>
      <c r="H113" t="inlineStr">
        <is>
          <t>Chest Pain</t>
        </is>
      </c>
      <c r="I113" t="n">
        <v>93</v>
      </c>
      <c r="J113" t="n">
        <v>141</v>
      </c>
      <c r="K113" s="28">
        <f>I113/J113</f>
        <v/>
      </c>
      <c r="L113" s="27" t="n">
        <v>25</v>
      </c>
      <c r="M113" t="inlineStr">
        <is>
          <t>Discharged</t>
        </is>
      </c>
    </row>
    <row r="114">
      <c r="A114" t="inlineStr">
        <is>
          <t>ED206890</t>
        </is>
      </c>
      <c r="B114" t="inlineStr">
        <is>
          <t>PT11597</t>
        </is>
      </c>
      <c r="C114" s="26" t="n">
        <v>45697.71041666667</v>
      </c>
      <c r="D114" t="inlineStr">
        <is>
          <t>Sun</t>
        </is>
      </c>
      <c r="E114" s="27" t="n">
        <v>17</v>
      </c>
      <c r="F114" t="inlineStr">
        <is>
          <t>Walk-In</t>
        </is>
      </c>
      <c r="G114" s="27" t="n">
        <v>4</v>
      </c>
      <c r="H114" t="inlineStr">
        <is>
          <t>Cough / Fever</t>
        </is>
      </c>
      <c r="I114" t="n">
        <v>74</v>
      </c>
      <c r="J114" t="n">
        <v>96</v>
      </c>
      <c r="K114" s="28">
        <f>I114/J114</f>
        <v/>
      </c>
      <c r="L114" s="27" t="n">
        <v>111</v>
      </c>
      <c r="M114" t="inlineStr">
        <is>
          <t>Discharged</t>
        </is>
      </c>
    </row>
    <row r="115">
      <c r="A115" t="inlineStr">
        <is>
          <t>ED206896</t>
        </is>
      </c>
      <c r="B115" t="inlineStr">
        <is>
          <t>PT11810</t>
        </is>
      </c>
      <c r="C115" s="26" t="n">
        <v>45697.87847222222</v>
      </c>
      <c r="D115" t="inlineStr">
        <is>
          <t>Sun</t>
        </is>
      </c>
      <c r="E115" s="27" t="n">
        <v>21</v>
      </c>
      <c r="F115" t="inlineStr">
        <is>
          <t>Walk-In</t>
        </is>
      </c>
      <c r="G115" s="27" t="n">
        <v>2</v>
      </c>
      <c r="H115" t="inlineStr">
        <is>
          <t>Abdominal Pain</t>
        </is>
      </c>
      <c r="I115" t="n">
        <v>87</v>
      </c>
      <c r="J115" t="n">
        <v>129</v>
      </c>
      <c r="K115" s="28">
        <f>I115/J115</f>
        <v/>
      </c>
      <c r="L115" s="27" t="n">
        <v>11</v>
      </c>
      <c r="M115" t="inlineStr">
        <is>
          <t>Admitted</t>
        </is>
      </c>
    </row>
    <row r="116">
      <c r="A116" t="inlineStr">
        <is>
          <t>ED206899</t>
        </is>
      </c>
      <c r="B116" t="inlineStr">
        <is>
          <t>PT12421</t>
        </is>
      </c>
      <c r="C116" s="26" t="n">
        <v>45698.12708333333</v>
      </c>
      <c r="D116" t="inlineStr">
        <is>
          <t>Mon</t>
        </is>
      </c>
      <c r="E116" s="27" t="n">
        <v>3</v>
      </c>
      <c r="F116" t="inlineStr">
        <is>
          <t>Walk-In</t>
        </is>
      </c>
      <c r="G116" s="27" t="n">
        <v>5</v>
      </c>
      <c r="H116" t="inlineStr">
        <is>
          <t>Cough / Fever</t>
        </is>
      </c>
      <c r="I116" t="n">
        <v>83</v>
      </c>
      <c r="J116" t="n">
        <v>109</v>
      </c>
      <c r="K116" s="28">
        <f>I116/J116</f>
        <v/>
      </c>
      <c r="L116" s="27" t="n">
        <v>32</v>
      </c>
      <c r="M116" t="inlineStr">
        <is>
          <t>Discharged</t>
        </is>
      </c>
    </row>
    <row r="117">
      <c r="A117" t="inlineStr">
        <is>
          <t>ED206900</t>
        </is>
      </c>
      <c r="B117" t="inlineStr">
        <is>
          <t>PT11933</t>
        </is>
      </c>
      <c r="C117" s="26" t="n">
        <v>45698.17222222222</v>
      </c>
      <c r="D117" t="inlineStr">
        <is>
          <t>Mon</t>
        </is>
      </c>
      <c r="E117" s="27" t="n">
        <v>4</v>
      </c>
      <c r="F117" t="inlineStr">
        <is>
          <t>Walk-In</t>
        </is>
      </c>
      <c r="G117" s="27" t="n">
        <v>5</v>
      </c>
      <c r="H117" t="inlineStr">
        <is>
          <t>Cough / Fever</t>
        </is>
      </c>
      <c r="I117" t="n">
        <v>83</v>
      </c>
      <c r="J117" t="n">
        <v>115</v>
      </c>
      <c r="K117" s="28">
        <f>I117/J117</f>
        <v/>
      </c>
      <c r="L117" s="27" t="n">
        <v>84</v>
      </c>
      <c r="M117" t="inlineStr">
        <is>
          <t>Discharged</t>
        </is>
      </c>
    </row>
    <row r="118">
      <c r="A118" t="inlineStr">
        <is>
          <t>ED206902</t>
        </is>
      </c>
      <c r="B118" t="inlineStr">
        <is>
          <t>PT10013</t>
        </is>
      </c>
      <c r="C118" s="26" t="n">
        <v>45698.44444444445</v>
      </c>
      <c r="D118" t="inlineStr">
        <is>
          <t>Mon</t>
        </is>
      </c>
      <c r="E118" s="27" t="n">
        <v>10</v>
      </c>
      <c r="F118" t="inlineStr">
        <is>
          <t>Walk-In</t>
        </is>
      </c>
      <c r="G118" s="27" t="n">
        <v>2</v>
      </c>
      <c r="H118" t="inlineStr">
        <is>
          <t>Abdominal Pain</t>
        </is>
      </c>
      <c r="I118" t="n">
        <v>69</v>
      </c>
      <c r="J118" t="n">
        <v>119</v>
      </c>
      <c r="K118" s="28">
        <f>I118/J118</f>
        <v/>
      </c>
      <c r="L118" s="27" t="n">
        <v>23</v>
      </c>
      <c r="M118" t="inlineStr">
        <is>
          <t>Admitted</t>
        </is>
      </c>
    </row>
    <row r="119">
      <c r="A119" t="inlineStr">
        <is>
          <t>ED206907</t>
        </is>
      </c>
      <c r="B119" t="inlineStr">
        <is>
          <t>PT12891</t>
        </is>
      </c>
      <c r="C119" s="26" t="n">
        <v>45698.58055555556</v>
      </c>
      <c r="D119" t="inlineStr">
        <is>
          <t>Mon</t>
        </is>
      </c>
      <c r="E119" s="27" t="n">
        <v>13</v>
      </c>
      <c r="F119" t="inlineStr">
        <is>
          <t>Walk-In</t>
        </is>
      </c>
      <c r="G119" s="27" t="n">
        <v>5</v>
      </c>
      <c r="H119" t="inlineStr">
        <is>
          <t>Cough / Fever</t>
        </is>
      </c>
      <c r="I119" t="n">
        <v>58</v>
      </c>
      <c r="J119" t="n">
        <v>93</v>
      </c>
      <c r="K119" s="28">
        <f>I119/J119</f>
        <v/>
      </c>
      <c r="L119" s="27" t="n">
        <v>25</v>
      </c>
      <c r="M119" t="inlineStr">
        <is>
          <t>Discharged</t>
        </is>
      </c>
    </row>
    <row r="120">
      <c r="A120" t="inlineStr">
        <is>
          <t>ED206909</t>
        </is>
      </c>
      <c r="B120" t="inlineStr">
        <is>
          <t>PT13660</t>
        </is>
      </c>
      <c r="C120" s="26" t="n">
        <v>45698.62777777778</v>
      </c>
      <c r="D120" t="inlineStr">
        <is>
          <t>Mon</t>
        </is>
      </c>
      <c r="E120" s="27" t="n">
        <v>15</v>
      </c>
      <c r="F120" t="inlineStr">
        <is>
          <t>Walk-In</t>
        </is>
      </c>
      <c r="G120" s="27" t="n">
        <v>3</v>
      </c>
      <c r="H120" t="inlineStr">
        <is>
          <t>Rash</t>
        </is>
      </c>
      <c r="I120" t="n">
        <v>91</v>
      </c>
      <c r="J120" t="n">
        <v>178</v>
      </c>
      <c r="K120" s="28">
        <f>I120/J120</f>
        <v/>
      </c>
      <c r="L120" s="27" t="n">
        <v>72</v>
      </c>
      <c r="M120" t="inlineStr">
        <is>
          <t>Admitted</t>
        </is>
      </c>
    </row>
    <row r="121">
      <c r="A121" t="inlineStr">
        <is>
          <t>ED206918</t>
        </is>
      </c>
      <c r="B121" t="inlineStr">
        <is>
          <t>PT10749</t>
        </is>
      </c>
      <c r="C121" s="26" t="n">
        <v>45698.92013888889</v>
      </c>
      <c r="D121" t="inlineStr">
        <is>
          <t>Mon</t>
        </is>
      </c>
      <c r="E121" s="27" t="n">
        <v>22</v>
      </c>
      <c r="F121" t="inlineStr">
        <is>
          <t>Walk-In</t>
        </is>
      </c>
      <c r="G121" s="27" t="n">
        <v>4</v>
      </c>
      <c r="H121" t="inlineStr">
        <is>
          <t>Skin Redness / Swelling</t>
        </is>
      </c>
      <c r="I121" t="n">
        <v>94</v>
      </c>
      <c r="J121" t="n">
        <v>134</v>
      </c>
      <c r="K121" s="28">
        <f>I121/J121</f>
        <v/>
      </c>
      <c r="L121" s="27" t="n">
        <v>104</v>
      </c>
      <c r="M121" t="inlineStr">
        <is>
          <t>Discharged</t>
        </is>
      </c>
    </row>
    <row r="122">
      <c r="A122" t="inlineStr">
        <is>
          <t>ED206920</t>
        </is>
      </c>
      <c r="B122" t="inlineStr">
        <is>
          <t>PT10801</t>
        </is>
      </c>
      <c r="C122" s="26" t="n">
        <v>45699.02013888889</v>
      </c>
      <c r="D122" t="inlineStr">
        <is>
          <t>Tue</t>
        </is>
      </c>
      <c r="E122" s="27" t="n">
        <v>0</v>
      </c>
      <c r="F122" t="inlineStr">
        <is>
          <t>Ambulance</t>
        </is>
      </c>
      <c r="G122" s="27" t="n">
        <v>2</v>
      </c>
      <c r="H122" t="inlineStr">
        <is>
          <t>Cough / Fever</t>
        </is>
      </c>
      <c r="I122" t="n">
        <v>97</v>
      </c>
      <c r="J122" t="n">
        <v>125</v>
      </c>
      <c r="K122" s="28">
        <f>I122/J122</f>
        <v/>
      </c>
      <c r="L122" s="27" t="n">
        <v>6</v>
      </c>
      <c r="M122" t="inlineStr">
        <is>
          <t>Admitted</t>
        </is>
      </c>
    </row>
    <row r="123">
      <c r="A123" t="inlineStr">
        <is>
          <t>ED206921</t>
        </is>
      </c>
      <c r="B123" t="inlineStr">
        <is>
          <t>PT10756</t>
        </is>
      </c>
      <c r="C123" s="26" t="n">
        <v>45699.11041666667</v>
      </c>
      <c r="D123" t="inlineStr">
        <is>
          <t>Tue</t>
        </is>
      </c>
      <c r="E123" s="27" t="n">
        <v>2</v>
      </c>
      <c r="F123" t="inlineStr">
        <is>
          <t>Walk-In</t>
        </is>
      </c>
      <c r="G123" s="27" t="n">
        <v>3</v>
      </c>
      <c r="H123" t="inlineStr">
        <is>
          <t>Shortness of Breath</t>
        </is>
      </c>
      <c r="I123" t="n">
        <v>80</v>
      </c>
      <c r="J123" t="n">
        <v>127</v>
      </c>
      <c r="K123" s="28">
        <f>I123/J123</f>
        <v/>
      </c>
      <c r="L123" s="27" t="n">
        <v>30</v>
      </c>
      <c r="M123" t="inlineStr">
        <is>
          <t>Discharged</t>
        </is>
      </c>
    </row>
    <row r="124">
      <c r="A124" t="inlineStr">
        <is>
          <t>ED206930</t>
        </is>
      </c>
      <c r="B124" t="inlineStr">
        <is>
          <t>PT11421</t>
        </is>
      </c>
      <c r="C124" s="26" t="n">
        <v>45699.49097222222</v>
      </c>
      <c r="D124" t="inlineStr">
        <is>
          <t>Tue</t>
        </is>
      </c>
      <c r="E124" s="27" t="n">
        <v>11</v>
      </c>
      <c r="F124" t="inlineStr">
        <is>
          <t>Walk-In</t>
        </is>
      </c>
      <c r="G124" s="27" t="n">
        <v>4</v>
      </c>
      <c r="H124" t="inlineStr">
        <is>
          <t>Ankle Injury</t>
        </is>
      </c>
      <c r="I124" t="n">
        <v>86</v>
      </c>
      <c r="J124" t="n">
        <v>159</v>
      </c>
      <c r="K124" s="28">
        <f>I124/J124</f>
        <v/>
      </c>
      <c r="L124" s="27" t="n">
        <v>32</v>
      </c>
      <c r="M124" t="inlineStr">
        <is>
          <t>Discharged</t>
        </is>
      </c>
    </row>
    <row r="125">
      <c r="A125" t="inlineStr">
        <is>
          <t>ED206944</t>
        </is>
      </c>
      <c r="B125" t="inlineStr">
        <is>
          <t>PT11260</t>
        </is>
      </c>
      <c r="C125" s="26" t="n">
        <v>45700.12638888889</v>
      </c>
      <c r="D125" t="inlineStr">
        <is>
          <t>Wed</t>
        </is>
      </c>
      <c r="E125" s="27" t="n">
        <v>3</v>
      </c>
      <c r="F125" t="inlineStr">
        <is>
          <t>Walk-In</t>
        </is>
      </c>
      <c r="G125" s="27" t="n">
        <v>3</v>
      </c>
      <c r="H125" t="inlineStr">
        <is>
          <t>Abdominal Pain</t>
        </is>
      </c>
      <c r="I125" t="n">
        <v>68</v>
      </c>
      <c r="J125" t="n">
        <v>136</v>
      </c>
      <c r="K125" s="28">
        <f>I125/J125</f>
        <v/>
      </c>
      <c r="L125" s="27" t="n">
        <v>20</v>
      </c>
      <c r="M125" t="inlineStr">
        <is>
          <t>Discharged</t>
        </is>
      </c>
    </row>
    <row r="126">
      <c r="A126" t="inlineStr">
        <is>
          <t>ED206947</t>
        </is>
      </c>
      <c r="B126" t="inlineStr">
        <is>
          <t>PT13012</t>
        </is>
      </c>
      <c r="C126" s="26" t="n">
        <v>45700.38819444444</v>
      </c>
      <c r="D126" t="inlineStr">
        <is>
          <t>Wed</t>
        </is>
      </c>
      <c r="E126" s="27" t="n">
        <v>9</v>
      </c>
      <c r="F126" t="inlineStr">
        <is>
          <t>Walk-In</t>
        </is>
      </c>
      <c r="G126" s="27" t="n">
        <v>4</v>
      </c>
      <c r="H126" t="inlineStr">
        <is>
          <t>Cough / Fever</t>
        </is>
      </c>
      <c r="I126" t="n">
        <v>65</v>
      </c>
      <c r="J126" t="n">
        <v>108</v>
      </c>
      <c r="K126" s="28">
        <f>I126/J126</f>
        <v/>
      </c>
      <c r="L126" s="27" t="n">
        <v>98</v>
      </c>
      <c r="M126" t="inlineStr">
        <is>
          <t>Discharged</t>
        </is>
      </c>
    </row>
    <row r="127">
      <c r="A127" t="inlineStr">
        <is>
          <t>ED206970</t>
        </is>
      </c>
      <c r="B127" t="inlineStr">
        <is>
          <t>PT10659</t>
        </is>
      </c>
      <c r="C127" s="26" t="n">
        <v>45701.67777777778</v>
      </c>
      <c r="D127" t="inlineStr">
        <is>
          <t>Thu</t>
        </is>
      </c>
      <c r="E127" s="27" t="n">
        <v>16</v>
      </c>
      <c r="F127" t="inlineStr">
        <is>
          <t>Walk-In</t>
        </is>
      </c>
      <c r="G127" s="27" t="n">
        <v>4</v>
      </c>
      <c r="H127" t="inlineStr">
        <is>
          <t>Abdominal Pain</t>
        </is>
      </c>
      <c r="I127" t="n">
        <v>101</v>
      </c>
      <c r="J127" t="n">
        <v>131</v>
      </c>
      <c r="K127" s="28">
        <f>I127/J127</f>
        <v/>
      </c>
      <c r="L127" s="27" t="n">
        <v>86</v>
      </c>
      <c r="M127" t="inlineStr">
        <is>
          <t>Discharged</t>
        </is>
      </c>
    </row>
    <row r="128">
      <c r="A128" t="inlineStr">
        <is>
          <t>ED206977</t>
        </is>
      </c>
      <c r="B128" t="inlineStr">
        <is>
          <t>PT11417</t>
        </is>
      </c>
      <c r="C128" s="26" t="n">
        <v>45701.8875</v>
      </c>
      <c r="D128" t="inlineStr">
        <is>
          <t>Thu</t>
        </is>
      </c>
      <c r="E128" s="27" t="n">
        <v>21</v>
      </c>
      <c r="F128" t="inlineStr">
        <is>
          <t>Ambulance</t>
        </is>
      </c>
      <c r="G128" s="27" t="n">
        <v>2</v>
      </c>
      <c r="H128" t="inlineStr">
        <is>
          <t>Fever / Altered Mental Status</t>
        </is>
      </c>
      <c r="I128" t="n">
        <v>133</v>
      </c>
      <c r="J128" t="n">
        <v>76</v>
      </c>
      <c r="K128" s="28">
        <f>I128/J128</f>
        <v/>
      </c>
      <c r="L128" s="27" t="n">
        <v>21</v>
      </c>
      <c r="M128" t="inlineStr">
        <is>
          <t>Admitted</t>
        </is>
      </c>
    </row>
    <row r="129">
      <c r="A129" t="inlineStr">
        <is>
          <t>ED206985</t>
        </is>
      </c>
      <c r="B129" t="inlineStr">
        <is>
          <t>PT11659</t>
        </is>
      </c>
      <c r="C129" s="26" t="n">
        <v>45702.50277777778</v>
      </c>
      <c r="D129" t="inlineStr">
        <is>
          <t>Fri</t>
        </is>
      </c>
      <c r="E129" s="27" t="n">
        <v>12</v>
      </c>
      <c r="F129" t="inlineStr">
        <is>
          <t>Walk-In</t>
        </is>
      </c>
      <c r="G129" s="27" t="n">
        <v>2</v>
      </c>
      <c r="H129" t="inlineStr">
        <is>
          <t>Fever / Altered Mental Status</t>
        </is>
      </c>
      <c r="I129" t="n">
        <v>138</v>
      </c>
      <c r="J129" t="n">
        <v>107</v>
      </c>
      <c r="K129" s="28">
        <f>I129/J129</f>
        <v/>
      </c>
      <c r="L129" s="27" t="n">
        <v>46</v>
      </c>
      <c r="M129" t="inlineStr">
        <is>
          <t>Admitted</t>
        </is>
      </c>
    </row>
    <row r="130">
      <c r="A130" t="inlineStr">
        <is>
          <t>ED206995</t>
        </is>
      </c>
      <c r="B130" t="inlineStr">
        <is>
          <t>PT13702</t>
        </is>
      </c>
      <c r="C130" s="26" t="n">
        <v>45703.00625</v>
      </c>
      <c r="D130" t="inlineStr">
        <is>
          <t>Sat</t>
        </is>
      </c>
      <c r="E130" s="27" t="n">
        <v>0</v>
      </c>
      <c r="F130" t="inlineStr">
        <is>
          <t>Walk-In</t>
        </is>
      </c>
      <c r="G130" s="27" t="n">
        <v>4</v>
      </c>
      <c r="H130" t="inlineStr">
        <is>
          <t>Skin Redness / Swelling</t>
        </is>
      </c>
      <c r="I130" t="n">
        <v>79</v>
      </c>
      <c r="J130" t="n">
        <v>121</v>
      </c>
      <c r="K130" s="28">
        <f>I130/J130</f>
        <v/>
      </c>
      <c r="L130" s="27" t="n">
        <v>66</v>
      </c>
      <c r="M130" t="inlineStr">
        <is>
          <t>Discharged</t>
        </is>
      </c>
    </row>
    <row r="131">
      <c r="A131" t="inlineStr">
        <is>
          <t>ED206998</t>
        </is>
      </c>
      <c r="B131" t="inlineStr">
        <is>
          <t>PT11838</t>
        </is>
      </c>
      <c r="C131" s="26" t="n">
        <v>45703.39861111111</v>
      </c>
      <c r="D131" t="inlineStr">
        <is>
          <t>Sat</t>
        </is>
      </c>
      <c r="E131" s="27" t="n">
        <v>9</v>
      </c>
      <c r="F131" t="inlineStr">
        <is>
          <t>Walk-In</t>
        </is>
      </c>
      <c r="G131" s="27" t="n">
        <v>3</v>
      </c>
      <c r="H131" t="inlineStr">
        <is>
          <t>Headache</t>
        </is>
      </c>
      <c r="I131" t="n">
        <v>77</v>
      </c>
      <c r="J131" t="n">
        <v>122</v>
      </c>
      <c r="K131" s="28">
        <f>I131/J131</f>
        <v/>
      </c>
      <c r="L131" s="27" t="n">
        <v>68</v>
      </c>
      <c r="M131" t="inlineStr">
        <is>
          <t>Discharged</t>
        </is>
      </c>
    </row>
    <row r="132">
      <c r="A132" t="inlineStr">
        <is>
          <t>ED207011</t>
        </is>
      </c>
      <c r="B132" t="inlineStr">
        <is>
          <t>PT10673</t>
        </is>
      </c>
      <c r="C132" s="26" t="n">
        <v>45704.12777777778</v>
      </c>
      <c r="D132" t="inlineStr">
        <is>
          <t>Sun</t>
        </is>
      </c>
      <c r="E132" s="27" t="n">
        <v>3</v>
      </c>
      <c r="F132" t="inlineStr">
        <is>
          <t>Walk-In</t>
        </is>
      </c>
      <c r="G132" s="27" t="n">
        <v>3</v>
      </c>
      <c r="H132" t="inlineStr">
        <is>
          <t>Weakness / Fatigue</t>
        </is>
      </c>
      <c r="I132" t="n">
        <v>96</v>
      </c>
      <c r="J132" t="n">
        <v>110</v>
      </c>
      <c r="K132" s="28">
        <f>I132/J132</f>
        <v/>
      </c>
      <c r="L132" s="27" t="n">
        <v>20</v>
      </c>
      <c r="M132" t="inlineStr">
        <is>
          <t>Transferred</t>
        </is>
      </c>
    </row>
    <row r="133">
      <c r="A133" s="29" t="inlineStr">
        <is>
          <t>ED207018</t>
        </is>
      </c>
      <c r="B133" s="29" t="inlineStr">
        <is>
          <t>PT10992</t>
        </is>
      </c>
      <c r="C133" s="30" t="n">
        <v>45704.59722222222</v>
      </c>
      <c r="D133" s="29" t="inlineStr">
        <is>
          <t>Sun</t>
        </is>
      </c>
      <c r="E133" s="31" t="n">
        <v>14</v>
      </c>
      <c r="F133" s="29" t="inlineStr">
        <is>
          <t>Walk-In</t>
        </is>
      </c>
      <c r="G133" s="31" t="n">
        <v>3</v>
      </c>
      <c r="H133" s="29" t="inlineStr">
        <is>
          <t>Cough / Fever</t>
        </is>
      </c>
      <c r="I133" s="29" t="n">
        <v>108</v>
      </c>
      <c r="J133" s="29" t="n">
        <v>159</v>
      </c>
      <c r="K133" s="32">
        <f>I133/J133</f>
        <v/>
      </c>
      <c r="L133" s="31" t="n">
        <v>94</v>
      </c>
      <c r="M133" s="29" t="inlineStr">
        <is>
          <t>Discharged</t>
        </is>
      </c>
    </row>
    <row r="134">
      <c r="A134" s="29" t="inlineStr">
        <is>
          <t>ED207021</t>
        </is>
      </c>
      <c r="B134" s="29" t="inlineStr">
        <is>
          <t>PT10800</t>
        </is>
      </c>
      <c r="C134" s="30" t="n">
        <v>45704.62777777778</v>
      </c>
      <c r="D134" s="29" t="inlineStr">
        <is>
          <t>Sun</t>
        </is>
      </c>
      <c r="E134" s="31" t="n">
        <v>15</v>
      </c>
      <c r="F134" s="29" t="inlineStr">
        <is>
          <t>Walk-In</t>
        </is>
      </c>
      <c r="G134" s="31" t="n">
        <v>3</v>
      </c>
      <c r="H134" s="29" t="inlineStr">
        <is>
          <t>Cough / Fever</t>
        </is>
      </c>
      <c r="I134" s="29" t="n">
        <v>106</v>
      </c>
      <c r="J134" s="29" t="n">
        <v>99</v>
      </c>
      <c r="K134" s="32">
        <f>I134/J134</f>
        <v/>
      </c>
      <c r="L134" s="31" t="n">
        <v>210</v>
      </c>
      <c r="M134" s="29" t="inlineStr">
        <is>
          <t>Discharged</t>
        </is>
      </c>
    </row>
    <row r="135">
      <c r="A135" t="inlineStr">
        <is>
          <t>ED207033</t>
        </is>
      </c>
      <c r="B135" t="inlineStr">
        <is>
          <t>PT11961</t>
        </is>
      </c>
      <c r="C135" s="26" t="n">
        <v>45705.27638888889</v>
      </c>
      <c r="D135" t="inlineStr">
        <is>
          <t>Mon</t>
        </is>
      </c>
      <c r="E135" s="27" t="n">
        <v>6</v>
      </c>
      <c r="F135" t="inlineStr">
        <is>
          <t>Walk-In</t>
        </is>
      </c>
      <c r="G135" s="27" t="n">
        <v>4</v>
      </c>
      <c r="H135" t="inlineStr">
        <is>
          <t>Fall</t>
        </is>
      </c>
      <c r="I135" t="n">
        <v>96</v>
      </c>
      <c r="J135" t="n">
        <v>118</v>
      </c>
      <c r="K135" s="28">
        <f>I135/J135</f>
        <v/>
      </c>
      <c r="L135" s="27" t="n">
        <v>35</v>
      </c>
      <c r="M135" t="inlineStr">
        <is>
          <t>Discharged</t>
        </is>
      </c>
    </row>
    <row r="136">
      <c r="A136" t="inlineStr">
        <is>
          <t>ED207036</t>
        </is>
      </c>
      <c r="B136" t="inlineStr">
        <is>
          <t>PT10063</t>
        </is>
      </c>
      <c r="C136" s="26" t="n">
        <v>45705.40486111111</v>
      </c>
      <c r="D136" t="inlineStr">
        <is>
          <t>Mon</t>
        </is>
      </c>
      <c r="E136" s="27" t="n">
        <v>9</v>
      </c>
      <c r="F136" t="inlineStr">
        <is>
          <t>Ambulance</t>
        </is>
      </c>
      <c r="G136" s="27" t="n">
        <v>2</v>
      </c>
      <c r="H136" t="inlineStr">
        <is>
          <t>Shortness of Breath</t>
        </is>
      </c>
      <c r="I136" t="n">
        <v>104</v>
      </c>
      <c r="J136" t="n">
        <v>96</v>
      </c>
      <c r="K136" s="28">
        <f>I136/J136</f>
        <v/>
      </c>
      <c r="L136" s="27" t="n">
        <v>19</v>
      </c>
      <c r="M136" t="inlineStr">
        <is>
          <t>Discharged</t>
        </is>
      </c>
    </row>
    <row r="137">
      <c r="A137" t="inlineStr">
        <is>
          <t>ED207038</t>
        </is>
      </c>
      <c r="B137" t="inlineStr">
        <is>
          <t>PT12461</t>
        </is>
      </c>
      <c r="C137" s="26" t="n">
        <v>45705.42916666667</v>
      </c>
      <c r="D137" t="inlineStr">
        <is>
          <t>Mon</t>
        </is>
      </c>
      <c r="E137" s="27" t="n">
        <v>10</v>
      </c>
      <c r="F137" t="inlineStr">
        <is>
          <t>Walk-In</t>
        </is>
      </c>
      <c r="G137" s="27" t="n">
        <v>4</v>
      </c>
      <c r="H137" t="inlineStr">
        <is>
          <t>Headache</t>
        </is>
      </c>
      <c r="I137" t="n">
        <v>75</v>
      </c>
      <c r="J137" t="n">
        <v>176</v>
      </c>
      <c r="K137" s="28">
        <f>I137/J137</f>
        <v/>
      </c>
      <c r="L137" s="27" t="n">
        <v>59</v>
      </c>
      <c r="M137" t="inlineStr">
        <is>
          <t>Discharged</t>
        </is>
      </c>
    </row>
    <row r="138">
      <c r="A138" t="inlineStr">
        <is>
          <t>ED207046</t>
        </is>
      </c>
      <c r="B138" t="inlineStr">
        <is>
          <t>PT13779</t>
        </is>
      </c>
      <c r="C138" s="26" t="n">
        <v>45705.88958333333</v>
      </c>
      <c r="D138" t="inlineStr">
        <is>
          <t>Mon</t>
        </is>
      </c>
      <c r="E138" s="27" t="n">
        <v>21</v>
      </c>
      <c r="F138" t="inlineStr">
        <is>
          <t>Walk-In</t>
        </is>
      </c>
      <c r="G138" s="27" t="n">
        <v>4</v>
      </c>
      <c r="H138" t="inlineStr">
        <is>
          <t>Rash</t>
        </is>
      </c>
      <c r="I138" t="n">
        <v>120</v>
      </c>
      <c r="J138" t="n">
        <v>99</v>
      </c>
      <c r="K138" s="28">
        <f>I138/J138</f>
        <v/>
      </c>
      <c r="L138" s="27" t="n">
        <v>45</v>
      </c>
      <c r="M138" t="inlineStr">
        <is>
          <t>Discharged</t>
        </is>
      </c>
    </row>
    <row r="139">
      <c r="A139" t="inlineStr">
        <is>
          <t>ED207058</t>
        </is>
      </c>
      <c r="B139" t="inlineStr">
        <is>
          <t>PT11168</t>
        </is>
      </c>
      <c r="C139" s="26" t="n">
        <v>45706.76597222222</v>
      </c>
      <c r="D139" t="inlineStr">
        <is>
          <t>Tue</t>
        </is>
      </c>
      <c r="E139" s="27" t="n">
        <v>18</v>
      </c>
      <c r="F139" t="inlineStr">
        <is>
          <t>Ambulance</t>
        </is>
      </c>
      <c r="G139" s="27" t="n">
        <v>2</v>
      </c>
      <c r="H139" t="inlineStr">
        <is>
          <t>Confusion</t>
        </is>
      </c>
      <c r="I139" t="n">
        <v>93</v>
      </c>
      <c r="J139" t="n">
        <v>141</v>
      </c>
      <c r="K139" s="28">
        <f>I139/J139</f>
        <v/>
      </c>
      <c r="L139" s="27" t="n">
        <v>53</v>
      </c>
      <c r="M139" t="inlineStr">
        <is>
          <t>Admitted</t>
        </is>
      </c>
    </row>
    <row r="140">
      <c r="A140" t="inlineStr">
        <is>
          <t>ED207092</t>
        </is>
      </c>
      <c r="B140" t="inlineStr">
        <is>
          <t>PT10881</t>
        </is>
      </c>
      <c r="C140" s="26" t="n">
        <v>45707.94513888889</v>
      </c>
      <c r="D140" t="inlineStr">
        <is>
          <t>Wed</t>
        </is>
      </c>
      <c r="E140" s="27" t="n">
        <v>22</v>
      </c>
      <c r="F140" t="inlineStr">
        <is>
          <t>Ambulance</t>
        </is>
      </c>
      <c r="G140" s="27" t="n">
        <v>2</v>
      </c>
      <c r="H140" t="inlineStr">
        <is>
          <t>Vomiting / Dizziness</t>
        </is>
      </c>
      <c r="I140" t="n">
        <v>95</v>
      </c>
      <c r="J140" t="n">
        <v>125</v>
      </c>
      <c r="K140" s="28">
        <f>I140/J140</f>
        <v/>
      </c>
      <c r="L140" s="27" t="n">
        <v>16</v>
      </c>
      <c r="M140" t="inlineStr">
        <is>
          <t>Admitted</t>
        </is>
      </c>
    </row>
    <row r="141">
      <c r="A141" t="inlineStr">
        <is>
          <t>ED207095</t>
        </is>
      </c>
      <c r="B141" t="inlineStr">
        <is>
          <t>PT11190</t>
        </is>
      </c>
      <c r="C141" s="26" t="n">
        <v>45708.23125</v>
      </c>
      <c r="D141" t="inlineStr">
        <is>
          <t>Thu</t>
        </is>
      </c>
      <c r="E141" s="27" t="n">
        <v>5</v>
      </c>
      <c r="F141" t="inlineStr">
        <is>
          <t>Walk-In</t>
        </is>
      </c>
      <c r="G141" s="27" t="n">
        <v>3</v>
      </c>
      <c r="H141" t="inlineStr">
        <is>
          <t>Fall</t>
        </is>
      </c>
      <c r="I141" t="n">
        <v>76</v>
      </c>
      <c r="J141" t="n">
        <v>122</v>
      </c>
      <c r="K141" s="28">
        <f>I141/J141</f>
        <v/>
      </c>
      <c r="L141" s="27" t="n">
        <v>29</v>
      </c>
      <c r="M141" t="inlineStr">
        <is>
          <t>Admitted</t>
        </is>
      </c>
    </row>
    <row r="142">
      <c r="A142" t="inlineStr">
        <is>
          <t>ED207111</t>
        </is>
      </c>
      <c r="B142" t="inlineStr">
        <is>
          <t>PT11862</t>
        </is>
      </c>
      <c r="C142" s="26" t="n">
        <v>45708.76388888889</v>
      </c>
      <c r="D142" t="inlineStr">
        <is>
          <t>Thu</t>
        </is>
      </c>
      <c r="E142" s="27" t="n">
        <v>18</v>
      </c>
      <c r="F142" t="inlineStr">
        <is>
          <t>Walk-In</t>
        </is>
      </c>
      <c r="G142" s="27" t="n">
        <v>5</v>
      </c>
      <c r="H142" t="inlineStr">
        <is>
          <t>Cough / Fever</t>
        </is>
      </c>
      <c r="I142" t="n">
        <v>76</v>
      </c>
      <c r="J142" t="n">
        <v>118</v>
      </c>
      <c r="K142" s="28">
        <f>I142/J142</f>
        <v/>
      </c>
      <c r="L142" s="27" t="n">
        <v>62</v>
      </c>
      <c r="M142" t="inlineStr">
        <is>
          <t>Discharged</t>
        </is>
      </c>
    </row>
    <row r="143">
      <c r="A143" t="inlineStr">
        <is>
          <t>ED207123</t>
        </is>
      </c>
      <c r="B143" t="inlineStr">
        <is>
          <t>PT11535</t>
        </is>
      </c>
      <c r="C143" s="26" t="n">
        <v>45709.45972222222</v>
      </c>
      <c r="D143" t="inlineStr">
        <is>
          <t>Fri</t>
        </is>
      </c>
      <c r="E143" s="27" t="n">
        <v>11</v>
      </c>
      <c r="F143" t="inlineStr">
        <is>
          <t>Walk-In</t>
        </is>
      </c>
      <c r="G143" s="27" t="n">
        <v>4</v>
      </c>
      <c r="H143" t="inlineStr">
        <is>
          <t>Cough / Fever</t>
        </is>
      </c>
      <c r="I143" t="n">
        <v>83</v>
      </c>
      <c r="J143" t="n">
        <v>152</v>
      </c>
      <c r="K143" s="28">
        <f>I143/J143</f>
        <v/>
      </c>
      <c r="L143" s="27" t="n">
        <v>52</v>
      </c>
      <c r="M143" t="inlineStr">
        <is>
          <t>Discharged</t>
        </is>
      </c>
    </row>
    <row r="144">
      <c r="A144" s="29" t="inlineStr">
        <is>
          <t>ED207125</t>
        </is>
      </c>
      <c r="B144" s="29" t="inlineStr">
        <is>
          <t>PT11968</t>
        </is>
      </c>
      <c r="C144" s="30" t="n">
        <v>45709.51597222222</v>
      </c>
      <c r="D144" s="29" t="inlineStr">
        <is>
          <t>Fri</t>
        </is>
      </c>
      <c r="E144" s="31" t="n">
        <v>12</v>
      </c>
      <c r="F144" s="29" t="inlineStr">
        <is>
          <t>Walk-In</t>
        </is>
      </c>
      <c r="G144" s="31" t="n">
        <v>3</v>
      </c>
      <c r="H144" s="29" t="inlineStr">
        <is>
          <t>Cough / Fever</t>
        </is>
      </c>
      <c r="I144" s="29" t="n">
        <v>98</v>
      </c>
      <c r="J144" s="29" t="n">
        <v>148</v>
      </c>
      <c r="K144" s="32">
        <f>I144/J144</f>
        <v/>
      </c>
      <c r="L144" s="31" t="n">
        <v>86</v>
      </c>
      <c r="M144" s="29" t="inlineStr">
        <is>
          <t>Discharged</t>
        </is>
      </c>
    </row>
    <row r="145">
      <c r="A145" t="inlineStr">
        <is>
          <t>ED207138</t>
        </is>
      </c>
      <c r="B145" t="inlineStr">
        <is>
          <t>PT11717</t>
        </is>
      </c>
      <c r="C145" s="26" t="n">
        <v>45710.40486111111</v>
      </c>
      <c r="D145" t="inlineStr">
        <is>
          <t>Sat</t>
        </is>
      </c>
      <c r="E145" s="27" t="n">
        <v>9</v>
      </c>
      <c r="F145" t="inlineStr">
        <is>
          <t>Walk-In</t>
        </is>
      </c>
      <c r="G145" s="27" t="n">
        <v>4</v>
      </c>
      <c r="H145" t="inlineStr">
        <is>
          <t>Shortness of Breath</t>
        </is>
      </c>
      <c r="I145" t="n">
        <v>106</v>
      </c>
      <c r="J145" t="n">
        <v>77</v>
      </c>
      <c r="K145" s="28">
        <f>I145/J145</f>
        <v/>
      </c>
      <c r="L145" s="27" t="n">
        <v>117</v>
      </c>
      <c r="M145" t="inlineStr">
        <is>
          <t>Discharged</t>
        </is>
      </c>
    </row>
    <row r="146">
      <c r="A146" t="inlineStr">
        <is>
          <t>ED207139</t>
        </is>
      </c>
      <c r="B146" t="inlineStr">
        <is>
          <t>PT10756</t>
        </is>
      </c>
      <c r="C146" s="26" t="n">
        <v>45710.40902777778</v>
      </c>
      <c r="D146" t="inlineStr">
        <is>
          <t>Sat</t>
        </is>
      </c>
      <c r="E146" s="27" t="n">
        <v>9</v>
      </c>
      <c r="F146" t="inlineStr">
        <is>
          <t>Walk-In</t>
        </is>
      </c>
      <c r="G146" s="27" t="n">
        <v>3</v>
      </c>
      <c r="H146" t="inlineStr">
        <is>
          <t>Laceration</t>
        </is>
      </c>
      <c r="I146" t="n">
        <v>122</v>
      </c>
      <c r="J146" t="n">
        <v>127</v>
      </c>
      <c r="K146" s="28">
        <f>I146/J146</f>
        <v/>
      </c>
      <c r="L146" s="27" t="n">
        <v>108</v>
      </c>
      <c r="M146" t="inlineStr">
        <is>
          <t>Discharged</t>
        </is>
      </c>
    </row>
    <row r="147">
      <c r="A147" t="inlineStr">
        <is>
          <t>ED207141</t>
        </is>
      </c>
      <c r="B147" t="inlineStr">
        <is>
          <t>PT12629</t>
        </is>
      </c>
      <c r="C147" s="26" t="n">
        <v>45710.42013888889</v>
      </c>
      <c r="D147" t="inlineStr">
        <is>
          <t>Sat</t>
        </is>
      </c>
      <c r="E147" s="27" t="n">
        <v>10</v>
      </c>
      <c r="F147" t="inlineStr">
        <is>
          <t>Walk-In</t>
        </is>
      </c>
      <c r="G147" s="27" t="n">
        <v>4</v>
      </c>
      <c r="H147" t="inlineStr">
        <is>
          <t>Cough / Fever</t>
        </is>
      </c>
      <c r="I147" t="n">
        <v>79</v>
      </c>
      <c r="J147" t="n">
        <v>155</v>
      </c>
      <c r="K147" s="28">
        <f>I147/J147</f>
        <v/>
      </c>
      <c r="L147" s="27" t="n">
        <v>52</v>
      </c>
      <c r="M147" t="inlineStr">
        <is>
          <t>Discharged</t>
        </is>
      </c>
    </row>
    <row r="148">
      <c r="A148" s="29" t="inlineStr">
        <is>
          <t>ED207160</t>
        </is>
      </c>
      <c r="B148" s="29" t="inlineStr">
        <is>
          <t>PT11893</t>
        </is>
      </c>
      <c r="C148" s="30" t="n">
        <v>45711.18888888889</v>
      </c>
      <c r="D148" s="29" t="inlineStr">
        <is>
          <t>Sun</t>
        </is>
      </c>
      <c r="E148" s="31" t="n">
        <v>4</v>
      </c>
      <c r="F148" s="29" t="inlineStr">
        <is>
          <t>Walk-In</t>
        </is>
      </c>
      <c r="G148" s="31" t="n">
        <v>3</v>
      </c>
      <c r="H148" s="29" t="inlineStr">
        <is>
          <t>Cough / Fever</t>
        </is>
      </c>
      <c r="I148" s="29" t="n">
        <v>142</v>
      </c>
      <c r="J148" s="29" t="n">
        <v>106</v>
      </c>
      <c r="K148" s="32">
        <f>I148/J148</f>
        <v/>
      </c>
      <c r="L148" s="31" t="n">
        <v>8</v>
      </c>
      <c r="M148" s="29" t="inlineStr">
        <is>
          <t>Discharged</t>
        </is>
      </c>
    </row>
    <row r="149">
      <c r="A149" t="inlineStr">
        <is>
          <t>ED207161</t>
        </is>
      </c>
      <c r="B149" t="inlineStr">
        <is>
          <t>PT11437</t>
        </is>
      </c>
      <c r="C149" s="26" t="n">
        <v>45711.36180555556</v>
      </c>
      <c r="D149" t="inlineStr">
        <is>
          <t>Sun</t>
        </is>
      </c>
      <c r="E149" s="27" t="n">
        <v>8</v>
      </c>
      <c r="F149" t="inlineStr">
        <is>
          <t>Ambulance</t>
        </is>
      </c>
      <c r="G149" s="27" t="n">
        <v>2</v>
      </c>
      <c r="H149" t="inlineStr">
        <is>
          <t>Chest Pain</t>
        </is>
      </c>
      <c r="I149" t="n">
        <v>88</v>
      </c>
      <c r="J149" t="n">
        <v>181</v>
      </c>
      <c r="K149" s="28">
        <f>I149/J149</f>
        <v/>
      </c>
      <c r="L149" s="27" t="n">
        <v>6</v>
      </c>
      <c r="M149" t="inlineStr">
        <is>
          <t>Admitted</t>
        </is>
      </c>
    </row>
    <row r="150">
      <c r="A150" t="inlineStr">
        <is>
          <t>ED207176</t>
        </is>
      </c>
      <c r="B150" t="inlineStr">
        <is>
          <t>PT12824</t>
        </is>
      </c>
      <c r="C150" s="26" t="n">
        <v>45712.38819444444</v>
      </c>
      <c r="D150" t="inlineStr">
        <is>
          <t>Mon</t>
        </is>
      </c>
      <c r="E150" s="27" t="n">
        <v>9</v>
      </c>
      <c r="F150" t="inlineStr">
        <is>
          <t>Walk-In</t>
        </is>
      </c>
      <c r="G150" s="27" t="n">
        <v>2</v>
      </c>
      <c r="H150" t="inlineStr">
        <is>
          <t>Painful Urination / Fever</t>
        </is>
      </c>
      <c r="I150" t="n">
        <v>77</v>
      </c>
      <c r="J150" t="n">
        <v>120</v>
      </c>
      <c r="K150" s="28">
        <f>I150/J150</f>
        <v/>
      </c>
      <c r="L150" s="27" t="n">
        <v>11</v>
      </c>
      <c r="M150" t="inlineStr">
        <is>
          <t>Discharged</t>
        </is>
      </c>
    </row>
    <row r="151">
      <c r="A151" t="inlineStr">
        <is>
          <t>ED207179</t>
        </is>
      </c>
      <c r="B151" t="inlineStr">
        <is>
          <t>PT13967</t>
        </is>
      </c>
      <c r="C151" s="26" t="n">
        <v>45712.43541666667</v>
      </c>
      <c r="D151" t="inlineStr">
        <is>
          <t>Mon</t>
        </is>
      </c>
      <c r="E151" s="27" t="n">
        <v>10</v>
      </c>
      <c r="F151" t="inlineStr">
        <is>
          <t>Walk-In</t>
        </is>
      </c>
      <c r="G151" s="27" t="n">
        <v>3</v>
      </c>
      <c r="H151" t="inlineStr">
        <is>
          <t>Cough / Fever</t>
        </is>
      </c>
      <c r="I151" t="n">
        <v>66</v>
      </c>
      <c r="J151" t="n">
        <v>111</v>
      </c>
      <c r="K151" s="28">
        <f>I151/J151</f>
        <v/>
      </c>
      <c r="L151" s="27" t="n">
        <v>60</v>
      </c>
      <c r="M151" t="inlineStr">
        <is>
          <t>Discharged</t>
        </is>
      </c>
    </row>
    <row r="152">
      <c r="A152" t="inlineStr">
        <is>
          <t>ED207182</t>
        </is>
      </c>
      <c r="B152" t="inlineStr">
        <is>
          <t>PT12288</t>
        </is>
      </c>
      <c r="C152" s="26" t="n">
        <v>45712.45416666667</v>
      </c>
      <c r="D152" t="inlineStr">
        <is>
          <t>Mon</t>
        </is>
      </c>
      <c r="E152" s="27" t="n">
        <v>10</v>
      </c>
      <c r="F152" t="inlineStr">
        <is>
          <t>Walk-In</t>
        </is>
      </c>
      <c r="G152" s="27" t="n">
        <v>4</v>
      </c>
      <c r="H152" t="inlineStr">
        <is>
          <t>Cough / Fever</t>
        </is>
      </c>
      <c r="I152" t="n">
        <v>81</v>
      </c>
      <c r="J152" t="n">
        <v>132</v>
      </c>
      <c r="K152" s="28">
        <f>I152/J152</f>
        <v/>
      </c>
      <c r="L152" s="27" t="n">
        <v>24</v>
      </c>
      <c r="M152" t="inlineStr">
        <is>
          <t>Discharged</t>
        </is>
      </c>
    </row>
    <row r="153">
      <c r="A153" t="inlineStr">
        <is>
          <t>ED207185</t>
        </is>
      </c>
      <c r="B153" t="inlineStr">
        <is>
          <t>PT11876</t>
        </is>
      </c>
      <c r="C153" s="26" t="n">
        <v>45712.51041666666</v>
      </c>
      <c r="D153" t="inlineStr">
        <is>
          <t>Mon</t>
        </is>
      </c>
      <c r="E153" s="27" t="n">
        <v>12</v>
      </c>
      <c r="F153" t="inlineStr">
        <is>
          <t>Walk-In</t>
        </is>
      </c>
      <c r="G153" s="27" t="n">
        <v>3</v>
      </c>
      <c r="H153" t="inlineStr">
        <is>
          <t>Shortness of Breath</t>
        </is>
      </c>
      <c r="I153" t="n">
        <v>128</v>
      </c>
      <c r="J153" t="n">
        <v>78</v>
      </c>
      <c r="K153" s="28">
        <f>I153/J153</f>
        <v/>
      </c>
      <c r="L153" s="27" t="n">
        <v>51</v>
      </c>
      <c r="M153" t="inlineStr">
        <is>
          <t>Discharged</t>
        </is>
      </c>
    </row>
    <row r="154">
      <c r="A154" t="inlineStr">
        <is>
          <t>ED207191</t>
        </is>
      </c>
      <c r="B154" t="inlineStr">
        <is>
          <t>PT11433</t>
        </is>
      </c>
      <c r="C154" s="26" t="n">
        <v>45712.63680555556</v>
      </c>
      <c r="D154" t="inlineStr">
        <is>
          <t>Mon</t>
        </is>
      </c>
      <c r="E154" s="27" t="n">
        <v>15</v>
      </c>
      <c r="F154" t="inlineStr">
        <is>
          <t>Walk-In</t>
        </is>
      </c>
      <c r="G154" s="27" t="n">
        <v>3</v>
      </c>
      <c r="H154" t="inlineStr">
        <is>
          <t>Abdominal Pain</t>
        </is>
      </c>
      <c r="I154" t="n">
        <v>90</v>
      </c>
      <c r="K154" s="28">
        <f>I154/J154</f>
        <v/>
      </c>
      <c r="L154" s="27" t="n"/>
      <c r="M154" t="inlineStr">
        <is>
          <t>LWBS</t>
        </is>
      </c>
    </row>
    <row r="155">
      <c r="A155" t="inlineStr">
        <is>
          <t>ED207193</t>
        </is>
      </c>
      <c r="B155" t="inlineStr">
        <is>
          <t>PT10786</t>
        </is>
      </c>
      <c r="C155" s="26" t="n">
        <v>45712.66458333333</v>
      </c>
      <c r="D155" t="inlineStr">
        <is>
          <t>Mon</t>
        </is>
      </c>
      <c r="E155" s="27" t="n">
        <v>15</v>
      </c>
      <c r="F155" t="inlineStr">
        <is>
          <t>Walk-In</t>
        </is>
      </c>
      <c r="G155" s="27" t="n">
        <v>5</v>
      </c>
      <c r="H155" t="inlineStr">
        <is>
          <t>Cough / Fever</t>
        </is>
      </c>
      <c r="I155" t="n">
        <v>95</v>
      </c>
      <c r="J155" t="n">
        <v>101</v>
      </c>
      <c r="K155" s="28">
        <f>I155/J155</f>
        <v/>
      </c>
      <c r="L155" s="27" t="n">
        <v>60</v>
      </c>
      <c r="M155" t="inlineStr">
        <is>
          <t>Discharged</t>
        </is>
      </c>
    </row>
    <row r="156">
      <c r="A156" t="inlineStr">
        <is>
          <t>ED207194</t>
        </is>
      </c>
      <c r="B156" t="inlineStr">
        <is>
          <t>PT12858</t>
        </is>
      </c>
      <c r="C156" s="26" t="n">
        <v>45712.67430555556</v>
      </c>
      <c r="D156" t="inlineStr">
        <is>
          <t>Mon</t>
        </is>
      </c>
      <c r="E156" s="27" t="n">
        <v>16</v>
      </c>
      <c r="F156" t="inlineStr">
        <is>
          <t>Walk-In</t>
        </is>
      </c>
      <c r="G156" s="27" t="n">
        <v>2</v>
      </c>
      <c r="H156" t="inlineStr">
        <is>
          <t>Laceration</t>
        </is>
      </c>
      <c r="I156" t="n">
        <v>89</v>
      </c>
      <c r="J156" t="n">
        <v>127</v>
      </c>
      <c r="K156" s="28">
        <f>I156/J156</f>
        <v/>
      </c>
      <c r="L156" s="27" t="n">
        <v>18</v>
      </c>
      <c r="M156" t="inlineStr">
        <is>
          <t>Admitted</t>
        </is>
      </c>
    </row>
    <row r="157">
      <c r="A157" t="inlineStr">
        <is>
          <t>ED207204</t>
        </is>
      </c>
      <c r="B157" t="inlineStr">
        <is>
          <t>PT12787</t>
        </is>
      </c>
      <c r="C157" s="26" t="n">
        <v>45713.21388888889</v>
      </c>
      <c r="D157" t="inlineStr">
        <is>
          <t>Tue</t>
        </is>
      </c>
      <c r="E157" s="27" t="n">
        <v>5</v>
      </c>
      <c r="F157" t="inlineStr">
        <is>
          <t>Walk-In</t>
        </is>
      </c>
      <c r="G157" s="27" t="n">
        <v>4</v>
      </c>
      <c r="H157" t="inlineStr">
        <is>
          <t>Cough / Fever</t>
        </is>
      </c>
      <c r="I157" t="n">
        <v>90</v>
      </c>
      <c r="J157" t="n">
        <v>119</v>
      </c>
      <c r="K157" s="28">
        <f>I157/J157</f>
        <v/>
      </c>
      <c r="L157" s="27" t="n">
        <v>29</v>
      </c>
      <c r="M157" t="inlineStr">
        <is>
          <t>Discharged</t>
        </is>
      </c>
    </row>
    <row r="158">
      <c r="A158" t="inlineStr">
        <is>
          <t>ED207205</t>
        </is>
      </c>
      <c r="B158" t="inlineStr">
        <is>
          <t>PT13269</t>
        </is>
      </c>
      <c r="C158" s="26" t="n">
        <v>45713.21458333333</v>
      </c>
      <c r="D158" t="inlineStr">
        <is>
          <t>Tue</t>
        </is>
      </c>
      <c r="E158" s="27" t="n">
        <v>5</v>
      </c>
      <c r="F158" t="inlineStr">
        <is>
          <t>Walk-In</t>
        </is>
      </c>
      <c r="G158" s="27" t="n">
        <v>3</v>
      </c>
      <c r="H158" t="inlineStr">
        <is>
          <t>Chest Pain</t>
        </is>
      </c>
      <c r="I158" t="n">
        <v>89</v>
      </c>
      <c r="J158" t="n">
        <v>136</v>
      </c>
      <c r="K158" s="28">
        <f>I158/J158</f>
        <v/>
      </c>
      <c r="L158" s="27" t="n">
        <v>23</v>
      </c>
      <c r="M158" t="inlineStr">
        <is>
          <t>Observation</t>
        </is>
      </c>
    </row>
    <row r="159">
      <c r="A159" t="inlineStr">
        <is>
          <t>ED207216</t>
        </is>
      </c>
      <c r="B159" t="inlineStr">
        <is>
          <t>PT11427</t>
        </is>
      </c>
      <c r="C159" s="26" t="n">
        <v>45713.5625</v>
      </c>
      <c r="D159" t="inlineStr">
        <is>
          <t>Tue</t>
        </is>
      </c>
      <c r="E159" s="27" t="n">
        <v>13</v>
      </c>
      <c r="F159" t="inlineStr">
        <is>
          <t>Walk-In</t>
        </is>
      </c>
      <c r="G159" s="27" t="n">
        <v>3</v>
      </c>
      <c r="H159" t="inlineStr">
        <is>
          <t>Chest Pain</t>
        </is>
      </c>
      <c r="I159" t="n">
        <v>98</v>
      </c>
      <c r="J159" t="n">
        <v>154</v>
      </c>
      <c r="K159" s="28">
        <f>I159/J159</f>
        <v/>
      </c>
      <c r="L159" s="27" t="n">
        <v>34</v>
      </c>
      <c r="M159" t="inlineStr">
        <is>
          <t>Discharged</t>
        </is>
      </c>
    </row>
    <row r="160">
      <c r="A160" t="inlineStr">
        <is>
          <t>ED207219</t>
        </is>
      </c>
      <c r="B160" t="inlineStr">
        <is>
          <t>PT11223</t>
        </is>
      </c>
      <c r="C160" s="26" t="n">
        <v>45713.7875</v>
      </c>
      <c r="D160" t="inlineStr">
        <is>
          <t>Tue</t>
        </is>
      </c>
      <c r="E160" s="27" t="n">
        <v>18</v>
      </c>
      <c r="F160" t="inlineStr">
        <is>
          <t>Walk-In</t>
        </is>
      </c>
      <c r="G160" s="27" t="n">
        <v>5</v>
      </c>
      <c r="H160" t="inlineStr">
        <is>
          <t>Cough / Fever</t>
        </is>
      </c>
      <c r="I160" t="n">
        <v>95</v>
      </c>
      <c r="J160" t="n">
        <v>93</v>
      </c>
      <c r="K160" s="28">
        <f>I160/J160</f>
        <v/>
      </c>
      <c r="L160" s="27" t="n">
        <v>49</v>
      </c>
      <c r="M160" t="inlineStr">
        <is>
          <t>Discharged</t>
        </is>
      </c>
    </row>
    <row r="161">
      <c r="A161" t="inlineStr">
        <is>
          <t>ED207224</t>
        </is>
      </c>
      <c r="B161" t="inlineStr">
        <is>
          <t>PT13268</t>
        </is>
      </c>
      <c r="C161" s="26" t="n">
        <v>45713.83958333333</v>
      </c>
      <c r="D161" t="inlineStr">
        <is>
          <t>Tue</t>
        </is>
      </c>
      <c r="E161" s="27" t="n">
        <v>20</v>
      </c>
      <c r="F161" t="inlineStr">
        <is>
          <t>Ambulance</t>
        </is>
      </c>
      <c r="G161" s="27" t="n">
        <v>2</v>
      </c>
      <c r="H161" t="inlineStr">
        <is>
          <t>Fall</t>
        </is>
      </c>
      <c r="I161" t="n">
        <v>104</v>
      </c>
      <c r="J161" t="n">
        <v>163</v>
      </c>
      <c r="K161" s="28">
        <f>I161/J161</f>
        <v/>
      </c>
      <c r="L161" s="27" t="n">
        <v>25</v>
      </c>
      <c r="M161" t="inlineStr">
        <is>
          <t>Admitted</t>
        </is>
      </c>
    </row>
    <row r="162">
      <c r="A162" t="inlineStr">
        <is>
          <t>ED207225</t>
        </is>
      </c>
      <c r="B162" t="inlineStr">
        <is>
          <t>PT12060</t>
        </is>
      </c>
      <c r="C162" s="26" t="n">
        <v>45713.85763888889</v>
      </c>
      <c r="D162" t="inlineStr">
        <is>
          <t>Tue</t>
        </is>
      </c>
      <c r="E162" s="27" t="n">
        <v>20</v>
      </c>
      <c r="F162" t="inlineStr">
        <is>
          <t>Ambulance</t>
        </is>
      </c>
      <c r="G162" s="27" t="n">
        <v>2</v>
      </c>
      <c r="H162" t="inlineStr">
        <is>
          <t>Shortness of Breath</t>
        </is>
      </c>
      <c r="I162" t="n">
        <v>91</v>
      </c>
      <c r="J162" t="n">
        <v>126</v>
      </c>
      <c r="K162" s="28">
        <f>I162/J162</f>
        <v/>
      </c>
      <c r="L162" s="27" t="n">
        <v>32</v>
      </c>
      <c r="M162" t="inlineStr">
        <is>
          <t>Admitted</t>
        </is>
      </c>
    </row>
    <row r="163">
      <c r="A163" t="inlineStr">
        <is>
          <t>ED207226</t>
        </is>
      </c>
      <c r="B163" t="inlineStr">
        <is>
          <t>PT11624</t>
        </is>
      </c>
      <c r="C163" s="26" t="n">
        <v>45713.86041666667</v>
      </c>
      <c r="D163" t="inlineStr">
        <is>
          <t>Tue</t>
        </is>
      </c>
      <c r="E163" s="27" t="n">
        <v>20</v>
      </c>
      <c r="F163" t="inlineStr">
        <is>
          <t>Walk-In</t>
        </is>
      </c>
      <c r="G163" s="27" t="n">
        <v>5</v>
      </c>
      <c r="H163" t="inlineStr">
        <is>
          <t>Vomiting / Diarrhea</t>
        </is>
      </c>
      <c r="I163" t="n">
        <v>112</v>
      </c>
      <c r="J163" t="n">
        <v>128</v>
      </c>
      <c r="K163" s="28">
        <f>I163/J163</f>
        <v/>
      </c>
      <c r="L163" s="27" t="n">
        <v>103</v>
      </c>
      <c r="M163" t="inlineStr">
        <is>
          <t>Discharged</t>
        </is>
      </c>
    </row>
    <row r="164">
      <c r="A164" t="inlineStr">
        <is>
          <t>ED207227</t>
        </is>
      </c>
      <c r="B164" t="inlineStr">
        <is>
          <t>PT12633</t>
        </is>
      </c>
      <c r="C164" s="26" t="n">
        <v>45713.93611111111</v>
      </c>
      <c r="D164" t="inlineStr">
        <is>
          <t>Tue</t>
        </is>
      </c>
      <c r="E164" s="27" t="n">
        <v>22</v>
      </c>
      <c r="F164" t="inlineStr">
        <is>
          <t>Ambulance</t>
        </is>
      </c>
      <c r="G164" s="27" t="n">
        <v>2</v>
      </c>
      <c r="H164" t="inlineStr">
        <is>
          <t>Fall</t>
        </is>
      </c>
      <c r="I164" t="n">
        <v>90</v>
      </c>
      <c r="J164" t="n">
        <v>108</v>
      </c>
      <c r="K164" s="28">
        <f>I164/J164</f>
        <v/>
      </c>
      <c r="L164" s="27" t="n">
        <v>23</v>
      </c>
      <c r="M164" t="inlineStr">
        <is>
          <t>Observation</t>
        </is>
      </c>
    </row>
    <row r="165">
      <c r="A165" t="inlineStr">
        <is>
          <t>ED207230</t>
        </is>
      </c>
      <c r="B165" t="inlineStr">
        <is>
          <t>PT12081</t>
        </is>
      </c>
      <c r="C165" s="26" t="n">
        <v>45714.01041666666</v>
      </c>
      <c r="D165" t="inlineStr">
        <is>
          <t>Wed</t>
        </is>
      </c>
      <c r="E165" s="27" t="n">
        <v>0</v>
      </c>
      <c r="F165" t="inlineStr">
        <is>
          <t>Walk-In</t>
        </is>
      </c>
      <c r="G165" s="27" t="n">
        <v>3</v>
      </c>
      <c r="H165" t="inlineStr">
        <is>
          <t>Abdominal Pain</t>
        </is>
      </c>
      <c r="I165" t="n">
        <v>77</v>
      </c>
      <c r="J165" t="n">
        <v>147</v>
      </c>
      <c r="K165" s="28">
        <f>I165/J165</f>
        <v/>
      </c>
      <c r="L165" s="27" t="n">
        <v>42</v>
      </c>
      <c r="M165" t="inlineStr">
        <is>
          <t>Observation</t>
        </is>
      </c>
    </row>
    <row r="166">
      <c r="A166" t="inlineStr">
        <is>
          <t>ED207244</t>
        </is>
      </c>
      <c r="B166" t="inlineStr">
        <is>
          <t>PT12446</t>
        </is>
      </c>
      <c r="C166" s="26" t="n">
        <v>45714.77986111111</v>
      </c>
      <c r="D166" t="inlineStr">
        <is>
          <t>Wed</t>
        </is>
      </c>
      <c r="E166" s="27" t="n">
        <v>18</v>
      </c>
      <c r="F166" t="inlineStr">
        <is>
          <t>Walk-In</t>
        </is>
      </c>
      <c r="G166" s="27" t="n">
        <v>4</v>
      </c>
      <c r="H166" t="inlineStr">
        <is>
          <t>Vomiting / Dizziness</t>
        </is>
      </c>
      <c r="I166" t="n">
        <v>120</v>
      </c>
      <c r="J166" t="n">
        <v>112</v>
      </c>
      <c r="K166" s="28">
        <f>I166/J166</f>
        <v/>
      </c>
      <c r="L166" s="27" t="n">
        <v>86</v>
      </c>
      <c r="M166" t="inlineStr">
        <is>
          <t>Discharged</t>
        </is>
      </c>
    </row>
    <row r="167">
      <c r="A167" t="inlineStr">
        <is>
          <t>ED207248</t>
        </is>
      </c>
      <c r="B167" t="inlineStr">
        <is>
          <t>PT11274</t>
        </is>
      </c>
      <c r="C167" s="26" t="n">
        <v>45714.88194444445</v>
      </c>
      <c r="D167" t="inlineStr">
        <is>
          <t>Wed</t>
        </is>
      </c>
      <c r="E167" s="27" t="n">
        <v>21</v>
      </c>
      <c r="F167" t="inlineStr">
        <is>
          <t>Walk-In</t>
        </is>
      </c>
      <c r="G167" s="27" t="n">
        <v>3</v>
      </c>
      <c r="H167" t="inlineStr">
        <is>
          <t>Palpitations</t>
        </is>
      </c>
      <c r="I167" t="n">
        <v>142</v>
      </c>
      <c r="J167" t="n">
        <v>131</v>
      </c>
      <c r="K167" s="28">
        <f>I167/J167</f>
        <v/>
      </c>
      <c r="L167" s="27" t="n">
        <v>73</v>
      </c>
      <c r="M167" t="inlineStr">
        <is>
          <t>Admitted</t>
        </is>
      </c>
    </row>
    <row r="168">
      <c r="A168" t="inlineStr">
        <is>
          <t>ED207279</t>
        </is>
      </c>
      <c r="B168" t="inlineStr">
        <is>
          <t>PT11226</t>
        </is>
      </c>
      <c r="C168" s="26" t="n">
        <v>45717.15138888889</v>
      </c>
      <c r="D168" t="inlineStr">
        <is>
          <t>Sat</t>
        </is>
      </c>
      <c r="E168" s="27" t="n">
        <v>3</v>
      </c>
      <c r="F168" t="inlineStr">
        <is>
          <t>Ambulance</t>
        </is>
      </c>
      <c r="G168" s="27" t="n">
        <v>1</v>
      </c>
      <c r="H168" t="inlineStr">
        <is>
          <t>Chest Pain</t>
        </is>
      </c>
      <c r="I168" t="n">
        <v>104</v>
      </c>
      <c r="J168" t="n">
        <v>145</v>
      </c>
      <c r="K168" s="28">
        <f>I168/J168</f>
        <v/>
      </c>
      <c r="L168" s="27" t="n">
        <v>2</v>
      </c>
      <c r="M168" t="inlineStr">
        <is>
          <t>Admitted</t>
        </is>
      </c>
    </row>
    <row r="169">
      <c r="A169" t="inlineStr">
        <is>
          <t>ED207282</t>
        </is>
      </c>
      <c r="B169" t="inlineStr">
        <is>
          <t>PT10998</t>
        </is>
      </c>
      <c r="C169" s="26" t="n">
        <v>45717.52986111111</v>
      </c>
      <c r="D169" t="inlineStr">
        <is>
          <t>Sat</t>
        </is>
      </c>
      <c r="E169" s="27" t="n">
        <v>12</v>
      </c>
      <c r="F169" t="inlineStr">
        <is>
          <t>Walk-In</t>
        </is>
      </c>
      <c r="G169" s="27" t="n">
        <v>4</v>
      </c>
      <c r="H169" t="inlineStr">
        <is>
          <t>Fainting</t>
        </is>
      </c>
      <c r="I169" t="n">
        <v>71</v>
      </c>
      <c r="J169" t="n">
        <v>148</v>
      </c>
      <c r="K169" s="28">
        <f>I169/J169</f>
        <v/>
      </c>
      <c r="L169" s="27" t="n">
        <v>102</v>
      </c>
      <c r="M169" t="inlineStr">
        <is>
          <t>Discharged</t>
        </is>
      </c>
    </row>
    <row r="170">
      <c r="A170" t="inlineStr">
        <is>
          <t>ED207287</t>
        </is>
      </c>
      <c r="B170" t="inlineStr">
        <is>
          <t>PT12478</t>
        </is>
      </c>
      <c r="C170" s="26" t="n">
        <v>45717.63611111111</v>
      </c>
      <c r="D170" t="inlineStr">
        <is>
          <t>Sat</t>
        </is>
      </c>
      <c r="E170" s="27" t="n">
        <v>15</v>
      </c>
      <c r="F170" t="inlineStr">
        <is>
          <t>Walk-In</t>
        </is>
      </c>
      <c r="G170" s="27" t="n">
        <v>4</v>
      </c>
      <c r="H170" t="inlineStr">
        <is>
          <t>Back Pain</t>
        </is>
      </c>
      <c r="I170" t="n">
        <v>75</v>
      </c>
      <c r="J170" t="n">
        <v>158</v>
      </c>
      <c r="K170" s="28">
        <f>I170/J170</f>
        <v/>
      </c>
      <c r="L170" s="27" t="n">
        <v>104</v>
      </c>
      <c r="M170" t="inlineStr">
        <is>
          <t>Discharged</t>
        </is>
      </c>
    </row>
    <row r="171">
      <c r="A171" s="29" t="inlineStr">
        <is>
          <t>ED207289</t>
        </is>
      </c>
      <c r="B171" s="29" t="inlineStr">
        <is>
          <t>PT11408</t>
        </is>
      </c>
      <c r="C171" s="30" t="n">
        <v>45717.79791666667</v>
      </c>
      <c r="D171" s="29" t="inlineStr">
        <is>
          <t>Sat</t>
        </is>
      </c>
      <c r="E171" s="31" t="n">
        <v>19</v>
      </c>
      <c r="F171" s="29" t="inlineStr">
        <is>
          <t>Ambulance</t>
        </is>
      </c>
      <c r="G171" s="31" t="n">
        <v>3</v>
      </c>
      <c r="H171" s="29" t="inlineStr">
        <is>
          <t>Cough / Fever</t>
        </is>
      </c>
      <c r="I171" s="29" t="n">
        <v>95</v>
      </c>
      <c r="J171" s="29" t="n">
        <v>104</v>
      </c>
      <c r="K171" s="32">
        <f>I171/J171</f>
        <v/>
      </c>
      <c r="L171" s="31" t="n">
        <v>35</v>
      </c>
      <c r="M171" s="29" t="inlineStr">
        <is>
          <t>Admitted</t>
        </is>
      </c>
    </row>
    <row r="172">
      <c r="A172" t="inlineStr">
        <is>
          <t>ED207296</t>
        </is>
      </c>
      <c r="B172" t="inlineStr">
        <is>
          <t>PT13601</t>
        </is>
      </c>
      <c r="C172" s="26" t="n">
        <v>45718.15347222222</v>
      </c>
      <c r="D172" t="inlineStr">
        <is>
          <t>Sun</t>
        </is>
      </c>
      <c r="E172" s="27" t="n">
        <v>3</v>
      </c>
      <c r="F172" t="inlineStr">
        <is>
          <t>Ambulance</t>
        </is>
      </c>
      <c r="G172" s="27" t="n">
        <v>2</v>
      </c>
      <c r="H172" t="inlineStr">
        <is>
          <t>Cough / Fever</t>
        </is>
      </c>
      <c r="I172" t="n">
        <v>99</v>
      </c>
      <c r="J172" t="n">
        <v>146</v>
      </c>
      <c r="K172" s="28">
        <f>I172/J172</f>
        <v/>
      </c>
      <c r="L172" s="27" t="n">
        <v>17</v>
      </c>
      <c r="M172" t="inlineStr">
        <is>
          <t>Admitted</t>
        </is>
      </c>
    </row>
    <row r="173">
      <c r="A173" t="inlineStr">
        <is>
          <t>ED207298</t>
        </is>
      </c>
      <c r="B173" t="inlineStr">
        <is>
          <t>PT10886</t>
        </is>
      </c>
      <c r="C173" s="26" t="n">
        <v>45718.35833333333</v>
      </c>
      <c r="D173" t="inlineStr">
        <is>
          <t>Sun</t>
        </is>
      </c>
      <c r="E173" s="27" t="n">
        <v>8</v>
      </c>
      <c r="F173" t="inlineStr">
        <is>
          <t>Walk-In</t>
        </is>
      </c>
      <c r="G173" s="27" t="n">
        <v>2</v>
      </c>
      <c r="H173" t="inlineStr">
        <is>
          <t>Shortness of Breath</t>
        </is>
      </c>
      <c r="I173" t="n">
        <v>91</v>
      </c>
      <c r="J173" t="n">
        <v>169</v>
      </c>
      <c r="K173" s="28">
        <f>I173/J173</f>
        <v/>
      </c>
      <c r="L173" s="27" t="n">
        <v>14</v>
      </c>
      <c r="M173" t="inlineStr">
        <is>
          <t>Admitted</t>
        </is>
      </c>
    </row>
    <row r="174">
      <c r="A174" t="inlineStr">
        <is>
          <t>ED207300</t>
        </is>
      </c>
      <c r="B174" t="inlineStr">
        <is>
          <t>PT11391</t>
        </is>
      </c>
      <c r="C174" s="26" t="n">
        <v>45718.48680555556</v>
      </c>
      <c r="D174" t="inlineStr">
        <is>
          <t>Sun</t>
        </is>
      </c>
      <c r="E174" s="27" t="n">
        <v>11</v>
      </c>
      <c r="F174" t="inlineStr">
        <is>
          <t>Walk-In</t>
        </is>
      </c>
      <c r="G174" s="27" t="n">
        <v>3</v>
      </c>
      <c r="H174" t="inlineStr">
        <is>
          <t>Fainting</t>
        </is>
      </c>
      <c r="I174" t="n">
        <v>77</v>
      </c>
      <c r="J174" t="n">
        <v>125</v>
      </c>
      <c r="K174" s="28">
        <f>I174/J174</f>
        <v/>
      </c>
      <c r="L174" s="27" t="n">
        <v>60</v>
      </c>
      <c r="M174" t="inlineStr">
        <is>
          <t>Discharged</t>
        </is>
      </c>
    </row>
    <row r="175">
      <c r="A175" t="inlineStr">
        <is>
          <t>ED207314</t>
        </is>
      </c>
      <c r="B175" t="inlineStr">
        <is>
          <t>PT11437</t>
        </is>
      </c>
      <c r="C175" s="26" t="n">
        <v>45719.04444444444</v>
      </c>
      <c r="D175" t="inlineStr">
        <is>
          <t>Mon</t>
        </is>
      </c>
      <c r="E175" s="27" t="n">
        <v>1</v>
      </c>
      <c r="F175" t="inlineStr">
        <is>
          <t>Ambulance</t>
        </is>
      </c>
      <c r="G175" s="27" t="n">
        <v>2</v>
      </c>
      <c r="H175" t="inlineStr">
        <is>
          <t>Cough / Fever</t>
        </is>
      </c>
      <c r="I175" t="n">
        <v>116</v>
      </c>
      <c r="J175" t="n">
        <v>160</v>
      </c>
      <c r="K175" s="28">
        <f>I175/J175</f>
        <v/>
      </c>
      <c r="L175" s="27" t="n">
        <v>50</v>
      </c>
      <c r="M175" t="inlineStr">
        <is>
          <t>Admitted</t>
        </is>
      </c>
    </row>
    <row r="176">
      <c r="A176" t="inlineStr">
        <is>
          <t>ED207324</t>
        </is>
      </c>
      <c r="B176" t="inlineStr">
        <is>
          <t>PT12692</t>
        </is>
      </c>
      <c r="C176" s="26" t="n">
        <v>45719.73958333334</v>
      </c>
      <c r="D176" t="inlineStr">
        <is>
          <t>Mon</t>
        </is>
      </c>
      <c r="E176" s="27" t="n">
        <v>17</v>
      </c>
      <c r="F176" t="inlineStr">
        <is>
          <t>Walk-In</t>
        </is>
      </c>
      <c r="G176" s="27" t="n">
        <v>5</v>
      </c>
      <c r="H176" t="inlineStr">
        <is>
          <t>Cough / Fever</t>
        </is>
      </c>
      <c r="I176" t="n">
        <v>68</v>
      </c>
      <c r="J176" t="n">
        <v>103</v>
      </c>
      <c r="K176" s="28">
        <f>I176/J176</f>
        <v/>
      </c>
      <c r="L176" s="27" t="n">
        <v>65</v>
      </c>
      <c r="M176" t="inlineStr">
        <is>
          <t>Discharged</t>
        </is>
      </c>
    </row>
    <row r="177">
      <c r="A177" t="inlineStr">
        <is>
          <t>ED207335</t>
        </is>
      </c>
      <c r="B177" t="inlineStr">
        <is>
          <t>PT12760</t>
        </is>
      </c>
      <c r="C177" s="26" t="n">
        <v>45720.48333333333</v>
      </c>
      <c r="D177" t="inlineStr">
        <is>
          <t>Tue</t>
        </is>
      </c>
      <c r="E177" s="27" t="n">
        <v>11</v>
      </c>
      <c r="F177" t="inlineStr">
        <is>
          <t>Walk-In</t>
        </is>
      </c>
      <c r="G177" s="27" t="n">
        <v>5</v>
      </c>
      <c r="H177" t="inlineStr">
        <is>
          <t>Ankle Injury</t>
        </is>
      </c>
      <c r="I177" t="n">
        <v>90</v>
      </c>
      <c r="J177" t="n">
        <v>131</v>
      </c>
      <c r="K177" s="28">
        <f>I177/J177</f>
        <v/>
      </c>
      <c r="L177" s="27" t="n">
        <v>35</v>
      </c>
      <c r="M177" t="inlineStr">
        <is>
          <t>Discharged</t>
        </is>
      </c>
    </row>
    <row r="178">
      <c r="A178" t="inlineStr">
        <is>
          <t>ED207337</t>
        </is>
      </c>
      <c r="B178" t="inlineStr">
        <is>
          <t>PT11190</t>
        </is>
      </c>
      <c r="C178" s="26" t="n">
        <v>45720.59166666667</v>
      </c>
      <c r="D178" t="inlineStr">
        <is>
          <t>Tue</t>
        </is>
      </c>
      <c r="E178" s="27" t="n">
        <v>14</v>
      </c>
      <c r="F178" t="inlineStr">
        <is>
          <t>Walk-In</t>
        </is>
      </c>
      <c r="G178" s="27" t="n">
        <v>3</v>
      </c>
      <c r="H178" t="inlineStr">
        <is>
          <t>Painful Urination / Fever</t>
        </is>
      </c>
      <c r="I178" t="n">
        <v>92</v>
      </c>
      <c r="J178" t="n">
        <v>130</v>
      </c>
      <c r="K178" s="28">
        <f>I178/J178</f>
        <v/>
      </c>
      <c r="L178" s="27" t="n">
        <v>78</v>
      </c>
      <c r="M178" t="inlineStr">
        <is>
          <t>Admitted</t>
        </is>
      </c>
    </row>
    <row r="179">
      <c r="A179" t="inlineStr">
        <is>
          <t>ED207339</t>
        </is>
      </c>
      <c r="B179" t="inlineStr">
        <is>
          <t>PT10701</t>
        </is>
      </c>
      <c r="C179" s="26" t="n">
        <v>45720.71180555555</v>
      </c>
      <c r="D179" t="inlineStr">
        <is>
          <t>Tue</t>
        </is>
      </c>
      <c r="E179" s="27" t="n">
        <v>17</v>
      </c>
      <c r="F179" t="inlineStr">
        <is>
          <t>Ambulance</t>
        </is>
      </c>
      <c r="G179" s="27" t="n">
        <v>3</v>
      </c>
      <c r="H179" t="inlineStr">
        <is>
          <t>Abdominal Pain</t>
        </is>
      </c>
      <c r="I179" t="n">
        <v>95</v>
      </c>
      <c r="J179" t="n">
        <v>128</v>
      </c>
      <c r="K179" s="28">
        <f>I179/J179</f>
        <v/>
      </c>
      <c r="L179" s="27" t="n">
        <v>48</v>
      </c>
      <c r="M179" t="inlineStr">
        <is>
          <t>Discharged</t>
        </is>
      </c>
    </row>
    <row r="180">
      <c r="A180" t="inlineStr">
        <is>
          <t>ED207340</t>
        </is>
      </c>
      <c r="B180" t="inlineStr">
        <is>
          <t>PT12221</t>
        </is>
      </c>
      <c r="C180" s="26" t="n">
        <v>45720.76666666667</v>
      </c>
      <c r="D180" t="inlineStr">
        <is>
          <t>Tue</t>
        </is>
      </c>
      <c r="E180" s="27" t="n">
        <v>18</v>
      </c>
      <c r="F180" t="inlineStr">
        <is>
          <t>Walk-In</t>
        </is>
      </c>
      <c r="G180" s="27" t="n">
        <v>3</v>
      </c>
      <c r="H180" t="inlineStr">
        <is>
          <t>Fall</t>
        </is>
      </c>
      <c r="I180" t="n">
        <v>83</v>
      </c>
      <c r="J180" t="n">
        <v>132</v>
      </c>
      <c r="K180" s="28">
        <f>I180/J180</f>
        <v/>
      </c>
      <c r="L180" s="27" t="n">
        <v>73</v>
      </c>
      <c r="M180" t="inlineStr">
        <is>
          <t>Discharged</t>
        </is>
      </c>
    </row>
    <row r="181">
      <c r="A181" t="inlineStr">
        <is>
          <t>ED207342</t>
        </is>
      </c>
      <c r="B181" t="inlineStr">
        <is>
          <t>PT10629</t>
        </is>
      </c>
      <c r="C181" s="26" t="n">
        <v>45720.81944444445</v>
      </c>
      <c r="D181" t="inlineStr">
        <is>
          <t>Tue</t>
        </is>
      </c>
      <c r="E181" s="27" t="n">
        <v>19</v>
      </c>
      <c r="F181" t="inlineStr">
        <is>
          <t>Walk-In</t>
        </is>
      </c>
      <c r="G181" s="27" t="n">
        <v>5</v>
      </c>
      <c r="H181" t="inlineStr">
        <is>
          <t>Cough / Fever</t>
        </is>
      </c>
      <c r="I181" t="n">
        <v>79</v>
      </c>
      <c r="J181" t="n">
        <v>128</v>
      </c>
      <c r="K181" s="28">
        <f>I181/J181</f>
        <v/>
      </c>
      <c r="L181" s="27" t="n">
        <v>37</v>
      </c>
      <c r="M181" t="inlineStr">
        <is>
          <t>Discharged</t>
        </is>
      </c>
    </row>
    <row r="182">
      <c r="A182" t="inlineStr">
        <is>
          <t>ED207343</t>
        </is>
      </c>
      <c r="B182" t="inlineStr">
        <is>
          <t>PT11136</t>
        </is>
      </c>
      <c r="C182" s="26" t="n">
        <v>45721.02291666667</v>
      </c>
      <c r="D182" t="inlineStr">
        <is>
          <t>Wed</t>
        </is>
      </c>
      <c r="E182" s="27" t="n">
        <v>0</v>
      </c>
      <c r="F182" t="inlineStr">
        <is>
          <t>Ambulance</t>
        </is>
      </c>
      <c r="G182" s="27" t="n">
        <v>3</v>
      </c>
      <c r="H182" t="inlineStr">
        <is>
          <t>Palpitations</t>
        </is>
      </c>
      <c r="I182" t="n">
        <v>141</v>
      </c>
      <c r="J182" t="n">
        <v>119</v>
      </c>
      <c r="K182" s="28">
        <f>I182/J182</f>
        <v/>
      </c>
      <c r="L182" s="27" t="n">
        <v>65</v>
      </c>
      <c r="M182" t="inlineStr">
        <is>
          <t>Discharged</t>
        </is>
      </c>
    </row>
    <row r="183">
      <c r="A183" t="inlineStr">
        <is>
          <t>ED207348</t>
        </is>
      </c>
      <c r="B183" t="inlineStr">
        <is>
          <t>PT13940</t>
        </is>
      </c>
      <c r="C183" s="26" t="n">
        <v>45721.48680555556</v>
      </c>
      <c r="D183" t="inlineStr">
        <is>
          <t>Wed</t>
        </is>
      </c>
      <c r="E183" s="27" t="n">
        <v>11</v>
      </c>
      <c r="F183" t="inlineStr">
        <is>
          <t>Walk-In</t>
        </is>
      </c>
      <c r="G183" s="27" t="n">
        <v>3</v>
      </c>
      <c r="H183" t="inlineStr">
        <is>
          <t>Confusion</t>
        </is>
      </c>
      <c r="I183" t="n">
        <v>86</v>
      </c>
      <c r="J183" t="n">
        <v>131</v>
      </c>
      <c r="K183" s="28">
        <f>I183/J183</f>
        <v/>
      </c>
      <c r="L183" s="27" t="n">
        <v>75</v>
      </c>
      <c r="M183" t="inlineStr">
        <is>
          <t>Admitted</t>
        </is>
      </c>
    </row>
    <row r="184">
      <c r="A184" t="inlineStr">
        <is>
          <t>ED207350</t>
        </is>
      </c>
      <c r="B184" t="inlineStr">
        <is>
          <t>PT10805</t>
        </is>
      </c>
      <c r="C184" s="26" t="n">
        <v>45721.58055555556</v>
      </c>
      <c r="D184" t="inlineStr">
        <is>
          <t>Wed</t>
        </is>
      </c>
      <c r="E184" s="27" t="n">
        <v>13</v>
      </c>
      <c r="F184" t="inlineStr">
        <is>
          <t>Walk-In</t>
        </is>
      </c>
      <c r="G184" s="27" t="n">
        <v>5</v>
      </c>
      <c r="H184" t="inlineStr">
        <is>
          <t>Back Pain</t>
        </is>
      </c>
      <c r="I184" t="n">
        <v>84</v>
      </c>
      <c r="J184" t="n">
        <v>137</v>
      </c>
      <c r="K184" s="28">
        <f>I184/J184</f>
        <v/>
      </c>
      <c r="L184" s="27" t="n">
        <v>29</v>
      </c>
      <c r="M184" t="inlineStr">
        <is>
          <t>Discharged</t>
        </is>
      </c>
    </row>
    <row r="185">
      <c r="A185" t="inlineStr">
        <is>
          <t>ED207355</t>
        </is>
      </c>
      <c r="B185" t="inlineStr">
        <is>
          <t>PT10328</t>
        </is>
      </c>
      <c r="C185" s="26" t="n">
        <v>45721.72083333333</v>
      </c>
      <c r="D185" t="inlineStr">
        <is>
          <t>Wed</t>
        </is>
      </c>
      <c r="E185" s="27" t="n">
        <v>17</v>
      </c>
      <c r="F185" t="inlineStr">
        <is>
          <t>Walk-In</t>
        </is>
      </c>
      <c r="G185" s="27" t="n">
        <v>3</v>
      </c>
      <c r="H185" t="inlineStr">
        <is>
          <t>Abdominal Pain</t>
        </is>
      </c>
      <c r="I185" t="n">
        <v>98</v>
      </c>
      <c r="J185" t="n">
        <v>142</v>
      </c>
      <c r="K185" s="28">
        <f>I185/J185</f>
        <v/>
      </c>
      <c r="L185" s="27" t="n">
        <v>12</v>
      </c>
      <c r="M185" t="inlineStr">
        <is>
          <t>Discharged</t>
        </is>
      </c>
    </row>
    <row r="186">
      <c r="A186" t="inlineStr">
        <is>
          <t>ED207362</t>
        </is>
      </c>
      <c r="B186" t="inlineStr">
        <is>
          <t>PT10013</t>
        </is>
      </c>
      <c r="C186" s="26" t="n">
        <v>45721.92361111111</v>
      </c>
      <c r="D186" t="inlineStr">
        <is>
          <t>Wed</t>
        </is>
      </c>
      <c r="E186" s="27" t="n">
        <v>22</v>
      </c>
      <c r="F186" t="inlineStr">
        <is>
          <t>Ambulance</t>
        </is>
      </c>
      <c r="G186" s="27" t="n">
        <v>3</v>
      </c>
      <c r="H186" t="inlineStr">
        <is>
          <t>Confusion</t>
        </is>
      </c>
      <c r="I186" t="n">
        <v>94</v>
      </c>
      <c r="J186" t="n">
        <v>126</v>
      </c>
      <c r="K186" s="28">
        <f>I186/J186</f>
        <v/>
      </c>
      <c r="L186" s="27" t="n">
        <v>18</v>
      </c>
      <c r="M186" t="inlineStr">
        <is>
          <t>Admitted</t>
        </is>
      </c>
    </row>
    <row r="187">
      <c r="A187" t="inlineStr">
        <is>
          <t>ED207389</t>
        </is>
      </c>
      <c r="B187" t="inlineStr">
        <is>
          <t>PT12101</t>
        </is>
      </c>
      <c r="C187" s="26" t="n">
        <v>45723.86875</v>
      </c>
      <c r="D187" t="inlineStr">
        <is>
          <t>Fri</t>
        </is>
      </c>
      <c r="E187" s="27" t="n">
        <v>20</v>
      </c>
      <c r="F187" t="inlineStr">
        <is>
          <t>Ambulance</t>
        </is>
      </c>
      <c r="G187" s="27" t="n">
        <v>3</v>
      </c>
      <c r="H187" t="inlineStr">
        <is>
          <t>Chest Pain</t>
        </is>
      </c>
      <c r="I187" t="n">
        <v>87</v>
      </c>
      <c r="J187" t="n">
        <v>113</v>
      </c>
      <c r="K187" s="28">
        <f>I187/J187</f>
        <v/>
      </c>
      <c r="L187" s="27" t="n">
        <v>38</v>
      </c>
      <c r="M187" t="inlineStr">
        <is>
          <t>Discharged</t>
        </is>
      </c>
    </row>
    <row r="188">
      <c r="A188" t="inlineStr">
        <is>
          <t>ED207391</t>
        </is>
      </c>
      <c r="B188" t="inlineStr">
        <is>
          <t>PT11180</t>
        </is>
      </c>
      <c r="C188" s="26" t="n">
        <v>45723.96944444445</v>
      </c>
      <c r="D188" t="inlineStr">
        <is>
          <t>Fri</t>
        </is>
      </c>
      <c r="E188" s="27" t="n">
        <v>23</v>
      </c>
      <c r="F188" t="inlineStr">
        <is>
          <t>Walk-In</t>
        </is>
      </c>
      <c r="G188" s="27" t="n">
        <v>4</v>
      </c>
      <c r="H188" t="inlineStr">
        <is>
          <t>Abdominal Pain</t>
        </is>
      </c>
      <c r="I188" t="n">
        <v>72</v>
      </c>
      <c r="J188" t="n">
        <v>119</v>
      </c>
      <c r="K188" s="28">
        <f>I188/J188</f>
        <v/>
      </c>
      <c r="L188" s="27" t="n">
        <v>31</v>
      </c>
      <c r="M188" t="inlineStr">
        <is>
          <t>Observation</t>
        </is>
      </c>
    </row>
    <row r="189">
      <c r="A189" t="inlineStr">
        <is>
          <t>ED207403</t>
        </is>
      </c>
      <c r="B189" t="inlineStr">
        <is>
          <t>PT11308</t>
        </is>
      </c>
      <c r="C189" s="26" t="n">
        <v>45724.77708333333</v>
      </c>
      <c r="D189" t="inlineStr">
        <is>
          <t>Sat</t>
        </is>
      </c>
      <c r="E189" s="27" t="n">
        <v>18</v>
      </c>
      <c r="F189" t="inlineStr">
        <is>
          <t>Ambulance</t>
        </is>
      </c>
      <c r="G189" s="27" t="n">
        <v>3</v>
      </c>
      <c r="H189" t="inlineStr">
        <is>
          <t>High Blood Sugar</t>
        </is>
      </c>
      <c r="I189" t="n">
        <v>89</v>
      </c>
      <c r="J189" t="n">
        <v>144</v>
      </c>
      <c r="K189" s="28">
        <f>I189/J189</f>
        <v/>
      </c>
      <c r="L189" s="27" t="n">
        <v>34</v>
      </c>
      <c r="M189" t="inlineStr">
        <is>
          <t>Admitted</t>
        </is>
      </c>
    </row>
    <row r="190">
      <c r="A190" s="29" t="inlineStr">
        <is>
          <t>ED207412</t>
        </is>
      </c>
      <c r="B190" s="29" t="inlineStr">
        <is>
          <t>PT13745</t>
        </is>
      </c>
      <c r="C190" s="30" t="n">
        <v>45725.44444444445</v>
      </c>
      <c r="D190" s="29" t="inlineStr">
        <is>
          <t>Sun</t>
        </is>
      </c>
      <c r="E190" s="31" t="n">
        <v>10</v>
      </c>
      <c r="F190" s="29" t="inlineStr">
        <is>
          <t>Walk-In</t>
        </is>
      </c>
      <c r="G190" s="31" t="n">
        <v>3</v>
      </c>
      <c r="H190" s="29" t="inlineStr">
        <is>
          <t>Cough / Fever</t>
        </is>
      </c>
      <c r="I190" s="29" t="n">
        <v>103</v>
      </c>
      <c r="J190" s="29" t="n">
        <v>136</v>
      </c>
      <c r="K190" s="32">
        <f>I190/J190</f>
        <v/>
      </c>
      <c r="L190" s="31" t="n">
        <v>122</v>
      </c>
      <c r="M190" s="29" t="inlineStr">
        <is>
          <t>Admitted</t>
        </is>
      </c>
    </row>
    <row r="191">
      <c r="A191" s="29" t="inlineStr">
        <is>
          <t>ED207427</t>
        </is>
      </c>
      <c r="B191" s="29" t="inlineStr">
        <is>
          <t>PT10819</t>
        </is>
      </c>
      <c r="C191" s="30" t="n">
        <v>45725.85138888889</v>
      </c>
      <c r="D191" s="29" t="inlineStr">
        <is>
          <t>Sun</t>
        </is>
      </c>
      <c r="E191" s="31" t="n">
        <v>20</v>
      </c>
      <c r="F191" s="29" t="inlineStr">
        <is>
          <t>Ambulance</t>
        </is>
      </c>
      <c r="G191" s="31" t="n">
        <v>3</v>
      </c>
      <c r="H191" s="29" t="inlineStr">
        <is>
          <t>Cough / Fever</t>
        </is>
      </c>
      <c r="I191" s="29" t="n">
        <v>104</v>
      </c>
      <c r="J191" s="29" t="n">
        <v>152</v>
      </c>
      <c r="K191" s="32">
        <f>I191/J191</f>
        <v/>
      </c>
      <c r="L191" s="31" t="n">
        <v>54</v>
      </c>
      <c r="M191" s="29" t="inlineStr">
        <is>
          <t>Discharged</t>
        </is>
      </c>
    </row>
    <row r="192">
      <c r="A192" s="29" t="inlineStr">
        <is>
          <t>ED207447</t>
        </is>
      </c>
      <c r="B192" s="29" t="inlineStr">
        <is>
          <t>PT13435</t>
        </is>
      </c>
      <c r="C192" s="30" t="n">
        <v>45726.77916666667</v>
      </c>
      <c r="D192" s="29" t="inlineStr">
        <is>
          <t>Mon</t>
        </is>
      </c>
      <c r="E192" s="31" t="n">
        <v>18</v>
      </c>
      <c r="F192" s="29" t="inlineStr">
        <is>
          <t>Ambulance</t>
        </is>
      </c>
      <c r="G192" s="31" t="n">
        <v>2</v>
      </c>
      <c r="H192" s="29" t="inlineStr">
        <is>
          <t>Cough / Fever</t>
        </is>
      </c>
      <c r="I192" s="29" t="n">
        <v>107</v>
      </c>
      <c r="J192" s="29" t="n">
        <v>128</v>
      </c>
      <c r="K192" s="32">
        <f>I192/J192</f>
        <v/>
      </c>
      <c r="L192" s="31" t="n">
        <v>18</v>
      </c>
      <c r="M192" s="29" t="inlineStr">
        <is>
          <t>Admitted</t>
        </is>
      </c>
    </row>
    <row r="193">
      <c r="A193" t="inlineStr">
        <is>
          <t>ED207448</t>
        </is>
      </c>
      <c r="B193" t="inlineStr">
        <is>
          <t>PT13701</t>
        </is>
      </c>
      <c r="C193" s="26" t="n">
        <v>45726.81527777778</v>
      </c>
      <c r="D193" t="inlineStr">
        <is>
          <t>Mon</t>
        </is>
      </c>
      <c r="E193" s="27" t="n">
        <v>19</v>
      </c>
      <c r="F193" t="inlineStr">
        <is>
          <t>Walk-In</t>
        </is>
      </c>
      <c r="G193" s="27" t="n">
        <v>3</v>
      </c>
      <c r="H193" t="inlineStr">
        <is>
          <t>Painful Urination / Fever</t>
        </is>
      </c>
      <c r="I193" t="n">
        <v>83</v>
      </c>
      <c r="J193" t="n">
        <v>89</v>
      </c>
      <c r="K193" s="28">
        <f>I193/J193</f>
        <v/>
      </c>
      <c r="L193" s="27" t="n">
        <v>37</v>
      </c>
      <c r="M193" t="inlineStr">
        <is>
          <t>Discharged</t>
        </is>
      </c>
    </row>
    <row r="194">
      <c r="A194" t="inlineStr">
        <is>
          <t>ED207449</t>
        </is>
      </c>
      <c r="B194" t="inlineStr">
        <is>
          <t>PT12159</t>
        </is>
      </c>
      <c r="C194" s="26" t="n">
        <v>45726.84236111111</v>
      </c>
      <c r="D194" t="inlineStr">
        <is>
          <t>Mon</t>
        </is>
      </c>
      <c r="E194" s="27" t="n">
        <v>20</v>
      </c>
      <c r="F194" t="inlineStr">
        <is>
          <t>Walk-In</t>
        </is>
      </c>
      <c r="G194" s="27" t="n">
        <v>3</v>
      </c>
      <c r="H194" t="inlineStr">
        <is>
          <t>Abdominal Pain</t>
        </is>
      </c>
      <c r="I194" t="n">
        <v>81</v>
      </c>
      <c r="J194" t="n">
        <v>129</v>
      </c>
      <c r="K194" s="28">
        <f>I194/J194</f>
        <v/>
      </c>
      <c r="L194" s="27" t="n">
        <v>47</v>
      </c>
      <c r="M194" t="inlineStr">
        <is>
          <t>Discharged</t>
        </is>
      </c>
    </row>
    <row r="195">
      <c r="A195" t="inlineStr">
        <is>
          <t>ED207450</t>
        </is>
      </c>
      <c r="B195" t="inlineStr">
        <is>
          <t>PT11635</t>
        </is>
      </c>
      <c r="C195" s="26" t="n">
        <v>45726.84861111111</v>
      </c>
      <c r="D195" t="inlineStr">
        <is>
          <t>Mon</t>
        </is>
      </c>
      <c r="E195" s="27" t="n">
        <v>20</v>
      </c>
      <c r="F195" t="inlineStr">
        <is>
          <t>Walk-In</t>
        </is>
      </c>
      <c r="G195" s="27" t="n">
        <v>4</v>
      </c>
      <c r="H195" t="inlineStr">
        <is>
          <t>Fainting</t>
        </is>
      </c>
      <c r="I195" t="n">
        <v>83</v>
      </c>
      <c r="J195" t="n">
        <v>113</v>
      </c>
      <c r="K195" s="28">
        <f>I195/J195</f>
        <v/>
      </c>
      <c r="L195" s="27" t="n">
        <v>46</v>
      </c>
      <c r="M195" t="inlineStr">
        <is>
          <t>Discharged</t>
        </is>
      </c>
    </row>
    <row r="196">
      <c r="A196" t="inlineStr">
        <is>
          <t>ED207458</t>
        </is>
      </c>
      <c r="B196" t="inlineStr">
        <is>
          <t>PT13815</t>
        </is>
      </c>
      <c r="C196" s="26" t="n">
        <v>45727.4375</v>
      </c>
      <c r="D196" t="inlineStr">
        <is>
          <t>Tue</t>
        </is>
      </c>
      <c r="E196" s="27" t="n">
        <v>10</v>
      </c>
      <c r="F196" t="inlineStr">
        <is>
          <t>Walk-In</t>
        </is>
      </c>
      <c r="G196" s="27" t="n">
        <v>2</v>
      </c>
      <c r="H196" t="inlineStr">
        <is>
          <t>Shortness of Breath</t>
        </is>
      </c>
      <c r="I196" t="n">
        <v>91</v>
      </c>
      <c r="J196" t="n">
        <v>120</v>
      </c>
      <c r="K196" s="28">
        <f>I196/J196</f>
        <v/>
      </c>
      <c r="L196" s="27" t="n">
        <v>17</v>
      </c>
      <c r="M196" t="inlineStr">
        <is>
          <t>Observation</t>
        </is>
      </c>
    </row>
    <row r="197">
      <c r="A197" t="inlineStr">
        <is>
          <t>ED207459</t>
        </is>
      </c>
      <c r="B197" t="inlineStr">
        <is>
          <t>PT11315</t>
        </is>
      </c>
      <c r="C197" s="26" t="n">
        <v>45727.50555555556</v>
      </c>
      <c r="D197" t="inlineStr">
        <is>
          <t>Tue</t>
        </is>
      </c>
      <c r="E197" s="27" t="n">
        <v>12</v>
      </c>
      <c r="F197" t="inlineStr">
        <is>
          <t>Walk-In</t>
        </is>
      </c>
      <c r="G197" s="27" t="n">
        <v>2</v>
      </c>
      <c r="H197" t="inlineStr">
        <is>
          <t>Weakness / Fatigue</t>
        </is>
      </c>
      <c r="I197" t="n">
        <v>88</v>
      </c>
      <c r="J197" t="n">
        <v>123</v>
      </c>
      <c r="K197" s="28">
        <f>I197/J197</f>
        <v/>
      </c>
      <c r="L197" s="27" t="n">
        <v>10</v>
      </c>
      <c r="M197" t="inlineStr">
        <is>
          <t>Admitted</t>
        </is>
      </c>
    </row>
    <row r="198">
      <c r="A198" t="inlineStr">
        <is>
          <t>ED207461</t>
        </is>
      </c>
      <c r="B198" t="inlineStr">
        <is>
          <t>PT12410</t>
        </is>
      </c>
      <c r="C198" s="26" t="n">
        <v>45727.68055555555</v>
      </c>
      <c r="D198" t="inlineStr">
        <is>
          <t>Tue</t>
        </is>
      </c>
      <c r="E198" s="27" t="n">
        <v>16</v>
      </c>
      <c r="F198" t="inlineStr">
        <is>
          <t>Walk-In</t>
        </is>
      </c>
      <c r="G198" s="27" t="n">
        <v>3</v>
      </c>
      <c r="H198" t="inlineStr">
        <is>
          <t>Cough / Fever</t>
        </is>
      </c>
      <c r="I198" t="n">
        <v>121</v>
      </c>
      <c r="J198" t="n">
        <v>157</v>
      </c>
      <c r="K198" s="28">
        <f>I198/J198</f>
        <v/>
      </c>
      <c r="L198" s="27" t="n">
        <v>38</v>
      </c>
      <c r="M198" t="inlineStr">
        <is>
          <t>Discharged</t>
        </is>
      </c>
    </row>
    <row r="199">
      <c r="A199" t="inlineStr">
        <is>
          <t>ED207466</t>
        </is>
      </c>
      <c r="B199" t="inlineStr">
        <is>
          <t>PT10998</t>
        </is>
      </c>
      <c r="C199" s="26" t="n">
        <v>45727.79722222222</v>
      </c>
      <c r="D199" t="inlineStr">
        <is>
          <t>Tue</t>
        </is>
      </c>
      <c r="E199" s="27" t="n">
        <v>19</v>
      </c>
      <c r="F199" t="inlineStr">
        <is>
          <t>Walk-In</t>
        </is>
      </c>
      <c r="G199" s="27" t="n">
        <v>3</v>
      </c>
      <c r="H199" t="inlineStr">
        <is>
          <t>Cough / Fever</t>
        </is>
      </c>
      <c r="I199" t="n">
        <v>101</v>
      </c>
      <c r="J199" t="n">
        <v>171</v>
      </c>
      <c r="K199" s="28">
        <f>I199/J199</f>
        <v/>
      </c>
      <c r="L199" s="27" t="n">
        <v>37</v>
      </c>
      <c r="M199" t="inlineStr">
        <is>
          <t>Discharged</t>
        </is>
      </c>
    </row>
    <row r="200">
      <c r="A200" t="inlineStr">
        <is>
          <t>ED207469</t>
        </is>
      </c>
      <c r="B200" t="inlineStr">
        <is>
          <t>PT11289</t>
        </is>
      </c>
      <c r="C200" s="26" t="n">
        <v>45727.9125</v>
      </c>
      <c r="D200" t="inlineStr">
        <is>
          <t>Tue</t>
        </is>
      </c>
      <c r="E200" s="27" t="n">
        <v>21</v>
      </c>
      <c r="F200" t="inlineStr">
        <is>
          <t>Police</t>
        </is>
      </c>
      <c r="G200" s="27" t="n">
        <v>2</v>
      </c>
      <c r="H200" t="inlineStr">
        <is>
          <t>Tremors / Alcohol Withdrawal</t>
        </is>
      </c>
      <c r="I200" t="n">
        <v>70</v>
      </c>
      <c r="J200" t="n">
        <v>118</v>
      </c>
      <c r="K200" s="28">
        <f>I200/J200</f>
        <v/>
      </c>
      <c r="L200" s="27" t="n">
        <v>6</v>
      </c>
      <c r="M200" t="inlineStr">
        <is>
          <t>Admitted</t>
        </is>
      </c>
    </row>
    <row r="201">
      <c r="A201" t="inlineStr">
        <is>
          <t>ED207470</t>
        </is>
      </c>
      <c r="B201" t="inlineStr">
        <is>
          <t>PT12166</t>
        </is>
      </c>
      <c r="C201" s="26" t="n">
        <v>45728.00486111111</v>
      </c>
      <c r="D201" t="inlineStr">
        <is>
          <t>Wed</t>
        </is>
      </c>
      <c r="E201" s="27" t="n">
        <v>0</v>
      </c>
      <c r="F201" t="inlineStr">
        <is>
          <t>Walk-In</t>
        </is>
      </c>
      <c r="G201" s="27" t="n">
        <v>3</v>
      </c>
      <c r="H201" t="inlineStr">
        <is>
          <t>Confusion</t>
        </is>
      </c>
      <c r="I201" t="n">
        <v>59</v>
      </c>
      <c r="J201" t="n">
        <v>128</v>
      </c>
      <c r="K201" s="28">
        <f>I201/J201</f>
        <v/>
      </c>
      <c r="L201" s="27" t="n">
        <v>10</v>
      </c>
      <c r="M201" t="inlineStr">
        <is>
          <t>Admitted</t>
        </is>
      </c>
    </row>
    <row r="202">
      <c r="A202" s="29" t="inlineStr">
        <is>
          <t>ED207479</t>
        </is>
      </c>
      <c r="B202" s="29" t="inlineStr">
        <is>
          <t>PT13575</t>
        </is>
      </c>
      <c r="C202" s="30" t="n">
        <v>45728.71875</v>
      </c>
      <c r="D202" s="29" t="inlineStr">
        <is>
          <t>Wed</t>
        </is>
      </c>
      <c r="E202" s="31" t="n">
        <v>17</v>
      </c>
      <c r="F202" s="29" t="inlineStr">
        <is>
          <t>Ambulance</t>
        </is>
      </c>
      <c r="G202" s="31" t="n">
        <v>3</v>
      </c>
      <c r="H202" s="29" t="inlineStr">
        <is>
          <t>Cough / Fever</t>
        </is>
      </c>
      <c r="I202" s="29" t="n">
        <v>101</v>
      </c>
      <c r="J202" s="29" t="n">
        <v>94</v>
      </c>
      <c r="K202" s="32">
        <f>I202/J202</f>
        <v/>
      </c>
      <c r="L202" s="31" t="n">
        <v>25</v>
      </c>
      <c r="M202" s="29" t="inlineStr">
        <is>
          <t>Admitted</t>
        </is>
      </c>
    </row>
    <row r="203">
      <c r="A203" t="inlineStr">
        <is>
          <t>ED207480</t>
        </is>
      </c>
      <c r="B203" t="inlineStr">
        <is>
          <t>PT12649</t>
        </is>
      </c>
      <c r="C203" s="26" t="n">
        <v>45728.74513888889</v>
      </c>
      <c r="D203" t="inlineStr">
        <is>
          <t>Wed</t>
        </is>
      </c>
      <c r="E203" s="27" t="n">
        <v>17</v>
      </c>
      <c r="F203" t="inlineStr">
        <is>
          <t>Ambulance</t>
        </is>
      </c>
      <c r="G203" s="27" t="n">
        <v>3</v>
      </c>
      <c r="H203" t="inlineStr">
        <is>
          <t>Chest Pain</t>
        </is>
      </c>
      <c r="I203" t="n">
        <v>110</v>
      </c>
      <c r="J203" t="n">
        <v>73</v>
      </c>
      <c r="K203" s="28">
        <f>I203/J203</f>
        <v/>
      </c>
      <c r="L203" s="27" t="n">
        <v>26</v>
      </c>
      <c r="M203" t="inlineStr">
        <is>
          <t>Observation</t>
        </is>
      </c>
    </row>
    <row r="204">
      <c r="A204" t="inlineStr">
        <is>
          <t>ED207481</t>
        </is>
      </c>
      <c r="B204" t="inlineStr">
        <is>
          <t>PT13261</t>
        </is>
      </c>
      <c r="C204" s="26" t="n">
        <v>45728.80347222222</v>
      </c>
      <c r="D204" t="inlineStr">
        <is>
          <t>Wed</t>
        </is>
      </c>
      <c r="E204" s="27" t="n">
        <v>19</v>
      </c>
      <c r="F204" t="inlineStr">
        <is>
          <t>Walk-In</t>
        </is>
      </c>
      <c r="G204" s="27" t="n">
        <v>3</v>
      </c>
      <c r="H204" t="inlineStr">
        <is>
          <t>Fall / Hip Pain</t>
        </is>
      </c>
      <c r="I204" t="n">
        <v>86</v>
      </c>
      <c r="J204" t="n">
        <v>106</v>
      </c>
      <c r="K204" s="28">
        <f>I204/J204</f>
        <v/>
      </c>
      <c r="L204" s="27" t="n">
        <v>39</v>
      </c>
      <c r="M204" t="inlineStr">
        <is>
          <t>Admitted</t>
        </is>
      </c>
    </row>
    <row r="205">
      <c r="A205" t="inlineStr">
        <is>
          <t>ED207495</t>
        </is>
      </c>
      <c r="B205" t="inlineStr">
        <is>
          <t>PT12557</t>
        </is>
      </c>
      <c r="C205" s="26" t="n">
        <v>45729.67777777778</v>
      </c>
      <c r="D205" t="inlineStr">
        <is>
          <t>Thu</t>
        </is>
      </c>
      <c r="E205" s="27" t="n">
        <v>16</v>
      </c>
      <c r="F205" t="inlineStr">
        <is>
          <t>Walk-In</t>
        </is>
      </c>
      <c r="G205" s="27" t="n">
        <v>4</v>
      </c>
      <c r="H205" t="inlineStr">
        <is>
          <t>Shortness of Breath</t>
        </is>
      </c>
      <c r="I205" t="n">
        <v>108</v>
      </c>
      <c r="J205" t="n">
        <v>135</v>
      </c>
      <c r="K205" s="28">
        <f>I205/J205</f>
        <v/>
      </c>
      <c r="L205" s="27" t="n">
        <v>59</v>
      </c>
      <c r="M205" t="inlineStr">
        <is>
          <t>Discharged</t>
        </is>
      </c>
    </row>
    <row r="206">
      <c r="A206" t="inlineStr">
        <is>
          <t>ED207499</t>
        </is>
      </c>
      <c r="B206" t="inlineStr">
        <is>
          <t>PT10011</t>
        </is>
      </c>
      <c r="C206" s="26" t="n">
        <v>45729.79791666667</v>
      </c>
      <c r="D206" t="inlineStr">
        <is>
          <t>Thu</t>
        </is>
      </c>
      <c r="E206" s="27" t="n">
        <v>19</v>
      </c>
      <c r="F206" t="inlineStr">
        <is>
          <t>Ambulance</t>
        </is>
      </c>
      <c r="G206" s="27" t="n">
        <v>4</v>
      </c>
      <c r="H206" t="inlineStr">
        <is>
          <t>Painful Urination / Fever</t>
        </is>
      </c>
      <c r="I206" t="n">
        <v>84</v>
      </c>
      <c r="J206" t="n">
        <v>128</v>
      </c>
      <c r="K206" s="28">
        <f>I206/J206</f>
        <v/>
      </c>
      <c r="L206" s="27" t="n">
        <v>124</v>
      </c>
      <c r="M206" t="inlineStr">
        <is>
          <t>Discharged</t>
        </is>
      </c>
    </row>
    <row r="207">
      <c r="A207" t="inlineStr">
        <is>
          <t>ED207505</t>
        </is>
      </c>
      <c r="B207" t="inlineStr">
        <is>
          <t>PT12194</t>
        </is>
      </c>
      <c r="C207" s="26" t="n">
        <v>45730.36805555555</v>
      </c>
      <c r="D207" t="inlineStr">
        <is>
          <t>Fri</t>
        </is>
      </c>
      <c r="E207" s="27" t="n">
        <v>8</v>
      </c>
      <c r="F207" t="inlineStr">
        <is>
          <t>Ambulance</t>
        </is>
      </c>
      <c r="G207" s="27" t="n">
        <v>3</v>
      </c>
      <c r="H207" t="inlineStr">
        <is>
          <t>Cough / Fever</t>
        </is>
      </c>
      <c r="I207" t="n">
        <v>77</v>
      </c>
      <c r="J207" t="n">
        <v>130</v>
      </c>
      <c r="K207" s="28">
        <f>I207/J207</f>
        <v/>
      </c>
      <c r="L207" s="27" t="n">
        <v>25</v>
      </c>
      <c r="M207" t="inlineStr">
        <is>
          <t>Discharged</t>
        </is>
      </c>
    </row>
    <row r="208">
      <c r="A208" t="inlineStr">
        <is>
          <t>ED207509</t>
        </is>
      </c>
      <c r="B208" t="inlineStr">
        <is>
          <t>PT11443</t>
        </is>
      </c>
      <c r="C208" s="26" t="n">
        <v>45730.4625</v>
      </c>
      <c r="D208" t="inlineStr">
        <is>
          <t>Fri</t>
        </is>
      </c>
      <c r="E208" s="27" t="n">
        <v>11</v>
      </c>
      <c r="F208" t="inlineStr">
        <is>
          <t>Walk-In</t>
        </is>
      </c>
      <c r="G208" s="27" t="n">
        <v>3</v>
      </c>
      <c r="H208" t="inlineStr">
        <is>
          <t>Vomiting / Diarrhea</t>
        </is>
      </c>
      <c r="I208" t="n">
        <v>112</v>
      </c>
      <c r="J208" t="n">
        <v>123</v>
      </c>
      <c r="K208" s="28">
        <f>I208/J208</f>
        <v/>
      </c>
      <c r="L208" s="27" t="n">
        <v>62</v>
      </c>
      <c r="M208" t="inlineStr">
        <is>
          <t>Discharged</t>
        </is>
      </c>
    </row>
    <row r="209">
      <c r="A209" t="inlineStr">
        <is>
          <t>ED207511</t>
        </is>
      </c>
      <c r="B209" t="inlineStr">
        <is>
          <t>PT10611</t>
        </is>
      </c>
      <c r="C209" s="26" t="n">
        <v>45730.51805555556</v>
      </c>
      <c r="D209" t="inlineStr">
        <is>
          <t>Fri</t>
        </is>
      </c>
      <c r="E209" s="27" t="n">
        <v>12</v>
      </c>
      <c r="F209" t="inlineStr">
        <is>
          <t>Walk-In</t>
        </is>
      </c>
      <c r="G209" s="27" t="n">
        <v>5</v>
      </c>
      <c r="H209" t="inlineStr">
        <is>
          <t>Cough / Fever</t>
        </is>
      </c>
      <c r="I209" t="n">
        <v>111</v>
      </c>
      <c r="J209" t="n">
        <v>100</v>
      </c>
      <c r="K209" s="28">
        <f>I209/J209</f>
        <v/>
      </c>
      <c r="L209" s="27" t="n">
        <v>53</v>
      </c>
      <c r="M209" t="inlineStr">
        <is>
          <t>Discharged</t>
        </is>
      </c>
    </row>
    <row r="210">
      <c r="A210" t="inlineStr">
        <is>
          <t>ED207520</t>
        </is>
      </c>
      <c r="B210" t="inlineStr">
        <is>
          <t>PT11310</t>
        </is>
      </c>
      <c r="C210" s="26" t="n">
        <v>45731.06458333333</v>
      </c>
      <c r="D210" t="inlineStr">
        <is>
          <t>Sat</t>
        </is>
      </c>
      <c r="E210" s="27" t="n">
        <v>1</v>
      </c>
      <c r="F210" t="inlineStr">
        <is>
          <t>Walk-In</t>
        </is>
      </c>
      <c r="G210" s="27" t="n">
        <v>3</v>
      </c>
      <c r="H210" t="inlineStr">
        <is>
          <t>Painful Urination / Fever</t>
        </is>
      </c>
      <c r="I210" t="n">
        <v>72</v>
      </c>
      <c r="J210" t="n">
        <v>146</v>
      </c>
      <c r="K210" s="28">
        <f>I210/J210</f>
        <v/>
      </c>
      <c r="L210" s="27" t="n">
        <v>24</v>
      </c>
      <c r="M210" t="inlineStr">
        <is>
          <t>Discharged</t>
        </is>
      </c>
    </row>
    <row r="211">
      <c r="A211" t="inlineStr">
        <is>
          <t>ED207521</t>
        </is>
      </c>
      <c r="B211" t="inlineStr">
        <is>
          <t>PT10976</t>
        </is>
      </c>
      <c r="C211" s="26" t="n">
        <v>45731.19097222222</v>
      </c>
      <c r="D211" t="inlineStr">
        <is>
          <t>Sat</t>
        </is>
      </c>
      <c r="E211" s="27" t="n">
        <v>4</v>
      </c>
      <c r="F211" t="inlineStr">
        <is>
          <t>Walk-In</t>
        </is>
      </c>
      <c r="G211" s="27" t="n">
        <v>4</v>
      </c>
      <c r="H211" t="inlineStr">
        <is>
          <t>Cough / Fever</t>
        </is>
      </c>
      <c r="I211" t="n">
        <v>81</v>
      </c>
      <c r="J211" t="n">
        <v>130</v>
      </c>
      <c r="K211" s="28">
        <f>I211/J211</f>
        <v/>
      </c>
      <c r="L211" s="27" t="n">
        <v>27</v>
      </c>
      <c r="M211" t="inlineStr">
        <is>
          <t>Discharged</t>
        </is>
      </c>
    </row>
    <row r="212">
      <c r="A212" t="inlineStr">
        <is>
          <t>ED207522</t>
        </is>
      </c>
      <c r="B212" t="inlineStr">
        <is>
          <t>PT11727</t>
        </is>
      </c>
      <c r="C212" s="26" t="n">
        <v>45731.29722222222</v>
      </c>
      <c r="D212" t="inlineStr">
        <is>
          <t>Sat</t>
        </is>
      </c>
      <c r="E212" s="27" t="n">
        <v>7</v>
      </c>
      <c r="F212" t="inlineStr">
        <is>
          <t>Walk-In</t>
        </is>
      </c>
      <c r="G212" s="27" t="n">
        <v>3</v>
      </c>
      <c r="H212" t="inlineStr">
        <is>
          <t>Vomiting / Dizziness</t>
        </is>
      </c>
      <c r="I212" t="n">
        <v>113</v>
      </c>
      <c r="J212" t="n">
        <v>105</v>
      </c>
      <c r="K212" s="28">
        <f>I212/J212</f>
        <v/>
      </c>
      <c r="L212" s="27" t="n">
        <v>29</v>
      </c>
      <c r="M212" t="inlineStr">
        <is>
          <t>Admitted</t>
        </is>
      </c>
    </row>
    <row r="213">
      <c r="A213" t="inlineStr">
        <is>
          <t>ED207523</t>
        </is>
      </c>
      <c r="B213" t="inlineStr">
        <is>
          <t>PT12159</t>
        </is>
      </c>
      <c r="C213" s="26" t="n">
        <v>45731.35138888889</v>
      </c>
      <c r="D213" t="inlineStr">
        <is>
          <t>Sat</t>
        </is>
      </c>
      <c r="E213" s="27" t="n">
        <v>8</v>
      </c>
      <c r="F213" t="inlineStr">
        <is>
          <t>Ambulance</t>
        </is>
      </c>
      <c r="G213" s="27" t="n">
        <v>2</v>
      </c>
      <c r="H213" t="inlineStr">
        <is>
          <t>Chest Pain</t>
        </is>
      </c>
      <c r="I213" t="n">
        <v>67</v>
      </c>
      <c r="J213" t="n">
        <v>192</v>
      </c>
      <c r="K213" s="28">
        <f>I213/J213</f>
        <v/>
      </c>
      <c r="L213" s="27" t="n">
        <v>21</v>
      </c>
      <c r="M213" t="inlineStr">
        <is>
          <t>Admitted</t>
        </is>
      </c>
    </row>
    <row r="214">
      <c r="A214" t="inlineStr">
        <is>
          <t>ED207526</t>
        </is>
      </c>
      <c r="B214" t="inlineStr">
        <is>
          <t>PT10886</t>
        </is>
      </c>
      <c r="C214" s="26" t="n">
        <v>45731.45138888889</v>
      </c>
      <c r="D214" t="inlineStr">
        <is>
          <t>Sat</t>
        </is>
      </c>
      <c r="E214" s="27" t="n">
        <v>10</v>
      </c>
      <c r="F214" t="inlineStr">
        <is>
          <t>Walk-In</t>
        </is>
      </c>
      <c r="G214" s="27" t="n">
        <v>2</v>
      </c>
      <c r="H214" t="inlineStr">
        <is>
          <t>Shortness of Breath</t>
        </is>
      </c>
      <c r="I214" t="n">
        <v>125</v>
      </c>
      <c r="J214" t="n">
        <v>150</v>
      </c>
      <c r="K214" s="28">
        <f>I214/J214</f>
        <v/>
      </c>
      <c r="L214" s="27" t="n">
        <v>13</v>
      </c>
      <c r="M214" t="inlineStr">
        <is>
          <t>Observation</t>
        </is>
      </c>
    </row>
    <row r="215">
      <c r="A215" t="inlineStr">
        <is>
          <t>ED207528</t>
        </is>
      </c>
      <c r="B215" t="inlineStr">
        <is>
          <t>PT10786</t>
        </is>
      </c>
      <c r="C215" s="26" t="n">
        <v>45731.53888888889</v>
      </c>
      <c r="D215" t="inlineStr">
        <is>
          <t>Sat</t>
        </is>
      </c>
      <c r="E215" s="27" t="n">
        <v>12</v>
      </c>
      <c r="F215" t="inlineStr">
        <is>
          <t>Walk-In</t>
        </is>
      </c>
      <c r="G215" s="27" t="n">
        <v>4</v>
      </c>
      <c r="H215" t="inlineStr">
        <is>
          <t>Cough / Fever</t>
        </is>
      </c>
      <c r="I215" t="n">
        <v>79</v>
      </c>
      <c r="J215" t="n">
        <v>148</v>
      </c>
      <c r="K215" s="28">
        <f>I215/J215</f>
        <v/>
      </c>
      <c r="L215" s="27" t="n">
        <v>41</v>
      </c>
      <c r="M215" t="inlineStr">
        <is>
          <t>Left AMA</t>
        </is>
      </c>
    </row>
    <row r="216">
      <c r="A216" t="inlineStr">
        <is>
          <t>ED207536</t>
        </is>
      </c>
      <c r="B216" t="inlineStr">
        <is>
          <t>PT12019</t>
        </is>
      </c>
      <c r="C216" s="26" t="n">
        <v>45731.83611111111</v>
      </c>
      <c r="D216" t="inlineStr">
        <is>
          <t>Sat</t>
        </is>
      </c>
      <c r="E216" s="27" t="n">
        <v>20</v>
      </c>
      <c r="F216" t="inlineStr">
        <is>
          <t>Ambulance</t>
        </is>
      </c>
      <c r="G216" s="27" t="n">
        <v>1</v>
      </c>
      <c r="H216" t="inlineStr">
        <is>
          <t>Shortness of Breath</t>
        </is>
      </c>
      <c r="I216" t="n">
        <v>76</v>
      </c>
      <c r="J216" t="n">
        <v>82</v>
      </c>
      <c r="K216" s="28">
        <f>I216/J216</f>
        <v/>
      </c>
      <c r="L216" s="27" t="n">
        <v>2</v>
      </c>
      <c r="M216" t="inlineStr">
        <is>
          <t>Admitted</t>
        </is>
      </c>
    </row>
    <row r="217">
      <c r="A217" t="inlineStr">
        <is>
          <t>ED207538</t>
        </is>
      </c>
      <c r="B217" t="inlineStr">
        <is>
          <t>PT12124</t>
        </is>
      </c>
      <c r="C217" s="26" t="n">
        <v>45732.07638888889</v>
      </c>
      <c r="D217" t="inlineStr">
        <is>
          <t>Sun</t>
        </is>
      </c>
      <c r="E217" s="27" t="n">
        <v>1</v>
      </c>
      <c r="F217" t="inlineStr">
        <is>
          <t>Walk-In</t>
        </is>
      </c>
      <c r="G217" s="27" t="n">
        <v>3</v>
      </c>
      <c r="H217" t="inlineStr">
        <is>
          <t>Fainting</t>
        </is>
      </c>
      <c r="I217" t="n">
        <v>77</v>
      </c>
      <c r="J217" t="n">
        <v>134</v>
      </c>
      <c r="K217" s="28">
        <f>I217/J217</f>
        <v/>
      </c>
      <c r="L217" s="27" t="n">
        <v>14</v>
      </c>
      <c r="M217" t="inlineStr">
        <is>
          <t>Discharged</t>
        </is>
      </c>
    </row>
    <row r="218">
      <c r="A218" t="inlineStr">
        <is>
          <t>ED207541</t>
        </is>
      </c>
      <c r="B218" t="inlineStr">
        <is>
          <t>PT11101</t>
        </is>
      </c>
      <c r="C218" s="26" t="n">
        <v>45732.3875</v>
      </c>
      <c r="D218" t="inlineStr">
        <is>
          <t>Sun</t>
        </is>
      </c>
      <c r="E218" s="27" t="n">
        <v>9</v>
      </c>
      <c r="F218" t="inlineStr">
        <is>
          <t>Walk-In</t>
        </is>
      </c>
      <c r="G218" s="27" t="n">
        <v>3</v>
      </c>
      <c r="H218" t="inlineStr">
        <is>
          <t>Shortness of Breath</t>
        </is>
      </c>
      <c r="I218" t="n">
        <v>108</v>
      </c>
      <c r="J218" t="n">
        <v>122</v>
      </c>
      <c r="K218" s="28">
        <f>I218/J218</f>
        <v/>
      </c>
      <c r="L218" s="27" t="n">
        <v>117</v>
      </c>
      <c r="M218" t="inlineStr">
        <is>
          <t>Discharged</t>
        </is>
      </c>
    </row>
    <row r="219">
      <c r="A219" t="inlineStr">
        <is>
          <t>ED207543</t>
        </is>
      </c>
      <c r="B219" t="inlineStr">
        <is>
          <t>PT10749</t>
        </is>
      </c>
      <c r="C219" s="26" t="n">
        <v>45732.46944444445</v>
      </c>
      <c r="D219" t="inlineStr">
        <is>
          <t>Sun</t>
        </is>
      </c>
      <c r="E219" s="27" t="n">
        <v>11</v>
      </c>
      <c r="F219" t="inlineStr">
        <is>
          <t>Walk-In</t>
        </is>
      </c>
      <c r="G219" s="27" t="n">
        <v>2</v>
      </c>
      <c r="H219" t="inlineStr">
        <is>
          <t>Palpitations</t>
        </is>
      </c>
      <c r="I219" t="n">
        <v>118</v>
      </c>
      <c r="J219" t="n">
        <v>128</v>
      </c>
      <c r="K219" s="28">
        <f>I219/J219</f>
        <v/>
      </c>
      <c r="L219" s="27" t="n">
        <v>8</v>
      </c>
      <c r="M219" t="inlineStr">
        <is>
          <t>Admitted</t>
        </is>
      </c>
    </row>
    <row r="220">
      <c r="A220" t="inlineStr">
        <is>
          <t>ED207546</t>
        </is>
      </c>
      <c r="B220" t="inlineStr">
        <is>
          <t>PT10739</t>
        </is>
      </c>
      <c r="C220" s="26" t="n">
        <v>45732.57291666666</v>
      </c>
      <c r="D220" t="inlineStr">
        <is>
          <t>Sun</t>
        </is>
      </c>
      <c r="E220" s="27" t="n">
        <v>13</v>
      </c>
      <c r="F220" t="inlineStr">
        <is>
          <t>Walk-In</t>
        </is>
      </c>
      <c r="G220" s="27" t="n">
        <v>4</v>
      </c>
      <c r="H220" t="inlineStr">
        <is>
          <t>Anxiety / Palpitations</t>
        </is>
      </c>
      <c r="I220" t="n">
        <v>77</v>
      </c>
      <c r="J220" t="n">
        <v>143</v>
      </c>
      <c r="K220" s="28">
        <f>I220/J220</f>
        <v/>
      </c>
      <c r="L220" s="27" t="n">
        <v>44</v>
      </c>
      <c r="M220" t="inlineStr">
        <is>
          <t>Discharged</t>
        </is>
      </c>
    </row>
    <row r="221">
      <c r="A221" t="inlineStr">
        <is>
          <t>ED207548</t>
        </is>
      </c>
      <c r="B221" t="inlineStr">
        <is>
          <t>PT10013</t>
        </is>
      </c>
      <c r="C221" s="26" t="n">
        <v>45732.69513888889</v>
      </c>
      <c r="D221" t="inlineStr">
        <is>
          <t>Sun</t>
        </is>
      </c>
      <c r="E221" s="27" t="n">
        <v>16</v>
      </c>
      <c r="F221" t="inlineStr">
        <is>
          <t>Walk-In</t>
        </is>
      </c>
      <c r="G221" s="27" t="n">
        <v>3</v>
      </c>
      <c r="H221" t="inlineStr">
        <is>
          <t>Vomiting / Dizziness</t>
        </is>
      </c>
      <c r="I221" t="n">
        <v>110</v>
      </c>
      <c r="J221" t="n">
        <v>135</v>
      </c>
      <c r="K221" s="28">
        <f>I221/J221</f>
        <v/>
      </c>
      <c r="L221" s="27" t="n">
        <v>67</v>
      </c>
      <c r="M221" t="inlineStr">
        <is>
          <t>Admitted</t>
        </is>
      </c>
    </row>
    <row r="222">
      <c r="A222" t="inlineStr">
        <is>
          <t>ED207555</t>
        </is>
      </c>
      <c r="B222" t="inlineStr">
        <is>
          <t>PT12267</t>
        </is>
      </c>
      <c r="C222" s="26" t="n">
        <v>45732.91388888889</v>
      </c>
      <c r="D222" t="inlineStr">
        <is>
          <t>Sun</t>
        </is>
      </c>
      <c r="E222" s="27" t="n">
        <v>21</v>
      </c>
      <c r="F222" t="inlineStr">
        <is>
          <t>Walk-In</t>
        </is>
      </c>
      <c r="G222" s="27" t="n">
        <v>4</v>
      </c>
      <c r="H222" t="inlineStr">
        <is>
          <t>Anxiety / Palpitations</t>
        </is>
      </c>
      <c r="I222" t="n">
        <v>113</v>
      </c>
      <c r="J222" t="n">
        <v>115</v>
      </c>
      <c r="K222" s="28">
        <f>I222/J222</f>
        <v/>
      </c>
      <c r="L222" s="27" t="n">
        <v>35</v>
      </c>
      <c r="M222" t="inlineStr">
        <is>
          <t>Discharged</t>
        </is>
      </c>
    </row>
    <row r="223">
      <c r="A223" t="inlineStr">
        <is>
          <t>ED207567</t>
        </is>
      </c>
      <c r="B223" t="inlineStr">
        <is>
          <t>PT11666</t>
        </is>
      </c>
      <c r="C223" s="26" t="n">
        <v>45733.51458333333</v>
      </c>
      <c r="D223" t="inlineStr">
        <is>
          <t>Mon</t>
        </is>
      </c>
      <c r="E223" s="27" t="n">
        <v>12</v>
      </c>
      <c r="F223" t="inlineStr">
        <is>
          <t>Ambulance</t>
        </is>
      </c>
      <c r="G223" s="27" t="n">
        <v>1</v>
      </c>
      <c r="H223" t="inlineStr">
        <is>
          <t>Vomiting / Dizziness</t>
        </is>
      </c>
      <c r="I223" t="n">
        <v>110</v>
      </c>
      <c r="J223" t="n">
        <v>109</v>
      </c>
      <c r="K223" s="28">
        <f>I223/J223</f>
        <v/>
      </c>
      <c r="L223" s="27" t="n">
        <v>2</v>
      </c>
      <c r="M223" t="inlineStr">
        <is>
          <t>Observation</t>
        </is>
      </c>
    </row>
    <row r="224">
      <c r="A224" t="inlineStr">
        <is>
          <t>ED207572</t>
        </is>
      </c>
      <c r="B224" t="inlineStr">
        <is>
          <t>PT11394</t>
        </is>
      </c>
      <c r="C224" s="26" t="n">
        <v>45733.71736111111</v>
      </c>
      <c r="D224" t="inlineStr">
        <is>
          <t>Mon</t>
        </is>
      </c>
      <c r="E224" s="27" t="n">
        <v>17</v>
      </c>
      <c r="F224" t="inlineStr">
        <is>
          <t>Ambulance</t>
        </is>
      </c>
      <c r="G224" s="27" t="n">
        <v>3</v>
      </c>
      <c r="H224" t="inlineStr">
        <is>
          <t>Cough / Fever</t>
        </is>
      </c>
      <c r="I224" t="n">
        <v>91</v>
      </c>
      <c r="J224" t="n">
        <v>136</v>
      </c>
      <c r="K224" s="28">
        <f>I224/J224</f>
        <v/>
      </c>
      <c r="L224" s="27" t="n">
        <v>67</v>
      </c>
      <c r="M224" t="inlineStr">
        <is>
          <t>Admitted</t>
        </is>
      </c>
    </row>
    <row r="225">
      <c r="A225" t="inlineStr">
        <is>
          <t>ED207594</t>
        </is>
      </c>
      <c r="B225" t="inlineStr">
        <is>
          <t>PT12013</t>
        </is>
      </c>
      <c r="C225" s="26" t="n">
        <v>45734.84166666667</v>
      </c>
      <c r="D225" t="inlineStr">
        <is>
          <t>Tue</t>
        </is>
      </c>
      <c r="E225" s="27" t="n">
        <v>20</v>
      </c>
      <c r="F225" t="inlineStr">
        <is>
          <t>Walk-In</t>
        </is>
      </c>
      <c r="G225" s="27" t="n">
        <v>3</v>
      </c>
      <c r="H225" t="inlineStr">
        <is>
          <t>Nausea</t>
        </is>
      </c>
      <c r="I225" t="n">
        <v>83</v>
      </c>
      <c r="J225" t="n">
        <v>129</v>
      </c>
      <c r="K225" s="28">
        <f>I225/J225</f>
        <v/>
      </c>
      <c r="L225" s="27" t="n">
        <v>29</v>
      </c>
      <c r="M225" t="inlineStr">
        <is>
          <t>Left AMA</t>
        </is>
      </c>
    </row>
    <row r="226">
      <c r="A226" t="inlineStr">
        <is>
          <t>ED207598</t>
        </is>
      </c>
      <c r="B226" t="inlineStr">
        <is>
          <t>PT12209</t>
        </is>
      </c>
      <c r="C226" s="26" t="n">
        <v>45735.0125</v>
      </c>
      <c r="D226" t="inlineStr">
        <is>
          <t>Wed</t>
        </is>
      </c>
      <c r="E226" s="27" t="n">
        <v>0</v>
      </c>
      <c r="F226" t="inlineStr">
        <is>
          <t>Walk-In</t>
        </is>
      </c>
      <c r="G226" s="27" t="n">
        <v>2</v>
      </c>
      <c r="H226" t="inlineStr">
        <is>
          <t>Confusion</t>
        </is>
      </c>
      <c r="I226" t="n">
        <v>101</v>
      </c>
      <c r="J226" t="n">
        <v>153</v>
      </c>
      <c r="K226" s="28">
        <f>I226/J226</f>
        <v/>
      </c>
      <c r="L226" s="27" t="n">
        <v>5</v>
      </c>
      <c r="M226" t="inlineStr">
        <is>
          <t>Admitted</t>
        </is>
      </c>
    </row>
    <row r="227">
      <c r="A227" t="inlineStr">
        <is>
          <t>ED207600</t>
        </is>
      </c>
      <c r="B227" t="inlineStr">
        <is>
          <t>PT12748</t>
        </is>
      </c>
      <c r="C227" s="26" t="n">
        <v>45735.34722222222</v>
      </c>
      <c r="D227" t="inlineStr">
        <is>
          <t>Wed</t>
        </is>
      </c>
      <c r="E227" s="27" t="n">
        <v>8</v>
      </c>
      <c r="F227" t="inlineStr">
        <is>
          <t>Walk-In</t>
        </is>
      </c>
      <c r="G227" s="27" t="n">
        <v>5</v>
      </c>
      <c r="H227" t="inlineStr">
        <is>
          <t>Cough / Fever</t>
        </is>
      </c>
      <c r="I227" t="n">
        <v>90</v>
      </c>
      <c r="J227" t="n">
        <v>168</v>
      </c>
      <c r="K227" s="28">
        <f>I227/J227</f>
        <v/>
      </c>
      <c r="L227" s="27" t="n">
        <v>67</v>
      </c>
      <c r="M227" t="inlineStr">
        <is>
          <t>Discharged</t>
        </is>
      </c>
    </row>
    <row r="228">
      <c r="A228" t="inlineStr">
        <is>
          <t>ED207618</t>
        </is>
      </c>
      <c r="B228" t="inlineStr">
        <is>
          <t>PT11542</t>
        </is>
      </c>
      <c r="C228" s="26" t="n">
        <v>45735.98194444444</v>
      </c>
      <c r="D228" t="inlineStr">
        <is>
          <t>Wed</t>
        </is>
      </c>
      <c r="E228" s="27" t="n">
        <v>23</v>
      </c>
      <c r="F228" t="inlineStr">
        <is>
          <t>Walk-In</t>
        </is>
      </c>
      <c r="G228" s="27" t="n">
        <v>3</v>
      </c>
      <c r="H228" t="inlineStr">
        <is>
          <t>Rash</t>
        </is>
      </c>
      <c r="I228" t="n">
        <v>61</v>
      </c>
      <c r="J228" t="n">
        <v>126</v>
      </c>
      <c r="K228" s="28">
        <f>I228/J228</f>
        <v/>
      </c>
      <c r="L228" s="27" t="n">
        <v>34</v>
      </c>
      <c r="M228" t="inlineStr">
        <is>
          <t>Admitted</t>
        </is>
      </c>
    </row>
    <row r="229">
      <c r="A229" t="inlineStr">
        <is>
          <t>ED207621</t>
        </is>
      </c>
      <c r="B229" t="inlineStr">
        <is>
          <t>PT13234</t>
        </is>
      </c>
      <c r="C229" s="26" t="n">
        <v>45736.32222222222</v>
      </c>
      <c r="D229" t="inlineStr">
        <is>
          <t>Thu</t>
        </is>
      </c>
      <c r="E229" s="27" t="n">
        <v>7</v>
      </c>
      <c r="F229" t="inlineStr">
        <is>
          <t>Ambulance</t>
        </is>
      </c>
      <c r="G229" s="27" t="n">
        <v>2</v>
      </c>
      <c r="H229" t="inlineStr">
        <is>
          <t>Skin Redness / Swelling</t>
        </is>
      </c>
      <c r="I229" t="n">
        <v>79</v>
      </c>
      <c r="J229" t="n">
        <v>124</v>
      </c>
      <c r="K229" s="28">
        <f>I229/J229</f>
        <v/>
      </c>
      <c r="L229" s="27" t="n">
        <v>18</v>
      </c>
      <c r="M229" t="inlineStr">
        <is>
          <t>Admitted</t>
        </is>
      </c>
    </row>
    <row r="230">
      <c r="A230" s="29" t="inlineStr">
        <is>
          <t>ED207640</t>
        </is>
      </c>
      <c r="B230" s="29" t="inlineStr">
        <is>
          <t>PT11141</t>
        </is>
      </c>
      <c r="C230" s="30" t="n">
        <v>45736.98472222222</v>
      </c>
      <c r="D230" s="29" t="inlineStr">
        <is>
          <t>Thu</t>
        </is>
      </c>
      <c r="E230" s="31" t="n">
        <v>23</v>
      </c>
      <c r="F230" s="29" t="inlineStr">
        <is>
          <t>Ambulance</t>
        </is>
      </c>
      <c r="G230" s="31" t="n">
        <v>2</v>
      </c>
      <c r="H230" s="29" t="inlineStr">
        <is>
          <t>Fever / Altered Mental Status</t>
        </is>
      </c>
      <c r="I230" s="29" t="n">
        <v>101</v>
      </c>
      <c r="J230" s="29" t="n">
        <v>105</v>
      </c>
      <c r="K230" s="32">
        <f>I230/J230</f>
        <v/>
      </c>
      <c r="L230" s="31" t="n">
        <v>12</v>
      </c>
      <c r="M230" s="29" t="inlineStr">
        <is>
          <t>Admitted</t>
        </is>
      </c>
    </row>
    <row r="231">
      <c r="A231" t="inlineStr">
        <is>
          <t>ED207651</t>
        </is>
      </c>
      <c r="B231" t="inlineStr">
        <is>
          <t>PT12910</t>
        </is>
      </c>
      <c r="C231" s="26" t="n">
        <v>45737.47013888889</v>
      </c>
      <c r="D231" t="inlineStr">
        <is>
          <t>Fri</t>
        </is>
      </c>
      <c r="E231" s="27" t="n">
        <v>11</v>
      </c>
      <c r="F231" t="inlineStr">
        <is>
          <t>Walk-In</t>
        </is>
      </c>
      <c r="G231" s="27" t="n">
        <v>4</v>
      </c>
      <c r="H231" t="inlineStr">
        <is>
          <t>Abdominal Pain</t>
        </is>
      </c>
      <c r="I231" t="n">
        <v>76</v>
      </c>
      <c r="J231" t="n">
        <v>122</v>
      </c>
      <c r="K231" s="28">
        <f>I231/J231</f>
        <v/>
      </c>
      <c r="L231" s="27" t="n">
        <v>25</v>
      </c>
      <c r="M231" t="inlineStr">
        <is>
          <t>Discharged</t>
        </is>
      </c>
    </row>
    <row r="232">
      <c r="A232" t="inlineStr">
        <is>
          <t>ED207666</t>
        </is>
      </c>
      <c r="B232" t="inlineStr">
        <is>
          <t>PT10886</t>
        </is>
      </c>
      <c r="C232" s="26" t="n">
        <v>45738.39861111111</v>
      </c>
      <c r="D232" t="inlineStr">
        <is>
          <t>Sat</t>
        </is>
      </c>
      <c r="E232" s="27" t="n">
        <v>9</v>
      </c>
      <c r="F232" t="inlineStr">
        <is>
          <t>Walk-In</t>
        </is>
      </c>
      <c r="G232" s="27" t="n">
        <v>3</v>
      </c>
      <c r="H232" t="inlineStr">
        <is>
          <t>Skin Redness / Swelling</t>
        </is>
      </c>
      <c r="I232" t="n">
        <v>91</v>
      </c>
      <c r="J232" t="n">
        <v>127</v>
      </c>
      <c r="K232" s="28">
        <f>I232/J232</f>
        <v/>
      </c>
      <c r="L232" s="27" t="n">
        <v>23</v>
      </c>
      <c r="M232" t="inlineStr">
        <is>
          <t>Discharged</t>
        </is>
      </c>
    </row>
    <row r="233">
      <c r="A233" t="inlineStr">
        <is>
          <t>ED207681</t>
        </is>
      </c>
      <c r="B233" t="inlineStr">
        <is>
          <t>PT11835</t>
        </is>
      </c>
      <c r="C233" s="26" t="n">
        <v>45739.45</v>
      </c>
      <c r="D233" t="inlineStr">
        <is>
          <t>Sun</t>
        </is>
      </c>
      <c r="E233" s="27" t="n">
        <v>10</v>
      </c>
      <c r="F233" t="inlineStr">
        <is>
          <t>Walk-In</t>
        </is>
      </c>
      <c r="G233" s="27" t="n">
        <v>3</v>
      </c>
      <c r="H233" t="inlineStr">
        <is>
          <t>Vomiting / Dizziness</t>
        </is>
      </c>
      <c r="I233" t="n">
        <v>106</v>
      </c>
      <c r="J233" t="n">
        <v>122</v>
      </c>
      <c r="K233" s="28">
        <f>I233/J233</f>
        <v/>
      </c>
      <c r="L233" s="27" t="n">
        <v>71</v>
      </c>
      <c r="M233" t="inlineStr">
        <is>
          <t>Discharged</t>
        </is>
      </c>
    </row>
    <row r="234">
      <c r="A234" t="inlineStr">
        <is>
          <t>ED207688</t>
        </is>
      </c>
      <c r="B234" t="inlineStr">
        <is>
          <t>PT10177</t>
        </is>
      </c>
      <c r="C234" s="26" t="n">
        <v>45739.9</v>
      </c>
      <c r="D234" t="inlineStr">
        <is>
          <t>Sun</t>
        </is>
      </c>
      <c r="E234" s="27" t="n">
        <v>21</v>
      </c>
      <c r="F234" t="inlineStr">
        <is>
          <t>Walk-In</t>
        </is>
      </c>
      <c r="G234" s="27" t="n">
        <v>2</v>
      </c>
      <c r="H234" t="inlineStr">
        <is>
          <t>Nausea</t>
        </is>
      </c>
      <c r="I234" t="n">
        <v>95</v>
      </c>
      <c r="J234" t="n">
        <v>156</v>
      </c>
      <c r="K234" s="28">
        <f>I234/J234</f>
        <v/>
      </c>
      <c r="L234" s="27" t="n">
        <v>10</v>
      </c>
      <c r="M234" t="inlineStr">
        <is>
          <t>Admitted</t>
        </is>
      </c>
    </row>
    <row r="235">
      <c r="A235" t="inlineStr">
        <is>
          <t>ED207691</t>
        </is>
      </c>
      <c r="B235" t="inlineStr">
        <is>
          <t>PT10411</t>
        </is>
      </c>
      <c r="C235" s="26" t="n">
        <v>45740.04861111111</v>
      </c>
      <c r="D235" t="inlineStr">
        <is>
          <t>Mon</t>
        </is>
      </c>
      <c r="E235" s="27" t="n">
        <v>1</v>
      </c>
      <c r="F235" t="inlineStr">
        <is>
          <t>Ambulance</t>
        </is>
      </c>
      <c r="G235" s="27" t="n">
        <v>3</v>
      </c>
      <c r="H235" t="inlineStr">
        <is>
          <t>High Blood Sugar</t>
        </is>
      </c>
      <c r="I235" t="n">
        <v>88</v>
      </c>
      <c r="J235" t="n">
        <v>138</v>
      </c>
      <c r="K235" s="28">
        <f>I235/J235</f>
        <v/>
      </c>
      <c r="L235" s="27" t="n">
        <v>14</v>
      </c>
      <c r="M235" t="inlineStr">
        <is>
          <t>Admitted</t>
        </is>
      </c>
    </row>
    <row r="236">
      <c r="A236" t="inlineStr">
        <is>
          <t>ED207706</t>
        </is>
      </c>
      <c r="B236" t="inlineStr">
        <is>
          <t>PT12420</t>
        </is>
      </c>
      <c r="C236" s="26" t="n">
        <v>45740.62638888889</v>
      </c>
      <c r="D236" t="inlineStr">
        <is>
          <t>Mon</t>
        </is>
      </c>
      <c r="E236" s="27" t="n">
        <v>15</v>
      </c>
      <c r="F236" t="inlineStr">
        <is>
          <t>Walk-In</t>
        </is>
      </c>
      <c r="G236" s="27" t="n">
        <v>3</v>
      </c>
      <c r="H236" t="inlineStr">
        <is>
          <t>Painful Urination / Fever</t>
        </is>
      </c>
      <c r="I236" t="n">
        <v>82</v>
      </c>
      <c r="J236" t="n">
        <v>114</v>
      </c>
      <c r="K236" s="28">
        <f>I236/J236</f>
        <v/>
      </c>
      <c r="L236" s="27" t="n">
        <v>102</v>
      </c>
      <c r="M236" t="inlineStr">
        <is>
          <t>Discharged</t>
        </is>
      </c>
    </row>
    <row r="237">
      <c r="A237" t="inlineStr">
        <is>
          <t>ED207709</t>
        </is>
      </c>
      <c r="B237" t="inlineStr">
        <is>
          <t>PT13638</t>
        </is>
      </c>
      <c r="C237" s="26" t="n">
        <v>45740.70208333333</v>
      </c>
      <c r="D237" t="inlineStr">
        <is>
          <t>Mon</t>
        </is>
      </c>
      <c r="E237" s="27" t="n">
        <v>16</v>
      </c>
      <c r="F237" t="inlineStr">
        <is>
          <t>Ambulance</t>
        </is>
      </c>
      <c r="G237" s="27" t="n">
        <v>2</v>
      </c>
      <c r="H237" t="inlineStr">
        <is>
          <t>Dizziness</t>
        </is>
      </c>
      <c r="I237" t="n">
        <v>103</v>
      </c>
      <c r="J237" t="n">
        <v>126</v>
      </c>
      <c r="K237" s="28">
        <f>I237/J237</f>
        <v/>
      </c>
      <c r="L237" s="27" t="n">
        <v>21</v>
      </c>
      <c r="M237" t="inlineStr">
        <is>
          <t>Admitted</t>
        </is>
      </c>
    </row>
    <row r="238">
      <c r="A238" t="inlineStr">
        <is>
          <t>ED207712</t>
        </is>
      </c>
      <c r="B238" t="inlineStr">
        <is>
          <t>PT13657</t>
        </is>
      </c>
      <c r="C238" s="26" t="n">
        <v>45741.22222222222</v>
      </c>
      <c r="D238" t="inlineStr">
        <is>
          <t>Tue</t>
        </is>
      </c>
      <c r="E238" s="27" t="n">
        <v>5</v>
      </c>
      <c r="F238" t="inlineStr">
        <is>
          <t>Walk-In</t>
        </is>
      </c>
      <c r="G238" s="27" t="n">
        <v>3</v>
      </c>
      <c r="H238" t="inlineStr">
        <is>
          <t>Cough / Fever</t>
        </is>
      </c>
      <c r="I238" t="n">
        <v>106</v>
      </c>
      <c r="J238" t="n">
        <v>151</v>
      </c>
      <c r="K238" s="28">
        <f>I238/J238</f>
        <v/>
      </c>
      <c r="L238" s="27" t="n">
        <v>14</v>
      </c>
      <c r="M238" t="inlineStr">
        <is>
          <t>Discharged</t>
        </is>
      </c>
    </row>
    <row r="239">
      <c r="A239" t="inlineStr">
        <is>
          <t>ED207716</t>
        </is>
      </c>
      <c r="B239" t="inlineStr">
        <is>
          <t>PT10062</t>
        </is>
      </c>
      <c r="C239" s="26" t="n">
        <v>45741.51041666666</v>
      </c>
      <c r="D239" t="inlineStr">
        <is>
          <t>Tue</t>
        </is>
      </c>
      <c r="E239" s="27" t="n">
        <v>12</v>
      </c>
      <c r="F239" t="inlineStr">
        <is>
          <t>Walk-In</t>
        </is>
      </c>
      <c r="G239" s="27" t="n">
        <v>5</v>
      </c>
      <c r="H239" t="inlineStr">
        <is>
          <t>Vomiting / Diarrhea</t>
        </is>
      </c>
      <c r="I239" t="n">
        <v>106</v>
      </c>
      <c r="J239" t="n">
        <v>157</v>
      </c>
      <c r="K239" s="28">
        <f>I239/J239</f>
        <v/>
      </c>
      <c r="L239" s="27" t="n">
        <v>76</v>
      </c>
      <c r="M239" t="inlineStr">
        <is>
          <t>Discharged</t>
        </is>
      </c>
    </row>
    <row r="240">
      <c r="A240" t="inlineStr">
        <is>
          <t>ED207725</t>
        </is>
      </c>
      <c r="B240" t="inlineStr">
        <is>
          <t>PT13946</t>
        </is>
      </c>
      <c r="C240" s="26" t="n">
        <v>45742.38819444444</v>
      </c>
      <c r="D240" t="inlineStr">
        <is>
          <t>Wed</t>
        </is>
      </c>
      <c r="E240" s="27" t="n">
        <v>9</v>
      </c>
      <c r="F240" t="inlineStr">
        <is>
          <t>Walk-In</t>
        </is>
      </c>
      <c r="G240" s="27" t="n">
        <v>2</v>
      </c>
      <c r="H240" t="inlineStr">
        <is>
          <t>Fainting</t>
        </is>
      </c>
      <c r="I240" t="n">
        <v>62</v>
      </c>
      <c r="J240" t="n">
        <v>143</v>
      </c>
      <c r="K240" s="28">
        <f>I240/J240</f>
        <v/>
      </c>
      <c r="L240" s="27" t="n">
        <v>26</v>
      </c>
      <c r="M240" t="inlineStr">
        <is>
          <t>Observation</t>
        </is>
      </c>
    </row>
    <row r="241">
      <c r="A241" t="inlineStr">
        <is>
          <t>ED207730</t>
        </is>
      </c>
      <c r="B241" t="inlineStr">
        <is>
          <t>PT10884</t>
        </is>
      </c>
      <c r="C241" s="26" t="n">
        <v>45742.55902777778</v>
      </c>
      <c r="D241" t="inlineStr">
        <is>
          <t>Wed</t>
        </is>
      </c>
      <c r="E241" s="27" t="n">
        <v>13</v>
      </c>
      <c r="F241" t="inlineStr">
        <is>
          <t>Walk-In</t>
        </is>
      </c>
      <c r="G241" s="27" t="n">
        <v>4</v>
      </c>
      <c r="H241" t="inlineStr">
        <is>
          <t>Skin Redness / Swelling</t>
        </is>
      </c>
      <c r="I241" t="n">
        <v>86</v>
      </c>
      <c r="J241" t="n">
        <v>111</v>
      </c>
      <c r="K241" s="28">
        <f>I241/J241</f>
        <v/>
      </c>
      <c r="L241" s="27" t="n">
        <v>83</v>
      </c>
      <c r="M241" t="inlineStr">
        <is>
          <t>Discharged</t>
        </is>
      </c>
    </row>
    <row r="242">
      <c r="A242" t="inlineStr">
        <is>
          <t>ED207744</t>
        </is>
      </c>
      <c r="B242" t="inlineStr">
        <is>
          <t>PT11523</t>
        </is>
      </c>
      <c r="C242" s="26" t="n">
        <v>45743.35277777778</v>
      </c>
      <c r="D242" t="inlineStr">
        <is>
          <t>Thu</t>
        </is>
      </c>
      <c r="E242" s="27" t="n">
        <v>8</v>
      </c>
      <c r="F242" t="inlineStr">
        <is>
          <t>Ambulance</t>
        </is>
      </c>
      <c r="G242" s="27" t="n">
        <v>3</v>
      </c>
      <c r="H242" t="inlineStr">
        <is>
          <t>Fainting</t>
        </is>
      </c>
      <c r="I242" t="n">
        <v>80</v>
      </c>
      <c r="J242" t="n">
        <v>139</v>
      </c>
      <c r="K242" s="28">
        <f>I242/J242</f>
        <v/>
      </c>
      <c r="L242" s="27" t="n">
        <v>23</v>
      </c>
      <c r="M242" t="inlineStr">
        <is>
          <t>Observation</t>
        </is>
      </c>
    </row>
    <row r="243">
      <c r="A243" t="inlineStr">
        <is>
          <t>ED207753</t>
        </is>
      </c>
      <c r="B243" t="inlineStr">
        <is>
          <t>PT12609</t>
        </is>
      </c>
      <c r="C243" s="26" t="n">
        <v>45743.69930555556</v>
      </c>
      <c r="D243" t="inlineStr">
        <is>
          <t>Thu</t>
        </is>
      </c>
      <c r="E243" s="27" t="n">
        <v>16</v>
      </c>
      <c r="F243" t="inlineStr">
        <is>
          <t>Walk-In</t>
        </is>
      </c>
      <c r="G243" s="27" t="n">
        <v>3</v>
      </c>
      <c r="H243" t="inlineStr">
        <is>
          <t>Painful Urination / Fever</t>
        </is>
      </c>
      <c r="I243" t="n">
        <v>77</v>
      </c>
      <c r="J243" t="n">
        <v>96</v>
      </c>
      <c r="K243" s="28">
        <f>I243/J243</f>
        <v/>
      </c>
      <c r="L243" s="27" t="n">
        <v>63</v>
      </c>
      <c r="M243" t="inlineStr">
        <is>
          <t>Discharged</t>
        </is>
      </c>
    </row>
    <row r="244">
      <c r="A244" t="inlineStr">
        <is>
          <t>ED207754</t>
        </is>
      </c>
      <c r="B244" t="inlineStr">
        <is>
          <t>PT11242</t>
        </is>
      </c>
      <c r="C244" s="26" t="n">
        <v>45743.75</v>
      </c>
      <c r="D244" t="inlineStr">
        <is>
          <t>Thu</t>
        </is>
      </c>
      <c r="E244" s="27" t="n">
        <v>18</v>
      </c>
      <c r="F244" t="inlineStr">
        <is>
          <t>Ambulance</t>
        </is>
      </c>
      <c r="G244" s="27" t="n">
        <v>2</v>
      </c>
      <c r="H244" t="inlineStr">
        <is>
          <t>Chest Pain</t>
        </is>
      </c>
      <c r="I244" t="n">
        <v>95</v>
      </c>
      <c r="J244" t="n">
        <v>139</v>
      </c>
      <c r="K244" s="28">
        <f>I244/J244</f>
        <v/>
      </c>
      <c r="L244" s="27" t="n">
        <v>88</v>
      </c>
      <c r="M244" t="inlineStr">
        <is>
          <t>Observation</t>
        </is>
      </c>
    </row>
    <row r="245">
      <c r="A245" t="inlineStr">
        <is>
          <t>ED207758</t>
        </is>
      </c>
      <c r="B245" t="inlineStr">
        <is>
          <t>PT12011</t>
        </is>
      </c>
      <c r="C245" s="26" t="n">
        <v>45744.11388888889</v>
      </c>
      <c r="D245" t="inlineStr">
        <is>
          <t>Fri</t>
        </is>
      </c>
      <c r="E245" s="27" t="n">
        <v>2</v>
      </c>
      <c r="F245" t="inlineStr">
        <is>
          <t>Walk-In</t>
        </is>
      </c>
      <c r="G245" s="27" t="n">
        <v>5</v>
      </c>
      <c r="H245" t="inlineStr">
        <is>
          <t>Cough / Fever</t>
        </is>
      </c>
      <c r="I245" t="n">
        <v>84</v>
      </c>
      <c r="J245" t="n">
        <v>129</v>
      </c>
      <c r="K245" s="28">
        <f>I245/J245</f>
        <v/>
      </c>
      <c r="L245" s="27" t="n">
        <v>29</v>
      </c>
      <c r="M245" t="inlineStr">
        <is>
          <t>Discharged</t>
        </is>
      </c>
    </row>
    <row r="246">
      <c r="A246" t="inlineStr">
        <is>
          <t>ED207767</t>
        </is>
      </c>
      <c r="B246" t="inlineStr">
        <is>
          <t>PT13828</t>
        </is>
      </c>
      <c r="C246" s="26" t="n">
        <v>45744.48194444444</v>
      </c>
      <c r="D246" t="inlineStr">
        <is>
          <t>Fri</t>
        </is>
      </c>
      <c r="E246" s="27" t="n">
        <v>11</v>
      </c>
      <c r="F246" t="inlineStr">
        <is>
          <t>Walk-In</t>
        </is>
      </c>
      <c r="G246" s="27" t="n">
        <v>4</v>
      </c>
      <c r="H246" t="inlineStr">
        <is>
          <t>Painful Urination / Fever</t>
        </is>
      </c>
      <c r="I246" t="n">
        <v>79</v>
      </c>
      <c r="J246" t="n">
        <v>101</v>
      </c>
      <c r="K246" s="28">
        <f>I246/J246</f>
        <v/>
      </c>
      <c r="L246" s="27" t="n">
        <v>39</v>
      </c>
      <c r="M246" t="inlineStr">
        <is>
          <t>Discharged</t>
        </is>
      </c>
    </row>
    <row r="247">
      <c r="A247" s="29" t="inlineStr">
        <is>
          <t>ED207768</t>
        </is>
      </c>
      <c r="B247" s="29" t="inlineStr">
        <is>
          <t>PT13821</t>
        </is>
      </c>
      <c r="C247" s="30" t="n">
        <v>45744.49444444444</v>
      </c>
      <c r="D247" s="29" t="inlineStr">
        <is>
          <t>Fri</t>
        </is>
      </c>
      <c r="E247" s="31" t="n">
        <v>11</v>
      </c>
      <c r="F247" s="29" t="inlineStr">
        <is>
          <t>Walk-In</t>
        </is>
      </c>
      <c r="G247" s="31" t="n">
        <v>3</v>
      </c>
      <c r="H247" s="29" t="inlineStr">
        <is>
          <t>Cough / Fever</t>
        </is>
      </c>
      <c r="I247" s="29" t="n">
        <v>107</v>
      </c>
      <c r="J247" s="29" t="n">
        <v>128</v>
      </c>
      <c r="K247" s="32">
        <f>I247/J247</f>
        <v/>
      </c>
      <c r="L247" s="31" t="n">
        <v>25</v>
      </c>
      <c r="M247" s="29" t="inlineStr">
        <is>
          <t>Discharged</t>
        </is>
      </c>
    </row>
    <row r="248">
      <c r="A248" t="inlineStr">
        <is>
          <t>ED207776</t>
        </is>
      </c>
      <c r="B248" t="inlineStr">
        <is>
          <t>PT11941</t>
        </is>
      </c>
      <c r="C248" s="26" t="n">
        <v>45744.66805555556</v>
      </c>
      <c r="D248" t="inlineStr">
        <is>
          <t>Fri</t>
        </is>
      </c>
      <c r="E248" s="27" t="n">
        <v>16</v>
      </c>
      <c r="F248" t="inlineStr">
        <is>
          <t>Ambulance</t>
        </is>
      </c>
      <c r="G248" s="27" t="n">
        <v>2</v>
      </c>
      <c r="H248" t="inlineStr">
        <is>
          <t>Shortness of Breath</t>
        </is>
      </c>
      <c r="I248" t="n">
        <v>91</v>
      </c>
      <c r="J248" t="n">
        <v>142</v>
      </c>
      <c r="K248" s="28">
        <f>I248/J248</f>
        <v/>
      </c>
      <c r="L248" s="27" t="n">
        <v>16</v>
      </c>
      <c r="M248" t="inlineStr">
        <is>
          <t>Observation</t>
        </is>
      </c>
    </row>
    <row r="249">
      <c r="A249" t="inlineStr">
        <is>
          <t>ED207785</t>
        </is>
      </c>
      <c r="B249" t="inlineStr">
        <is>
          <t>PT10411</t>
        </is>
      </c>
      <c r="C249" s="26" t="n">
        <v>45745.43680555555</v>
      </c>
      <c r="D249" t="inlineStr">
        <is>
          <t>Sat</t>
        </is>
      </c>
      <c r="E249" s="27" t="n">
        <v>10</v>
      </c>
      <c r="F249" t="inlineStr">
        <is>
          <t>Walk-In</t>
        </is>
      </c>
      <c r="G249" s="27" t="n">
        <v>3</v>
      </c>
      <c r="H249" t="inlineStr">
        <is>
          <t>High Blood Sugar</t>
        </is>
      </c>
      <c r="I249" t="n">
        <v>84</v>
      </c>
      <c r="J249" t="n">
        <v>127</v>
      </c>
      <c r="K249" s="28">
        <f>I249/J249</f>
        <v/>
      </c>
      <c r="L249" s="27" t="n">
        <v>22</v>
      </c>
      <c r="M249" t="inlineStr">
        <is>
          <t>Admitted</t>
        </is>
      </c>
    </row>
    <row r="250">
      <c r="A250" t="inlineStr">
        <is>
          <t>ED207792</t>
        </is>
      </c>
      <c r="B250" t="inlineStr">
        <is>
          <t>PT13306</t>
        </is>
      </c>
      <c r="C250" s="26" t="n">
        <v>45745.74097222222</v>
      </c>
      <c r="D250" t="inlineStr">
        <is>
          <t>Sat</t>
        </is>
      </c>
      <c r="E250" s="27" t="n">
        <v>17</v>
      </c>
      <c r="F250" t="inlineStr">
        <is>
          <t>Walk-In</t>
        </is>
      </c>
      <c r="G250" s="27" t="n">
        <v>3</v>
      </c>
      <c r="H250" t="inlineStr">
        <is>
          <t>Dizziness</t>
        </is>
      </c>
      <c r="I250" t="n">
        <v>86</v>
      </c>
      <c r="J250" t="n">
        <v>136</v>
      </c>
      <c r="K250" s="28">
        <f>I250/J250</f>
        <v/>
      </c>
      <c r="L250" s="27" t="n">
        <v>105</v>
      </c>
      <c r="M250" t="inlineStr">
        <is>
          <t>Discharged</t>
        </is>
      </c>
    </row>
    <row r="251">
      <c r="A251" t="inlineStr">
        <is>
          <t>ED207810</t>
        </is>
      </c>
      <c r="B251" t="inlineStr">
        <is>
          <t>PT10332</t>
        </is>
      </c>
      <c r="C251" s="26" t="n">
        <v>45747.09861111111</v>
      </c>
      <c r="D251" t="inlineStr">
        <is>
          <t>Mon</t>
        </is>
      </c>
      <c r="E251" s="27" t="n">
        <v>2</v>
      </c>
      <c r="F251" t="inlineStr">
        <is>
          <t>Walk-In</t>
        </is>
      </c>
      <c r="G251" s="27" t="n">
        <v>3</v>
      </c>
      <c r="H251" t="inlineStr">
        <is>
          <t>Abdominal Pain</t>
        </is>
      </c>
      <c r="I251" t="n">
        <v>94</v>
      </c>
      <c r="J251" t="n">
        <v>119</v>
      </c>
      <c r="K251" s="28">
        <f>I251/J251</f>
        <v/>
      </c>
      <c r="L251" s="27" t="n">
        <v>19</v>
      </c>
      <c r="M251" t="inlineStr">
        <is>
          <t>Discharged</t>
        </is>
      </c>
    </row>
    <row r="252">
      <c r="A252" s="29" t="inlineStr">
        <is>
          <t>ED207814</t>
        </is>
      </c>
      <c r="B252" s="29" t="inlineStr">
        <is>
          <t>PT13095</t>
        </is>
      </c>
      <c r="C252" s="30" t="n">
        <v>45747.27569444444</v>
      </c>
      <c r="D252" s="29" t="inlineStr">
        <is>
          <t>Mon</t>
        </is>
      </c>
      <c r="E252" s="31" t="n">
        <v>6</v>
      </c>
      <c r="F252" s="29" t="inlineStr">
        <is>
          <t>Walk-In</t>
        </is>
      </c>
      <c r="G252" s="31" t="n">
        <v>2</v>
      </c>
      <c r="H252" s="29" t="inlineStr">
        <is>
          <t>Cough / Fever</t>
        </is>
      </c>
      <c r="I252" s="29" t="n">
        <v>101</v>
      </c>
      <c r="J252" s="29" t="n">
        <v>110</v>
      </c>
      <c r="K252" s="32">
        <f>I252/J252</f>
        <v/>
      </c>
      <c r="L252" s="31" t="n">
        <v>15</v>
      </c>
      <c r="M252" s="29" t="inlineStr">
        <is>
          <t>Admitted</t>
        </is>
      </c>
    </row>
    <row r="253">
      <c r="A253" t="inlineStr">
        <is>
          <t>ED207819</t>
        </is>
      </c>
      <c r="B253" t="inlineStr">
        <is>
          <t>PT10650</t>
        </is>
      </c>
      <c r="C253" s="26" t="n">
        <v>45747.51527777778</v>
      </c>
      <c r="D253" t="inlineStr">
        <is>
          <t>Mon</t>
        </is>
      </c>
      <c r="E253" s="27" t="n">
        <v>12</v>
      </c>
      <c r="F253" t="inlineStr">
        <is>
          <t>Walk-In</t>
        </is>
      </c>
      <c r="G253" s="27" t="n">
        <v>4</v>
      </c>
      <c r="H253" t="inlineStr">
        <is>
          <t>Skin Redness / Swelling</t>
        </is>
      </c>
      <c r="I253" t="n">
        <v>82</v>
      </c>
      <c r="J253" t="n">
        <v>146</v>
      </c>
      <c r="K253" s="28">
        <f>I253/J253</f>
        <v/>
      </c>
      <c r="L253" s="27" t="n">
        <v>115</v>
      </c>
      <c r="M253" t="inlineStr">
        <is>
          <t>Discharged</t>
        </is>
      </c>
    </row>
    <row r="254">
      <c r="A254" t="inlineStr">
        <is>
          <t>ED207833</t>
        </is>
      </c>
      <c r="B254" t="inlineStr">
        <is>
          <t>PT10031</t>
        </is>
      </c>
      <c r="C254" s="26" t="n">
        <v>45748.86041666667</v>
      </c>
      <c r="D254" t="inlineStr">
        <is>
          <t>Tue</t>
        </is>
      </c>
      <c r="E254" s="27" t="n">
        <v>20</v>
      </c>
      <c r="F254" t="inlineStr">
        <is>
          <t>Walk-In</t>
        </is>
      </c>
      <c r="G254" s="27" t="n">
        <v>4</v>
      </c>
      <c r="H254" t="inlineStr">
        <is>
          <t>Anxiety / Palpitations</t>
        </is>
      </c>
      <c r="I254" t="n">
        <v>83</v>
      </c>
      <c r="J254" t="n">
        <v>126</v>
      </c>
      <c r="K254" s="28">
        <f>I254/J254</f>
        <v/>
      </c>
      <c r="L254" s="27" t="n">
        <v>32</v>
      </c>
      <c r="M254" t="inlineStr">
        <is>
          <t>Discharged</t>
        </is>
      </c>
    </row>
    <row r="255">
      <c r="A255" t="inlineStr">
        <is>
          <t>ED207839</t>
        </is>
      </c>
      <c r="B255" t="inlineStr">
        <is>
          <t>PT10721</t>
        </is>
      </c>
      <c r="C255" s="26" t="n">
        <v>45749.38055555556</v>
      </c>
      <c r="D255" t="inlineStr">
        <is>
          <t>Wed</t>
        </is>
      </c>
      <c r="E255" s="27" t="n">
        <v>9</v>
      </c>
      <c r="F255" t="inlineStr">
        <is>
          <t>Walk-In</t>
        </is>
      </c>
      <c r="G255" s="27" t="n">
        <v>3</v>
      </c>
      <c r="H255" t="inlineStr">
        <is>
          <t>Vomiting / Diarrhea</t>
        </is>
      </c>
      <c r="I255" t="n">
        <v>101</v>
      </c>
      <c r="J255" t="n">
        <v>151</v>
      </c>
      <c r="K255" s="28">
        <f>I255/J255</f>
        <v/>
      </c>
      <c r="L255" s="27" t="n">
        <v>103</v>
      </c>
      <c r="M255" t="inlineStr">
        <is>
          <t>Discharged</t>
        </is>
      </c>
    </row>
    <row r="256">
      <c r="A256" t="inlineStr">
        <is>
          <t>ED207841</t>
        </is>
      </c>
      <c r="B256" t="inlineStr">
        <is>
          <t>PT11372</t>
        </is>
      </c>
      <c r="C256" s="26" t="n">
        <v>45749.49652777778</v>
      </c>
      <c r="D256" t="inlineStr">
        <is>
          <t>Wed</t>
        </is>
      </c>
      <c r="E256" s="27" t="n">
        <v>11</v>
      </c>
      <c r="F256" t="inlineStr">
        <is>
          <t>Walk-In</t>
        </is>
      </c>
      <c r="G256" s="27" t="n">
        <v>3</v>
      </c>
      <c r="H256" t="inlineStr">
        <is>
          <t>Abdominal Pain</t>
        </is>
      </c>
      <c r="I256" t="n">
        <v>80</v>
      </c>
      <c r="J256" t="n">
        <v>147</v>
      </c>
      <c r="K256" s="28">
        <f>I256/J256</f>
        <v/>
      </c>
      <c r="L256" s="27" t="n">
        <v>30</v>
      </c>
      <c r="M256" t="inlineStr">
        <is>
          <t>Discharged</t>
        </is>
      </c>
    </row>
    <row r="257">
      <c r="A257" t="inlineStr">
        <is>
          <t>ED207848</t>
        </is>
      </c>
      <c r="B257" t="inlineStr">
        <is>
          <t>PT13116</t>
        </is>
      </c>
      <c r="C257" s="26" t="n">
        <v>45749.73125</v>
      </c>
      <c r="D257" t="inlineStr">
        <is>
          <t>Wed</t>
        </is>
      </c>
      <c r="E257" s="27" t="n">
        <v>17</v>
      </c>
      <c r="F257" t="inlineStr">
        <is>
          <t>Walk-In</t>
        </is>
      </c>
      <c r="G257" s="27" t="n">
        <v>3</v>
      </c>
      <c r="H257" t="inlineStr">
        <is>
          <t>Tremors / Alcohol Withdrawal</t>
        </is>
      </c>
      <c r="I257" t="n">
        <v>96</v>
      </c>
      <c r="J257" t="n">
        <v>117</v>
      </c>
      <c r="K257" s="28">
        <f>I257/J257</f>
        <v/>
      </c>
      <c r="L257" s="27" t="n">
        <v>102</v>
      </c>
      <c r="M257" t="inlineStr">
        <is>
          <t>Admitted</t>
        </is>
      </c>
    </row>
    <row r="258">
      <c r="A258" t="inlineStr">
        <is>
          <t>ED207855</t>
        </is>
      </c>
      <c r="B258" t="inlineStr">
        <is>
          <t>PT10506</t>
        </is>
      </c>
      <c r="C258" s="26" t="n">
        <v>45750.09236111111</v>
      </c>
      <c r="D258" t="inlineStr">
        <is>
          <t>Thu</t>
        </is>
      </c>
      <c r="E258" s="27" t="n">
        <v>2</v>
      </c>
      <c r="F258" t="inlineStr">
        <is>
          <t>Ambulance</t>
        </is>
      </c>
      <c r="G258" s="27" t="n">
        <v>3</v>
      </c>
      <c r="H258" t="inlineStr">
        <is>
          <t>Rash</t>
        </is>
      </c>
      <c r="I258" t="n">
        <v>81</v>
      </c>
      <c r="J258" t="n">
        <v>143</v>
      </c>
      <c r="K258" s="28">
        <f>I258/J258</f>
        <v/>
      </c>
      <c r="L258" s="27" t="n">
        <v>30</v>
      </c>
      <c r="M258" t="inlineStr">
        <is>
          <t>Admitted</t>
        </is>
      </c>
    </row>
    <row r="259">
      <c r="A259" t="inlineStr">
        <is>
          <t>ED207885</t>
        </is>
      </c>
      <c r="B259" t="inlineStr">
        <is>
          <t>PT13536</t>
        </is>
      </c>
      <c r="C259" s="26" t="n">
        <v>45752.46944444445</v>
      </c>
      <c r="D259" t="inlineStr">
        <is>
          <t>Sat</t>
        </is>
      </c>
      <c r="E259" s="27" t="n">
        <v>11</v>
      </c>
      <c r="F259" t="inlineStr">
        <is>
          <t>Ambulance</t>
        </is>
      </c>
      <c r="G259" s="27" t="n">
        <v>1</v>
      </c>
      <c r="H259" t="inlineStr">
        <is>
          <t>Bloody Stool / Vomiting Blood</t>
        </is>
      </c>
      <c r="I259" t="n">
        <v>95</v>
      </c>
      <c r="J259" t="n">
        <v>112</v>
      </c>
      <c r="K259" s="28">
        <f>I259/J259</f>
        <v/>
      </c>
      <c r="L259" s="27" t="n">
        <v>5</v>
      </c>
      <c r="M259" t="inlineStr">
        <is>
          <t>Admitted</t>
        </is>
      </c>
    </row>
    <row r="260">
      <c r="A260" t="inlineStr">
        <is>
          <t>ED207886</t>
        </is>
      </c>
      <c r="B260" t="inlineStr">
        <is>
          <t>PT13090</t>
        </is>
      </c>
      <c r="C260" s="26" t="n">
        <v>45752.48958333334</v>
      </c>
      <c r="D260" t="inlineStr">
        <is>
          <t>Sat</t>
        </is>
      </c>
      <c r="E260" s="27" t="n">
        <v>11</v>
      </c>
      <c r="F260" t="inlineStr">
        <is>
          <t>Ambulance</t>
        </is>
      </c>
      <c r="G260" s="27" t="n">
        <v>3</v>
      </c>
      <c r="H260" t="inlineStr">
        <is>
          <t>Cough / Fever</t>
        </is>
      </c>
      <c r="I260" t="n">
        <v>92</v>
      </c>
      <c r="J260" t="n">
        <v>99</v>
      </c>
      <c r="K260" s="28">
        <f>I260/J260</f>
        <v/>
      </c>
      <c r="L260" s="27" t="n">
        <v>34</v>
      </c>
      <c r="M260" t="inlineStr">
        <is>
          <t>Discharged</t>
        </is>
      </c>
    </row>
    <row r="261">
      <c r="A261" t="inlineStr">
        <is>
          <t>ED207896</t>
        </is>
      </c>
      <c r="B261" t="inlineStr">
        <is>
          <t>PT12858</t>
        </is>
      </c>
      <c r="C261" s="26" t="n">
        <v>45753.07361111111</v>
      </c>
      <c r="D261" t="inlineStr">
        <is>
          <t>Sun</t>
        </is>
      </c>
      <c r="E261" s="27" t="n">
        <v>1</v>
      </c>
      <c r="F261" t="inlineStr">
        <is>
          <t>Walk-In</t>
        </is>
      </c>
      <c r="G261" s="27" t="n">
        <v>4</v>
      </c>
      <c r="H261" t="inlineStr">
        <is>
          <t>Ankle Injury</t>
        </is>
      </c>
      <c r="I261" t="n">
        <v>84</v>
      </c>
      <c r="J261" t="n">
        <v>146</v>
      </c>
      <c r="K261" s="28">
        <f>I261/J261</f>
        <v/>
      </c>
      <c r="L261" s="27" t="n">
        <v>60</v>
      </c>
      <c r="M261" t="inlineStr">
        <is>
          <t>Discharged</t>
        </is>
      </c>
    </row>
    <row r="262">
      <c r="A262" t="inlineStr">
        <is>
          <t>ED207902</t>
        </is>
      </c>
      <c r="B262" t="inlineStr">
        <is>
          <t>PT12649</t>
        </is>
      </c>
      <c r="C262" s="26" t="n">
        <v>45753.49652777778</v>
      </c>
      <c r="D262" t="inlineStr">
        <is>
          <t>Sun</t>
        </is>
      </c>
      <c r="E262" s="27" t="n">
        <v>11</v>
      </c>
      <c r="F262" t="inlineStr">
        <is>
          <t>Walk-In</t>
        </is>
      </c>
      <c r="G262" s="27" t="n">
        <v>4</v>
      </c>
      <c r="H262" t="inlineStr">
        <is>
          <t>Ankle Injury</t>
        </is>
      </c>
      <c r="I262" t="n">
        <v>99</v>
      </c>
      <c r="J262" t="n">
        <v>153</v>
      </c>
      <c r="K262" s="28">
        <f>I262/J262</f>
        <v/>
      </c>
      <c r="L262" s="27" t="n">
        <v>42</v>
      </c>
      <c r="M262" t="inlineStr">
        <is>
          <t>Discharged</t>
        </is>
      </c>
    </row>
    <row r="263">
      <c r="A263" t="inlineStr">
        <is>
          <t>ED207904</t>
        </is>
      </c>
      <c r="B263" t="inlineStr">
        <is>
          <t>PT10966</t>
        </is>
      </c>
      <c r="C263" s="26" t="n">
        <v>45753.53125</v>
      </c>
      <c r="D263" t="inlineStr">
        <is>
          <t>Sun</t>
        </is>
      </c>
      <c r="E263" s="27" t="n">
        <v>12</v>
      </c>
      <c r="F263" t="inlineStr">
        <is>
          <t>Walk-In</t>
        </is>
      </c>
      <c r="G263" s="27" t="n">
        <v>4</v>
      </c>
      <c r="H263" t="inlineStr">
        <is>
          <t>Headache</t>
        </is>
      </c>
      <c r="I263" t="n">
        <v>102</v>
      </c>
      <c r="J263" t="n">
        <v>149</v>
      </c>
      <c r="K263" s="28">
        <f>I263/J263</f>
        <v/>
      </c>
      <c r="L263" s="27" t="n">
        <v>124</v>
      </c>
      <c r="M263" t="inlineStr">
        <is>
          <t>Discharged</t>
        </is>
      </c>
    </row>
    <row r="264">
      <c r="A264" t="inlineStr">
        <is>
          <t>ED207922</t>
        </is>
      </c>
      <c r="B264" t="inlineStr">
        <is>
          <t>PT10180</t>
        </is>
      </c>
      <c r="C264" s="26" t="n">
        <v>45754.73263888889</v>
      </c>
      <c r="D264" t="inlineStr">
        <is>
          <t>Mon</t>
        </is>
      </c>
      <c r="E264" s="27" t="n">
        <v>17</v>
      </c>
      <c r="F264" t="inlineStr">
        <is>
          <t>Walk-In</t>
        </is>
      </c>
      <c r="G264" s="27" t="n">
        <v>3</v>
      </c>
      <c r="H264" t="inlineStr">
        <is>
          <t>Skin Redness / Swelling</t>
        </is>
      </c>
      <c r="I264" t="n">
        <v>90</v>
      </c>
      <c r="J264" t="n">
        <v>155</v>
      </c>
      <c r="K264" s="28">
        <f>I264/J264</f>
        <v/>
      </c>
      <c r="L264" s="27" t="n">
        <v>73</v>
      </c>
      <c r="M264" t="inlineStr">
        <is>
          <t>Admitted</t>
        </is>
      </c>
    </row>
    <row r="265">
      <c r="A265" t="inlineStr">
        <is>
          <t>ED207927</t>
        </is>
      </c>
      <c r="B265" t="inlineStr">
        <is>
          <t>PT11518</t>
        </is>
      </c>
      <c r="C265" s="26" t="n">
        <v>45755.56458333333</v>
      </c>
      <c r="D265" t="inlineStr">
        <is>
          <t>Tue</t>
        </is>
      </c>
      <c r="E265" s="27" t="n">
        <v>13</v>
      </c>
      <c r="F265" t="inlineStr">
        <is>
          <t>Walk-In</t>
        </is>
      </c>
      <c r="G265" s="27" t="n">
        <v>4</v>
      </c>
      <c r="H265" t="inlineStr">
        <is>
          <t>Chest Pain</t>
        </is>
      </c>
      <c r="I265" t="n">
        <v>70</v>
      </c>
      <c r="J265" t="n">
        <v>128</v>
      </c>
      <c r="K265" s="28">
        <f>I265/J265</f>
        <v/>
      </c>
      <c r="L265" s="27" t="n">
        <v>43</v>
      </c>
      <c r="M265" t="inlineStr">
        <is>
          <t>Discharged</t>
        </is>
      </c>
    </row>
    <row r="266">
      <c r="A266" t="inlineStr">
        <is>
          <t>ED207931</t>
        </is>
      </c>
      <c r="B266" t="inlineStr">
        <is>
          <t>PT11427</t>
        </is>
      </c>
      <c r="C266" s="26" t="n">
        <v>45755.66041666667</v>
      </c>
      <c r="D266" t="inlineStr">
        <is>
          <t>Tue</t>
        </is>
      </c>
      <c r="E266" s="27" t="n">
        <v>15</v>
      </c>
      <c r="F266" t="inlineStr">
        <is>
          <t>Walk-In</t>
        </is>
      </c>
      <c r="G266" s="27" t="n">
        <v>2</v>
      </c>
      <c r="H266" t="inlineStr">
        <is>
          <t>Shortness of Breath</t>
        </is>
      </c>
      <c r="I266" t="n">
        <v>113</v>
      </c>
      <c r="J266" t="n">
        <v>123</v>
      </c>
      <c r="K266" s="28">
        <f>I266/J266</f>
        <v/>
      </c>
      <c r="L266" s="27" t="n">
        <v>26</v>
      </c>
      <c r="M266" t="inlineStr">
        <is>
          <t>Admitted</t>
        </is>
      </c>
    </row>
    <row r="267">
      <c r="A267" t="inlineStr">
        <is>
          <t>ED207934</t>
        </is>
      </c>
      <c r="B267" t="inlineStr">
        <is>
          <t>PT12133</t>
        </is>
      </c>
      <c r="C267" s="26" t="n">
        <v>45755.78125</v>
      </c>
      <c r="D267" t="inlineStr">
        <is>
          <t>Tue</t>
        </is>
      </c>
      <c r="E267" s="27" t="n">
        <v>18</v>
      </c>
      <c r="F267" t="inlineStr">
        <is>
          <t>Ambulance</t>
        </is>
      </c>
      <c r="G267" s="27" t="n">
        <v>2</v>
      </c>
      <c r="H267" t="inlineStr">
        <is>
          <t>Shortness of Breath</t>
        </is>
      </c>
      <c r="I267" t="n">
        <v>92</v>
      </c>
      <c r="J267" t="n">
        <v>113</v>
      </c>
      <c r="K267" s="28">
        <f>I267/J267</f>
        <v/>
      </c>
      <c r="L267" s="27" t="n">
        <v>29</v>
      </c>
      <c r="M267" t="inlineStr">
        <is>
          <t>Admitted</t>
        </is>
      </c>
    </row>
    <row r="268">
      <c r="A268" s="29" t="inlineStr">
        <is>
          <t>ED207945</t>
        </is>
      </c>
      <c r="B268" s="29" t="inlineStr">
        <is>
          <t>PT12687</t>
        </is>
      </c>
      <c r="C268" s="30" t="n">
        <v>45756.63819444444</v>
      </c>
      <c r="D268" s="29" t="inlineStr">
        <is>
          <t>Wed</t>
        </is>
      </c>
      <c r="E268" s="31" t="n">
        <v>15</v>
      </c>
      <c r="F268" s="29" t="inlineStr">
        <is>
          <t>Walk-In</t>
        </is>
      </c>
      <c r="G268" s="31" t="n">
        <v>2</v>
      </c>
      <c r="H268" s="29" t="inlineStr">
        <is>
          <t>Cough / Fever</t>
        </is>
      </c>
      <c r="I268" s="29" t="n">
        <v>91</v>
      </c>
      <c r="J268" s="29" t="n">
        <v>87</v>
      </c>
      <c r="K268" s="32">
        <f>I268/J268</f>
        <v/>
      </c>
      <c r="L268" s="31" t="n">
        <v>14</v>
      </c>
      <c r="M268" s="29" t="inlineStr">
        <is>
          <t>Admitted</t>
        </is>
      </c>
    </row>
    <row r="269">
      <c r="A269" t="inlineStr">
        <is>
          <t>ED207946</t>
        </is>
      </c>
      <c r="B269" t="inlineStr">
        <is>
          <t>PT12070</t>
        </is>
      </c>
      <c r="C269" s="26" t="n">
        <v>45756.65</v>
      </c>
      <c r="D269" t="inlineStr">
        <is>
          <t>Wed</t>
        </is>
      </c>
      <c r="E269" s="27" t="n">
        <v>15</v>
      </c>
      <c r="F269" t="inlineStr">
        <is>
          <t>Ambulance</t>
        </is>
      </c>
      <c r="G269" s="27" t="n">
        <v>1</v>
      </c>
      <c r="H269" t="inlineStr">
        <is>
          <t>Shortness of Breath</t>
        </is>
      </c>
      <c r="I269" t="n">
        <v>105</v>
      </c>
      <c r="J269" t="n">
        <v>149</v>
      </c>
      <c r="K269" s="28">
        <f>I269/J269</f>
        <v/>
      </c>
      <c r="L269" s="27" t="n">
        <v>2</v>
      </c>
      <c r="M269" t="inlineStr">
        <is>
          <t>Admitted</t>
        </is>
      </c>
    </row>
    <row r="270">
      <c r="A270" t="inlineStr">
        <is>
          <t>ED207948</t>
        </is>
      </c>
      <c r="B270" t="inlineStr">
        <is>
          <t>PT11126</t>
        </is>
      </c>
      <c r="C270" s="26" t="n">
        <v>45756.75069444445</v>
      </c>
      <c r="D270" t="inlineStr">
        <is>
          <t>Wed</t>
        </is>
      </c>
      <c r="E270" s="27" t="n">
        <v>18</v>
      </c>
      <c r="F270" t="inlineStr">
        <is>
          <t>Walk-In</t>
        </is>
      </c>
      <c r="G270" s="27" t="n">
        <v>3</v>
      </c>
      <c r="H270" t="inlineStr">
        <is>
          <t>Abdominal Pain</t>
        </is>
      </c>
      <c r="I270" t="n">
        <v>81</v>
      </c>
      <c r="J270" t="n">
        <v>118</v>
      </c>
      <c r="K270" s="28">
        <f>I270/J270</f>
        <v/>
      </c>
      <c r="L270" s="27" t="n">
        <v>64</v>
      </c>
      <c r="M270" t="inlineStr">
        <is>
          <t>Discharged</t>
        </is>
      </c>
    </row>
    <row r="271">
      <c r="A271" t="inlineStr">
        <is>
          <t>ED207949</t>
        </is>
      </c>
      <c r="B271" t="inlineStr">
        <is>
          <t>PT13277</t>
        </is>
      </c>
      <c r="C271" s="26" t="n">
        <v>45756.89027777778</v>
      </c>
      <c r="D271" t="inlineStr">
        <is>
          <t>Wed</t>
        </is>
      </c>
      <c r="E271" s="27" t="n">
        <v>21</v>
      </c>
      <c r="F271" t="inlineStr">
        <is>
          <t>Walk-In</t>
        </is>
      </c>
      <c r="G271" s="27" t="n">
        <v>5</v>
      </c>
      <c r="H271" t="inlineStr">
        <is>
          <t>Skin Redness / Swelling</t>
        </is>
      </c>
      <c r="I271" t="n">
        <v>95</v>
      </c>
      <c r="J271" t="n">
        <v>156</v>
      </c>
      <c r="K271" s="28">
        <f>I271/J271</f>
        <v/>
      </c>
      <c r="L271" s="27" t="n">
        <v>28</v>
      </c>
      <c r="M271" t="inlineStr">
        <is>
          <t>Discharged</t>
        </is>
      </c>
    </row>
    <row r="272">
      <c r="A272" t="inlineStr">
        <is>
          <t>ED207960</t>
        </is>
      </c>
      <c r="B272" t="inlineStr">
        <is>
          <t>PT11367</t>
        </is>
      </c>
      <c r="C272" s="26" t="n">
        <v>45757.61944444444</v>
      </c>
      <c r="D272" t="inlineStr">
        <is>
          <t>Thu</t>
        </is>
      </c>
      <c r="E272" s="27" t="n">
        <v>14</v>
      </c>
      <c r="F272" t="inlineStr">
        <is>
          <t>Walk-In</t>
        </is>
      </c>
      <c r="G272" s="27" t="n">
        <v>3</v>
      </c>
      <c r="H272" t="inlineStr">
        <is>
          <t>Painful Urination / Fever</t>
        </is>
      </c>
      <c r="I272" t="n">
        <v>101</v>
      </c>
      <c r="J272" t="n">
        <v>115</v>
      </c>
      <c r="K272" s="28">
        <f>I272/J272</f>
        <v/>
      </c>
      <c r="L272" s="27" t="n">
        <v>144</v>
      </c>
      <c r="M272" t="inlineStr">
        <is>
          <t>Discharged</t>
        </is>
      </c>
    </row>
    <row r="273">
      <c r="A273" t="inlineStr">
        <is>
          <t>ED207965</t>
        </is>
      </c>
      <c r="B273" t="inlineStr">
        <is>
          <t>PT13876</t>
        </is>
      </c>
      <c r="C273" s="26" t="n">
        <v>45757.7625</v>
      </c>
      <c r="D273" t="inlineStr">
        <is>
          <t>Thu</t>
        </is>
      </c>
      <c r="E273" s="27" t="n">
        <v>18</v>
      </c>
      <c r="F273" t="inlineStr">
        <is>
          <t>Walk-In</t>
        </is>
      </c>
      <c r="G273" s="27" t="n">
        <v>5</v>
      </c>
      <c r="H273" t="inlineStr">
        <is>
          <t>Vomiting / Diarrhea</t>
        </is>
      </c>
      <c r="I273" t="n">
        <v>93</v>
      </c>
      <c r="J273" t="n">
        <v>136</v>
      </c>
      <c r="K273" s="28">
        <f>I273/J273</f>
        <v/>
      </c>
      <c r="L273" s="27" t="n">
        <v>68</v>
      </c>
      <c r="M273" t="inlineStr">
        <is>
          <t>Discharged</t>
        </is>
      </c>
    </row>
    <row r="274">
      <c r="A274" t="inlineStr">
        <is>
          <t>ED207968</t>
        </is>
      </c>
      <c r="B274" t="inlineStr">
        <is>
          <t>PT10047</t>
        </is>
      </c>
      <c r="C274" s="26" t="n">
        <v>45757.81041666667</v>
      </c>
      <c r="D274" t="inlineStr">
        <is>
          <t>Thu</t>
        </is>
      </c>
      <c r="E274" s="27" t="n">
        <v>19</v>
      </c>
      <c r="F274" t="inlineStr">
        <is>
          <t>Walk-In</t>
        </is>
      </c>
      <c r="G274" s="27" t="n">
        <v>5</v>
      </c>
      <c r="H274" t="inlineStr">
        <is>
          <t>Vomiting / Diarrhea</t>
        </is>
      </c>
      <c r="I274" t="n">
        <v>118</v>
      </c>
      <c r="J274" t="n">
        <v>107</v>
      </c>
      <c r="K274" s="28">
        <f>I274/J274</f>
        <v/>
      </c>
      <c r="L274" s="27" t="n">
        <v>113</v>
      </c>
      <c r="M274" t="inlineStr">
        <is>
          <t>Discharged</t>
        </is>
      </c>
    </row>
    <row r="275">
      <c r="A275" t="inlineStr">
        <is>
          <t>ED207977</t>
        </is>
      </c>
      <c r="B275" t="inlineStr">
        <is>
          <t>PT10788</t>
        </is>
      </c>
      <c r="C275" s="26" t="n">
        <v>45758.41805555556</v>
      </c>
      <c r="D275" t="inlineStr">
        <is>
          <t>Fri</t>
        </is>
      </c>
      <c r="E275" s="27" t="n">
        <v>10</v>
      </c>
      <c r="F275" t="inlineStr">
        <is>
          <t>Walk-In</t>
        </is>
      </c>
      <c r="G275" s="27" t="n">
        <v>3</v>
      </c>
      <c r="H275" t="inlineStr">
        <is>
          <t>Chest Pain</t>
        </is>
      </c>
      <c r="I275" t="n">
        <v>87</v>
      </c>
      <c r="J275" t="n">
        <v>112</v>
      </c>
      <c r="K275" s="28">
        <f>I275/J275</f>
        <v/>
      </c>
      <c r="L275" s="27" t="n">
        <v>22</v>
      </c>
      <c r="M275" t="inlineStr">
        <is>
          <t>Discharged</t>
        </is>
      </c>
    </row>
    <row r="276">
      <c r="A276" t="inlineStr">
        <is>
          <t>ED207984</t>
        </is>
      </c>
      <c r="B276" t="inlineStr">
        <is>
          <t>PT10337</t>
        </is>
      </c>
      <c r="C276" s="26" t="n">
        <v>45758.625</v>
      </c>
      <c r="D276" t="inlineStr">
        <is>
          <t>Fri</t>
        </is>
      </c>
      <c r="E276" s="27" t="n">
        <v>15</v>
      </c>
      <c r="F276" t="inlineStr">
        <is>
          <t>Ambulance</t>
        </is>
      </c>
      <c r="G276" s="27" t="n">
        <v>2</v>
      </c>
      <c r="H276" t="inlineStr">
        <is>
          <t>Fainting</t>
        </is>
      </c>
      <c r="I276" t="n">
        <v>71</v>
      </c>
      <c r="J276" t="n">
        <v>146</v>
      </c>
      <c r="K276" s="28">
        <f>I276/J276</f>
        <v/>
      </c>
      <c r="L276" s="27" t="n">
        <v>12</v>
      </c>
      <c r="M276" t="inlineStr">
        <is>
          <t>Observation</t>
        </is>
      </c>
    </row>
    <row r="277">
      <c r="A277" t="inlineStr">
        <is>
          <t>ED207987</t>
        </is>
      </c>
      <c r="B277" t="inlineStr">
        <is>
          <t>PT10672</t>
        </is>
      </c>
      <c r="C277" s="26" t="n">
        <v>45758.95763888889</v>
      </c>
      <c r="D277" t="inlineStr">
        <is>
          <t>Fri</t>
        </is>
      </c>
      <c r="E277" s="27" t="n">
        <v>22</v>
      </c>
      <c r="F277" t="inlineStr">
        <is>
          <t>Walk-In</t>
        </is>
      </c>
      <c r="G277" s="27" t="n">
        <v>2</v>
      </c>
      <c r="H277" t="inlineStr">
        <is>
          <t>Cough / Fever</t>
        </is>
      </c>
      <c r="I277" t="n">
        <v>76</v>
      </c>
      <c r="J277" t="n">
        <v>112</v>
      </c>
      <c r="K277" s="28">
        <f>I277/J277</f>
        <v/>
      </c>
      <c r="L277" s="27" t="n">
        <v>20</v>
      </c>
      <c r="M277" t="inlineStr">
        <is>
          <t>Admitted</t>
        </is>
      </c>
    </row>
    <row r="278">
      <c r="A278" t="inlineStr">
        <is>
          <t>ED207988</t>
        </is>
      </c>
      <c r="B278" t="inlineStr">
        <is>
          <t>PT10789</t>
        </is>
      </c>
      <c r="C278" s="26" t="n">
        <v>45758.96111111111</v>
      </c>
      <c r="D278" t="inlineStr">
        <is>
          <t>Fri</t>
        </is>
      </c>
      <c r="E278" s="27" t="n">
        <v>23</v>
      </c>
      <c r="F278" t="inlineStr">
        <is>
          <t>Walk-In</t>
        </is>
      </c>
      <c r="G278" s="27" t="n">
        <v>5</v>
      </c>
      <c r="H278" t="inlineStr">
        <is>
          <t>Cough / Fever</t>
        </is>
      </c>
      <c r="I278" t="n">
        <v>98</v>
      </c>
      <c r="J278" t="n">
        <v>127</v>
      </c>
      <c r="K278" s="28">
        <f>I278/J278</f>
        <v/>
      </c>
      <c r="L278" s="27" t="n">
        <v>24</v>
      </c>
      <c r="M278" t="inlineStr">
        <is>
          <t>Discharged</t>
        </is>
      </c>
    </row>
    <row r="279">
      <c r="A279" t="inlineStr">
        <is>
          <t>ED207989</t>
        </is>
      </c>
      <c r="B279" t="inlineStr">
        <is>
          <t>PT13549</t>
        </is>
      </c>
      <c r="C279" s="26" t="n">
        <v>45758.98402777778</v>
      </c>
      <c r="D279" t="inlineStr">
        <is>
          <t>Fri</t>
        </is>
      </c>
      <c r="E279" s="27" t="n">
        <v>23</v>
      </c>
      <c r="F279" t="inlineStr">
        <is>
          <t>Ambulance</t>
        </is>
      </c>
      <c r="G279" s="27" t="n">
        <v>3</v>
      </c>
      <c r="H279" t="inlineStr">
        <is>
          <t>Dizziness</t>
        </is>
      </c>
      <c r="I279" t="n">
        <v>81</v>
      </c>
      <c r="J279" t="n">
        <v>163</v>
      </c>
      <c r="K279" s="28">
        <f>I279/J279</f>
        <v/>
      </c>
      <c r="L279" s="27" t="n">
        <v>27</v>
      </c>
      <c r="M279" t="inlineStr">
        <is>
          <t>Observation</t>
        </is>
      </c>
    </row>
    <row r="280">
      <c r="A280" s="29" t="inlineStr">
        <is>
          <t>ED208010</t>
        </is>
      </c>
      <c r="B280" s="29" t="inlineStr">
        <is>
          <t>PT10034</t>
        </is>
      </c>
      <c r="C280" s="30" t="n">
        <v>45760.6625</v>
      </c>
      <c r="D280" s="29" t="inlineStr">
        <is>
          <t>Sun</t>
        </is>
      </c>
      <c r="E280" s="31" t="n">
        <v>15</v>
      </c>
      <c r="F280" s="29" t="inlineStr">
        <is>
          <t>Walk-In</t>
        </is>
      </c>
      <c r="G280" s="31" t="n">
        <v>2</v>
      </c>
      <c r="H280" s="29" t="inlineStr">
        <is>
          <t>Cough / Fever</t>
        </is>
      </c>
      <c r="I280" s="29" t="n">
        <v>99</v>
      </c>
      <c r="J280" s="29" t="n">
        <v>103</v>
      </c>
      <c r="K280" s="32">
        <f>I280/J280</f>
        <v/>
      </c>
      <c r="L280" s="31" t="n">
        <v>23</v>
      </c>
      <c r="M280" s="29" t="inlineStr">
        <is>
          <t>Discharged</t>
        </is>
      </c>
    </row>
    <row r="281">
      <c r="A281" t="inlineStr">
        <is>
          <t>ED208012</t>
        </is>
      </c>
      <c r="B281" t="inlineStr">
        <is>
          <t>PT12580</t>
        </is>
      </c>
      <c r="C281" s="26" t="n">
        <v>45760.74236111111</v>
      </c>
      <c r="D281" t="inlineStr">
        <is>
          <t>Sun</t>
        </is>
      </c>
      <c r="E281" s="27" t="n">
        <v>17</v>
      </c>
      <c r="F281" t="inlineStr">
        <is>
          <t>Walk-In</t>
        </is>
      </c>
      <c r="G281" s="27" t="n">
        <v>3</v>
      </c>
      <c r="H281" t="inlineStr">
        <is>
          <t>Painful Urination / Fever</t>
        </is>
      </c>
      <c r="I281" t="n">
        <v>87</v>
      </c>
      <c r="J281" t="n">
        <v>111</v>
      </c>
      <c r="K281" s="28">
        <f>I281/J281</f>
        <v/>
      </c>
      <c r="L281" s="27" t="n">
        <v>148</v>
      </c>
      <c r="M281" t="inlineStr">
        <is>
          <t>Discharged</t>
        </is>
      </c>
    </row>
    <row r="282">
      <c r="A282" t="inlineStr">
        <is>
          <t>ED208013</t>
        </is>
      </c>
      <c r="B282" t="inlineStr">
        <is>
          <t>PT11838</t>
        </is>
      </c>
      <c r="C282" s="26" t="n">
        <v>45760.78819444445</v>
      </c>
      <c r="D282" t="inlineStr">
        <is>
          <t>Sun</t>
        </is>
      </c>
      <c r="E282" s="27" t="n">
        <v>18</v>
      </c>
      <c r="F282" t="inlineStr">
        <is>
          <t>Walk-In</t>
        </is>
      </c>
      <c r="G282" s="27" t="n">
        <v>3</v>
      </c>
      <c r="H282" t="inlineStr">
        <is>
          <t>Skin Redness / Swelling</t>
        </is>
      </c>
      <c r="I282" t="n">
        <v>71</v>
      </c>
      <c r="J282" t="n">
        <v>108</v>
      </c>
      <c r="K282" s="28">
        <f>I282/J282</f>
        <v/>
      </c>
      <c r="L282" s="27" t="n">
        <v>38</v>
      </c>
      <c r="M282" t="inlineStr">
        <is>
          <t>Admitted</t>
        </is>
      </c>
    </row>
    <row r="283">
      <c r="A283" t="inlineStr">
        <is>
          <t>ED208021</t>
        </is>
      </c>
      <c r="B283" t="inlineStr">
        <is>
          <t>PT13475</t>
        </is>
      </c>
      <c r="C283" s="26" t="n">
        <v>45761.5375</v>
      </c>
      <c r="D283" t="inlineStr">
        <is>
          <t>Mon</t>
        </is>
      </c>
      <c r="E283" s="27" t="n">
        <v>12</v>
      </c>
      <c r="F283" t="inlineStr">
        <is>
          <t>Walk-In</t>
        </is>
      </c>
      <c r="G283" s="27" t="n">
        <v>4</v>
      </c>
      <c r="H283" t="inlineStr">
        <is>
          <t>Abdominal Pain</t>
        </is>
      </c>
      <c r="I283" t="n">
        <v>99</v>
      </c>
      <c r="J283" t="n">
        <v>100</v>
      </c>
      <c r="K283" s="28">
        <f>I283/J283</f>
        <v/>
      </c>
      <c r="L283" s="27" t="n">
        <v>36</v>
      </c>
      <c r="M283" t="inlineStr">
        <is>
          <t>Discharged</t>
        </is>
      </c>
    </row>
    <row r="284">
      <c r="A284" t="inlineStr">
        <is>
          <t>ED208030</t>
        </is>
      </c>
      <c r="B284" t="inlineStr">
        <is>
          <t>PT12905</t>
        </is>
      </c>
      <c r="C284" s="26" t="n">
        <v>45761.76180555556</v>
      </c>
      <c r="D284" t="inlineStr">
        <is>
          <t>Mon</t>
        </is>
      </c>
      <c r="E284" s="27" t="n">
        <v>18</v>
      </c>
      <c r="F284" t="inlineStr">
        <is>
          <t>Walk-In</t>
        </is>
      </c>
      <c r="G284" s="27" t="n">
        <v>4</v>
      </c>
      <c r="H284" t="inlineStr">
        <is>
          <t>Abdominal Pain</t>
        </is>
      </c>
      <c r="I284" t="n">
        <v>65</v>
      </c>
      <c r="J284" t="n">
        <v>108</v>
      </c>
      <c r="K284" s="28">
        <f>I284/J284</f>
        <v/>
      </c>
      <c r="L284" s="27" t="n">
        <v>102</v>
      </c>
      <c r="M284" t="inlineStr">
        <is>
          <t>Discharged</t>
        </is>
      </c>
    </row>
    <row r="285">
      <c r="A285" t="inlineStr">
        <is>
          <t>ED208033</t>
        </is>
      </c>
      <c r="B285" t="inlineStr">
        <is>
          <t>PT12963</t>
        </is>
      </c>
      <c r="C285" s="26" t="n">
        <v>45761.85763888889</v>
      </c>
      <c r="D285" t="inlineStr">
        <is>
          <t>Mon</t>
        </is>
      </c>
      <c r="E285" s="27" t="n">
        <v>20</v>
      </c>
      <c r="F285" t="inlineStr">
        <is>
          <t>Ambulance</t>
        </is>
      </c>
      <c r="G285" s="27" t="n">
        <v>2</v>
      </c>
      <c r="H285" t="inlineStr">
        <is>
          <t>Shortness of Breath</t>
        </is>
      </c>
      <c r="I285" t="n">
        <v>84</v>
      </c>
      <c r="J285" t="n">
        <v>166</v>
      </c>
      <c r="K285" s="28">
        <f>I285/J285</f>
        <v/>
      </c>
      <c r="L285" s="27" t="n">
        <v>21</v>
      </c>
      <c r="M285" t="inlineStr">
        <is>
          <t>Admitted</t>
        </is>
      </c>
    </row>
    <row r="286">
      <c r="A286" t="inlineStr">
        <is>
          <t>ED208034</t>
        </is>
      </c>
      <c r="B286" t="inlineStr">
        <is>
          <t>PT12461</t>
        </is>
      </c>
      <c r="C286" s="26" t="n">
        <v>45761.91319444445</v>
      </c>
      <c r="D286" t="inlineStr">
        <is>
          <t>Mon</t>
        </is>
      </c>
      <c r="E286" s="27" t="n">
        <v>21</v>
      </c>
      <c r="F286" t="inlineStr">
        <is>
          <t>Ambulance</t>
        </is>
      </c>
      <c r="G286" s="27" t="n">
        <v>3</v>
      </c>
      <c r="H286" t="inlineStr">
        <is>
          <t>Shortness of Breath</t>
        </is>
      </c>
      <c r="I286" t="n">
        <v>80</v>
      </c>
      <c r="J286" t="n">
        <v>160</v>
      </c>
      <c r="K286" s="28">
        <f>I286/J286</f>
        <v/>
      </c>
      <c r="L286" s="27" t="n">
        <v>94</v>
      </c>
      <c r="M286" t="inlineStr">
        <is>
          <t>Discharged</t>
        </is>
      </c>
    </row>
    <row r="287">
      <c r="A287" t="inlineStr">
        <is>
          <t>ED208041</t>
        </is>
      </c>
      <c r="B287" t="inlineStr">
        <is>
          <t>PT12641</t>
        </is>
      </c>
      <c r="C287" s="26" t="n">
        <v>45762.70833333334</v>
      </c>
      <c r="D287" t="inlineStr">
        <is>
          <t>Tue</t>
        </is>
      </c>
      <c r="E287" s="27" t="n">
        <v>17</v>
      </c>
      <c r="F287" t="inlineStr">
        <is>
          <t>Walk-In</t>
        </is>
      </c>
      <c r="G287" s="27" t="n">
        <v>4</v>
      </c>
      <c r="H287" t="inlineStr">
        <is>
          <t>Chest Pain</t>
        </is>
      </c>
      <c r="I287" t="n">
        <v>87</v>
      </c>
      <c r="J287" t="n">
        <v>189</v>
      </c>
      <c r="K287" s="28">
        <f>I287/J287</f>
        <v/>
      </c>
      <c r="L287" s="27" t="n">
        <v>94</v>
      </c>
      <c r="M287" t="inlineStr">
        <is>
          <t>Discharged</t>
        </is>
      </c>
    </row>
    <row r="288">
      <c r="A288" t="inlineStr">
        <is>
          <t>ED208061</t>
        </is>
      </c>
      <c r="B288" t="inlineStr">
        <is>
          <t>PT10721</t>
        </is>
      </c>
      <c r="C288" s="26" t="n">
        <v>45763.72361111111</v>
      </c>
      <c r="D288" t="inlineStr">
        <is>
          <t>Wed</t>
        </is>
      </c>
      <c r="E288" s="27" t="n">
        <v>17</v>
      </c>
      <c r="F288" t="inlineStr">
        <is>
          <t>Walk-In</t>
        </is>
      </c>
      <c r="G288" s="27" t="n">
        <v>3</v>
      </c>
      <c r="H288" t="inlineStr">
        <is>
          <t>Back Pain</t>
        </is>
      </c>
      <c r="I288" t="n">
        <v>95</v>
      </c>
      <c r="J288" t="n">
        <v>177</v>
      </c>
      <c r="K288" s="28">
        <f>I288/J288</f>
        <v/>
      </c>
      <c r="L288" s="27" t="n">
        <v>17</v>
      </c>
      <c r="M288" t="inlineStr">
        <is>
          <t>Discharged</t>
        </is>
      </c>
    </row>
    <row r="289">
      <c r="A289" t="inlineStr">
        <is>
          <t>ED208066</t>
        </is>
      </c>
      <c r="B289" t="inlineStr">
        <is>
          <t>PT11224</t>
        </is>
      </c>
      <c r="C289" s="26" t="n">
        <v>45764.13680555556</v>
      </c>
      <c r="D289" t="inlineStr">
        <is>
          <t>Thu</t>
        </is>
      </c>
      <c r="E289" s="27" t="n">
        <v>3</v>
      </c>
      <c r="F289" t="inlineStr">
        <is>
          <t>Walk-In</t>
        </is>
      </c>
      <c r="G289" s="27" t="n">
        <v>3</v>
      </c>
      <c r="H289" t="inlineStr">
        <is>
          <t>Chest Pain</t>
        </is>
      </c>
      <c r="I289" t="n">
        <v>99</v>
      </c>
      <c r="J289" t="n">
        <v>140</v>
      </c>
      <c r="K289" s="28">
        <f>I289/J289</f>
        <v/>
      </c>
      <c r="L289" s="27" t="n">
        <v>27</v>
      </c>
      <c r="M289" t="inlineStr">
        <is>
          <t>Discharged</t>
        </is>
      </c>
    </row>
    <row r="290">
      <c r="A290" t="inlineStr">
        <is>
          <t>ED208071</t>
        </is>
      </c>
      <c r="B290" t="inlineStr">
        <is>
          <t>PT13126</t>
        </is>
      </c>
      <c r="C290" s="26" t="n">
        <v>45764.42569444444</v>
      </c>
      <c r="D290" t="inlineStr">
        <is>
          <t>Thu</t>
        </is>
      </c>
      <c r="E290" s="27" t="n">
        <v>10</v>
      </c>
      <c r="F290" t="inlineStr">
        <is>
          <t>Walk-In</t>
        </is>
      </c>
      <c r="G290" s="27" t="n">
        <v>4</v>
      </c>
      <c r="H290" t="inlineStr">
        <is>
          <t>Palpitations</t>
        </is>
      </c>
      <c r="I290" t="n">
        <v>134</v>
      </c>
      <c r="J290" t="n">
        <v>114</v>
      </c>
      <c r="K290" s="28">
        <f>I290/J290</f>
        <v/>
      </c>
      <c r="L290" s="27" t="n">
        <v>81</v>
      </c>
      <c r="M290" t="inlineStr">
        <is>
          <t>Observation</t>
        </is>
      </c>
    </row>
    <row r="291">
      <c r="A291" t="inlineStr">
        <is>
          <t>ED208074</t>
        </is>
      </c>
      <c r="B291" t="inlineStr">
        <is>
          <t>PT12979</t>
        </is>
      </c>
      <c r="C291" s="26" t="n">
        <v>45764.73263888889</v>
      </c>
      <c r="D291" t="inlineStr">
        <is>
          <t>Thu</t>
        </is>
      </c>
      <c r="E291" s="27" t="n">
        <v>17</v>
      </c>
      <c r="F291" t="inlineStr">
        <is>
          <t>Walk-In</t>
        </is>
      </c>
      <c r="G291" s="27" t="n">
        <v>2</v>
      </c>
      <c r="H291" t="inlineStr">
        <is>
          <t>Rash</t>
        </is>
      </c>
      <c r="I291" t="n">
        <v>99</v>
      </c>
      <c r="J291" t="n">
        <v>139</v>
      </c>
      <c r="K291" s="28">
        <f>I291/J291</f>
        <v/>
      </c>
      <c r="L291" s="27" t="n">
        <v>12</v>
      </c>
      <c r="M291" t="inlineStr">
        <is>
          <t>Admitted</t>
        </is>
      </c>
    </row>
    <row r="292">
      <c r="A292" t="inlineStr">
        <is>
          <t>ED208078</t>
        </is>
      </c>
      <c r="B292" t="inlineStr">
        <is>
          <t>PT10798</t>
        </is>
      </c>
      <c r="C292" s="26" t="n">
        <v>45764.98402777778</v>
      </c>
      <c r="D292" t="inlineStr">
        <is>
          <t>Thu</t>
        </is>
      </c>
      <c r="E292" s="27" t="n">
        <v>23</v>
      </c>
      <c r="F292" t="inlineStr">
        <is>
          <t>Ambulance</t>
        </is>
      </c>
      <c r="G292" s="27" t="n">
        <v>4</v>
      </c>
      <c r="H292" t="inlineStr">
        <is>
          <t>Cough / Fever</t>
        </is>
      </c>
      <c r="I292" t="n">
        <v>90</v>
      </c>
      <c r="J292" t="n">
        <v>125</v>
      </c>
      <c r="K292" s="28">
        <f>I292/J292</f>
        <v/>
      </c>
      <c r="L292" s="27" t="n">
        <v>37</v>
      </c>
      <c r="M292" t="inlineStr">
        <is>
          <t>Discharged</t>
        </is>
      </c>
    </row>
    <row r="293">
      <c r="A293" t="inlineStr">
        <is>
          <t>ED208083</t>
        </is>
      </c>
      <c r="B293" t="inlineStr">
        <is>
          <t>PT10219</t>
        </is>
      </c>
      <c r="C293" s="26" t="n">
        <v>45765.31944444445</v>
      </c>
      <c r="D293" t="inlineStr">
        <is>
          <t>Fri</t>
        </is>
      </c>
      <c r="E293" s="27" t="n">
        <v>7</v>
      </c>
      <c r="F293" t="inlineStr">
        <is>
          <t>Ambulance</t>
        </is>
      </c>
      <c r="G293" s="27" t="n">
        <v>2</v>
      </c>
      <c r="H293" t="inlineStr">
        <is>
          <t>Weakness / Fatigue</t>
        </is>
      </c>
      <c r="I293" t="n">
        <v>86</v>
      </c>
      <c r="J293" t="n">
        <v>100</v>
      </c>
      <c r="K293" s="28">
        <f>I293/J293</f>
        <v/>
      </c>
      <c r="L293" s="27" t="n">
        <v>27</v>
      </c>
      <c r="M293" t="inlineStr">
        <is>
          <t>Admitted</t>
        </is>
      </c>
    </row>
    <row r="294">
      <c r="A294" t="inlineStr">
        <is>
          <t>ED208087</t>
        </is>
      </c>
      <c r="B294" t="inlineStr">
        <is>
          <t>PT11946</t>
        </is>
      </c>
      <c r="C294" s="26" t="n">
        <v>45765.48888888889</v>
      </c>
      <c r="D294" t="inlineStr">
        <is>
          <t>Fri</t>
        </is>
      </c>
      <c r="E294" s="27" t="n">
        <v>11</v>
      </c>
      <c r="F294" t="inlineStr">
        <is>
          <t>Walk-In</t>
        </is>
      </c>
      <c r="G294" s="27" t="n">
        <v>3</v>
      </c>
      <c r="H294" t="inlineStr">
        <is>
          <t>Fainting</t>
        </is>
      </c>
      <c r="I294" t="n">
        <v>79</v>
      </c>
      <c r="J294" t="n">
        <v>139</v>
      </c>
      <c r="K294" s="28">
        <f>I294/J294</f>
        <v/>
      </c>
      <c r="L294" s="27" t="n">
        <v>79</v>
      </c>
      <c r="M294" t="inlineStr">
        <is>
          <t>Admitted</t>
        </is>
      </c>
    </row>
    <row r="295">
      <c r="A295" t="inlineStr">
        <is>
          <t>ED208104</t>
        </is>
      </c>
      <c r="B295" t="inlineStr">
        <is>
          <t>PT10323</t>
        </is>
      </c>
      <c r="C295" s="26" t="n">
        <v>45766.82013888889</v>
      </c>
      <c r="D295" t="inlineStr">
        <is>
          <t>Sat</t>
        </is>
      </c>
      <c r="E295" s="27" t="n">
        <v>19</v>
      </c>
      <c r="F295" t="inlineStr">
        <is>
          <t>Walk-In</t>
        </is>
      </c>
      <c r="G295" s="27" t="n">
        <v>3</v>
      </c>
      <c r="H295" t="inlineStr">
        <is>
          <t>Abdominal Pain</t>
        </is>
      </c>
      <c r="I295" t="n">
        <v>107</v>
      </c>
      <c r="J295" t="n">
        <v>98</v>
      </c>
      <c r="K295" s="28">
        <f>I295/J295</f>
        <v/>
      </c>
      <c r="L295" s="27" t="n">
        <v>77</v>
      </c>
      <c r="M295" t="inlineStr">
        <is>
          <t>Observation</t>
        </is>
      </c>
    </row>
    <row r="296">
      <c r="A296" t="inlineStr">
        <is>
          <t>ED208106</t>
        </is>
      </c>
      <c r="B296" t="inlineStr">
        <is>
          <t>PT11878</t>
        </is>
      </c>
      <c r="C296" s="26" t="n">
        <v>45766.98055555556</v>
      </c>
      <c r="D296" t="inlineStr">
        <is>
          <t>Sat</t>
        </is>
      </c>
      <c r="E296" s="27" t="n">
        <v>23</v>
      </c>
      <c r="F296" t="inlineStr">
        <is>
          <t>Ambulance</t>
        </is>
      </c>
      <c r="G296" s="27" t="n">
        <v>1</v>
      </c>
      <c r="H296" t="inlineStr">
        <is>
          <t>Fever / Altered Mental Status</t>
        </is>
      </c>
      <c r="I296" t="n">
        <v>118</v>
      </c>
      <c r="J296" t="n">
        <v>100</v>
      </c>
      <c r="K296" s="28">
        <f>I296/J296</f>
        <v/>
      </c>
      <c r="L296" s="27" t="n">
        <v>3</v>
      </c>
      <c r="M296" t="inlineStr">
        <is>
          <t>Admitted</t>
        </is>
      </c>
    </row>
    <row r="297">
      <c r="A297" t="inlineStr">
        <is>
          <t>ED208108</t>
        </is>
      </c>
      <c r="B297" t="inlineStr">
        <is>
          <t>PT13786</t>
        </is>
      </c>
      <c r="C297" s="26" t="n">
        <v>45767.17361111111</v>
      </c>
      <c r="D297" t="inlineStr">
        <is>
          <t>Sun</t>
        </is>
      </c>
      <c r="E297" s="27" t="n">
        <v>4</v>
      </c>
      <c r="F297" t="inlineStr">
        <is>
          <t>Walk-In</t>
        </is>
      </c>
      <c r="G297" s="27" t="n">
        <v>3</v>
      </c>
      <c r="H297" t="inlineStr">
        <is>
          <t>Chest Pain</t>
        </is>
      </c>
      <c r="I297" t="n">
        <v>93</v>
      </c>
      <c r="J297" t="n">
        <v>155</v>
      </c>
      <c r="K297" s="28">
        <f>I297/J297</f>
        <v/>
      </c>
      <c r="L297" s="27" t="n">
        <v>54</v>
      </c>
      <c r="M297" t="inlineStr">
        <is>
          <t>Admitted</t>
        </is>
      </c>
    </row>
    <row r="298">
      <c r="A298" s="29" t="inlineStr">
        <is>
          <t>ED208113</t>
        </is>
      </c>
      <c r="B298" s="29" t="inlineStr">
        <is>
          <t>PT10865</t>
        </is>
      </c>
      <c r="C298" s="30" t="n">
        <v>45767.55833333333</v>
      </c>
      <c r="D298" s="29" t="inlineStr">
        <is>
          <t>Sun</t>
        </is>
      </c>
      <c r="E298" s="31" t="n">
        <v>13</v>
      </c>
      <c r="F298" s="29" t="inlineStr">
        <is>
          <t>Ambulance</t>
        </is>
      </c>
      <c r="G298" s="31" t="n">
        <v>3</v>
      </c>
      <c r="H298" s="29" t="inlineStr">
        <is>
          <t>Cough / Fever</t>
        </is>
      </c>
      <c r="I298" s="29" t="n">
        <v>93</v>
      </c>
      <c r="J298" s="29" t="n">
        <v>114</v>
      </c>
      <c r="K298" s="32">
        <f>I298/J298</f>
        <v/>
      </c>
      <c r="L298" s="31" t="n">
        <v>55</v>
      </c>
      <c r="M298" s="29" t="inlineStr">
        <is>
          <t>Admitted</t>
        </is>
      </c>
    </row>
    <row r="299">
      <c r="A299" t="inlineStr">
        <is>
          <t>ED208120</t>
        </is>
      </c>
      <c r="B299" t="inlineStr">
        <is>
          <t>PT10618</t>
        </is>
      </c>
      <c r="C299" s="26" t="n">
        <v>45767.78819444445</v>
      </c>
      <c r="D299" t="inlineStr">
        <is>
          <t>Sun</t>
        </is>
      </c>
      <c r="E299" s="27" t="n">
        <v>18</v>
      </c>
      <c r="F299" t="inlineStr">
        <is>
          <t>Walk-In</t>
        </is>
      </c>
      <c r="G299" s="27" t="n">
        <v>3</v>
      </c>
      <c r="H299" t="inlineStr">
        <is>
          <t>Painful Urination / Fever</t>
        </is>
      </c>
      <c r="I299" t="n">
        <v>68</v>
      </c>
      <c r="J299" t="n">
        <v>119</v>
      </c>
      <c r="K299" s="28">
        <f>I299/J299</f>
        <v/>
      </c>
      <c r="L299" s="27" t="n">
        <v>42</v>
      </c>
      <c r="M299" t="inlineStr">
        <is>
          <t>Discharged</t>
        </is>
      </c>
    </row>
    <row r="300">
      <c r="A300" t="inlineStr">
        <is>
          <t>ED208131</t>
        </is>
      </c>
      <c r="B300" t="inlineStr">
        <is>
          <t>PT10455</t>
        </is>
      </c>
      <c r="C300" s="26" t="n">
        <v>45768.50138888889</v>
      </c>
      <c r="D300" t="inlineStr">
        <is>
          <t>Mon</t>
        </is>
      </c>
      <c r="E300" s="27" t="n">
        <v>12</v>
      </c>
      <c r="F300" t="inlineStr">
        <is>
          <t>Ambulance</t>
        </is>
      </c>
      <c r="G300" s="27" t="n">
        <v>2</v>
      </c>
      <c r="H300" t="inlineStr">
        <is>
          <t>Bloody Stool / Vomiting Blood</t>
        </is>
      </c>
      <c r="I300" t="n">
        <v>107</v>
      </c>
      <c r="J300" t="n">
        <v>87</v>
      </c>
      <c r="K300" s="28">
        <f>I300/J300</f>
        <v/>
      </c>
      <c r="L300" s="27" t="n">
        <v>26</v>
      </c>
      <c r="M300" t="inlineStr">
        <is>
          <t>Admitted</t>
        </is>
      </c>
    </row>
    <row r="301">
      <c r="A301" t="inlineStr">
        <is>
          <t>ED208134</t>
        </is>
      </c>
      <c r="B301" t="inlineStr">
        <is>
          <t>PT11188</t>
        </is>
      </c>
      <c r="C301" s="26" t="n">
        <v>45768.58125</v>
      </c>
      <c r="D301" t="inlineStr">
        <is>
          <t>Mon</t>
        </is>
      </c>
      <c r="E301" s="27" t="n">
        <v>13</v>
      </c>
      <c r="F301" t="inlineStr">
        <is>
          <t>Walk-In</t>
        </is>
      </c>
      <c r="G301" s="27" t="n">
        <v>2</v>
      </c>
      <c r="H301" t="inlineStr">
        <is>
          <t>Cough / Fever</t>
        </is>
      </c>
      <c r="I301" t="n">
        <v>91</v>
      </c>
      <c r="J301" t="n">
        <v>143</v>
      </c>
      <c r="K301" s="28">
        <f>I301/J301</f>
        <v/>
      </c>
      <c r="L301" s="27" t="n">
        <v>7</v>
      </c>
      <c r="M301" t="inlineStr">
        <is>
          <t>Admitted</t>
        </is>
      </c>
    </row>
    <row r="302">
      <c r="A302" t="inlineStr">
        <is>
          <t>ED208137</t>
        </is>
      </c>
      <c r="B302" t="inlineStr">
        <is>
          <t>PT10181</t>
        </is>
      </c>
      <c r="C302" s="26" t="n">
        <v>45768.67708333334</v>
      </c>
      <c r="D302" t="inlineStr">
        <is>
          <t>Mon</t>
        </is>
      </c>
      <c r="E302" s="27" t="n">
        <v>16</v>
      </c>
      <c r="F302" t="inlineStr">
        <is>
          <t>Walk-In</t>
        </is>
      </c>
      <c r="G302" s="27" t="n">
        <v>5</v>
      </c>
      <c r="H302" t="inlineStr">
        <is>
          <t>Cough / Fever</t>
        </is>
      </c>
      <c r="I302" t="n">
        <v>88</v>
      </c>
      <c r="K302" s="28">
        <f>I302/J302</f>
        <v/>
      </c>
      <c r="L302" s="27" t="n"/>
      <c r="M302" t="inlineStr">
        <is>
          <t>LWBS</t>
        </is>
      </c>
    </row>
    <row r="303">
      <c r="A303" t="inlineStr">
        <is>
          <t>ED208143</t>
        </is>
      </c>
      <c r="B303" t="inlineStr">
        <is>
          <t>PT12537</t>
        </is>
      </c>
      <c r="C303" s="26" t="n">
        <v>45769.45069444444</v>
      </c>
      <c r="D303" t="inlineStr">
        <is>
          <t>Tue</t>
        </is>
      </c>
      <c r="E303" s="27" t="n">
        <v>10</v>
      </c>
      <c r="F303" t="inlineStr">
        <is>
          <t>Walk-In</t>
        </is>
      </c>
      <c r="G303" s="27" t="n">
        <v>4</v>
      </c>
      <c r="H303" t="inlineStr">
        <is>
          <t>Painful Urination / Fever</t>
        </is>
      </c>
      <c r="I303" t="n">
        <v>106</v>
      </c>
      <c r="J303" t="n">
        <v>156</v>
      </c>
      <c r="K303" s="28">
        <f>I303/J303</f>
        <v/>
      </c>
      <c r="L303" s="27" t="n">
        <v>48</v>
      </c>
      <c r="M303" t="inlineStr">
        <is>
          <t>Discharged</t>
        </is>
      </c>
    </row>
    <row r="304">
      <c r="A304" t="inlineStr">
        <is>
          <t>ED208152</t>
        </is>
      </c>
      <c r="B304" t="inlineStr">
        <is>
          <t>PT12621</t>
        </is>
      </c>
      <c r="C304" s="26" t="n">
        <v>45769.69166666667</v>
      </c>
      <c r="D304" t="inlineStr">
        <is>
          <t>Tue</t>
        </is>
      </c>
      <c r="E304" s="27" t="n">
        <v>16</v>
      </c>
      <c r="F304" t="inlineStr">
        <is>
          <t>Ambulance</t>
        </is>
      </c>
      <c r="G304" s="27" t="n">
        <v>3</v>
      </c>
      <c r="H304" t="inlineStr">
        <is>
          <t>Fall</t>
        </is>
      </c>
      <c r="I304" t="n">
        <v>88</v>
      </c>
      <c r="J304" t="n">
        <v>103</v>
      </c>
      <c r="K304" s="28">
        <f>I304/J304</f>
        <v/>
      </c>
      <c r="L304" s="27" t="n">
        <v>84</v>
      </c>
      <c r="M304" t="inlineStr">
        <is>
          <t>Discharged</t>
        </is>
      </c>
    </row>
    <row r="305">
      <c r="A305" t="inlineStr">
        <is>
          <t>ED208154</t>
        </is>
      </c>
      <c r="B305" t="inlineStr">
        <is>
          <t>PT11456</t>
        </is>
      </c>
      <c r="C305" s="26" t="n">
        <v>45769.82708333333</v>
      </c>
      <c r="D305" t="inlineStr">
        <is>
          <t>Tue</t>
        </is>
      </c>
      <c r="E305" s="27" t="n">
        <v>19</v>
      </c>
      <c r="F305" t="inlineStr">
        <is>
          <t>Walk-In</t>
        </is>
      </c>
      <c r="G305" s="27" t="n">
        <v>5</v>
      </c>
      <c r="H305" t="inlineStr">
        <is>
          <t>Cough / Fever</t>
        </is>
      </c>
      <c r="I305" t="n">
        <v>78</v>
      </c>
      <c r="J305" t="n">
        <v>149</v>
      </c>
      <c r="K305" s="28">
        <f>I305/J305</f>
        <v/>
      </c>
      <c r="L305" s="27" t="n">
        <v>38</v>
      </c>
      <c r="M305" t="inlineStr">
        <is>
          <t>Discharged</t>
        </is>
      </c>
    </row>
    <row r="306">
      <c r="A306" t="inlineStr">
        <is>
          <t>ED208157</t>
        </is>
      </c>
      <c r="B306" t="inlineStr">
        <is>
          <t>PT13816</t>
        </is>
      </c>
      <c r="C306" s="26" t="n">
        <v>45770.29027777778</v>
      </c>
      <c r="D306" t="inlineStr">
        <is>
          <t>Wed</t>
        </is>
      </c>
      <c r="E306" s="27" t="n">
        <v>6</v>
      </c>
      <c r="F306" t="inlineStr">
        <is>
          <t>Walk-In</t>
        </is>
      </c>
      <c r="G306" s="27" t="n">
        <v>3</v>
      </c>
      <c r="H306" t="inlineStr">
        <is>
          <t>Abdominal Pain</t>
        </is>
      </c>
      <c r="I306" t="n">
        <v>84</v>
      </c>
      <c r="J306" t="n">
        <v>136</v>
      </c>
      <c r="K306" s="28">
        <f>I306/J306</f>
        <v/>
      </c>
      <c r="L306" s="27" t="n">
        <v>36</v>
      </c>
      <c r="M306" t="inlineStr">
        <is>
          <t>Discharged</t>
        </is>
      </c>
    </row>
    <row r="307">
      <c r="A307" s="29" t="inlineStr">
        <is>
          <t>ED208165</t>
        </is>
      </c>
      <c r="B307" s="29" t="inlineStr">
        <is>
          <t>PT10750</t>
        </is>
      </c>
      <c r="C307" s="30" t="n">
        <v>45770.525</v>
      </c>
      <c r="D307" s="29" t="inlineStr">
        <is>
          <t>Wed</t>
        </is>
      </c>
      <c r="E307" s="31" t="n">
        <v>12</v>
      </c>
      <c r="F307" s="29" t="inlineStr">
        <is>
          <t>Ambulance</t>
        </is>
      </c>
      <c r="G307" s="31" t="n">
        <v>2</v>
      </c>
      <c r="H307" s="29" t="inlineStr">
        <is>
          <t>Fever / Altered Mental Status</t>
        </is>
      </c>
      <c r="I307" s="29" t="n">
        <v>100</v>
      </c>
      <c r="J307" s="29" t="n">
        <v>77</v>
      </c>
      <c r="K307" s="32">
        <f>I307/J307</f>
        <v/>
      </c>
      <c r="L307" s="31" t="n">
        <v>6</v>
      </c>
      <c r="M307" s="29" t="inlineStr">
        <is>
          <t>Admitted</t>
        </is>
      </c>
    </row>
    <row r="308">
      <c r="A308" t="inlineStr">
        <is>
          <t>ED208166</t>
        </is>
      </c>
      <c r="B308" t="inlineStr">
        <is>
          <t>PT12979</t>
        </is>
      </c>
      <c r="C308" s="26" t="n">
        <v>45770.53819444445</v>
      </c>
      <c r="D308" t="inlineStr">
        <is>
          <t>Wed</t>
        </is>
      </c>
      <c r="E308" s="27" t="n">
        <v>12</v>
      </c>
      <c r="F308" t="inlineStr">
        <is>
          <t>Ambulance</t>
        </is>
      </c>
      <c r="G308" s="27" t="n">
        <v>1</v>
      </c>
      <c r="H308" t="inlineStr">
        <is>
          <t>Chest Pain</t>
        </is>
      </c>
      <c r="I308" t="n">
        <v>98</v>
      </c>
      <c r="J308" t="n">
        <v>99</v>
      </c>
      <c r="K308" s="28">
        <f>I308/J308</f>
        <v/>
      </c>
      <c r="L308" s="27" t="n">
        <v>2</v>
      </c>
      <c r="M308" t="inlineStr">
        <is>
          <t>Admitted</t>
        </is>
      </c>
    </row>
    <row r="309">
      <c r="A309" t="inlineStr">
        <is>
          <t>ED208169</t>
        </is>
      </c>
      <c r="B309" t="inlineStr">
        <is>
          <t>PT12453</t>
        </is>
      </c>
      <c r="C309" s="26" t="n">
        <v>45770.68611111111</v>
      </c>
      <c r="D309" t="inlineStr">
        <is>
          <t>Wed</t>
        </is>
      </c>
      <c r="E309" s="27" t="n">
        <v>16</v>
      </c>
      <c r="F309" t="inlineStr">
        <is>
          <t>Walk-In</t>
        </is>
      </c>
      <c r="G309" s="27" t="n">
        <v>2</v>
      </c>
      <c r="H309" t="inlineStr">
        <is>
          <t>Cough / Fever</t>
        </is>
      </c>
      <c r="I309" t="n">
        <v>113</v>
      </c>
      <c r="J309" t="n">
        <v>152</v>
      </c>
      <c r="K309" s="28">
        <f>I309/J309</f>
        <v/>
      </c>
      <c r="L309" s="27" t="n">
        <v>13</v>
      </c>
      <c r="M309" t="inlineStr">
        <is>
          <t>Admitted</t>
        </is>
      </c>
    </row>
    <row r="310">
      <c r="A310" t="inlineStr">
        <is>
          <t>ED208172</t>
        </is>
      </c>
      <c r="B310" t="inlineStr">
        <is>
          <t>PT11518</t>
        </is>
      </c>
      <c r="C310" s="26" t="n">
        <v>45770.86944444444</v>
      </c>
      <c r="D310" t="inlineStr">
        <is>
          <t>Wed</t>
        </is>
      </c>
      <c r="E310" s="27" t="n">
        <v>20</v>
      </c>
      <c r="F310" t="inlineStr">
        <is>
          <t>Ambulance</t>
        </is>
      </c>
      <c r="G310" s="27" t="n">
        <v>3</v>
      </c>
      <c r="H310" t="inlineStr">
        <is>
          <t>High Blood Sugar</t>
        </is>
      </c>
      <c r="I310" t="n">
        <v>70</v>
      </c>
      <c r="J310" t="n">
        <v>130</v>
      </c>
      <c r="K310" s="28">
        <f>I310/J310</f>
        <v/>
      </c>
      <c r="L310" s="27" t="n">
        <v>40</v>
      </c>
      <c r="M310" t="inlineStr">
        <is>
          <t>Admitted</t>
        </is>
      </c>
    </row>
    <row r="311">
      <c r="A311" t="inlineStr">
        <is>
          <t>ED208176</t>
        </is>
      </c>
      <c r="B311" t="inlineStr">
        <is>
          <t>PT12955</t>
        </is>
      </c>
      <c r="C311" s="26" t="n">
        <v>45771.03194444445</v>
      </c>
      <c r="D311" t="inlineStr">
        <is>
          <t>Thu</t>
        </is>
      </c>
      <c r="E311" s="27" t="n">
        <v>0</v>
      </c>
      <c r="F311" t="inlineStr">
        <is>
          <t>Walk-In</t>
        </is>
      </c>
      <c r="G311" s="27" t="n">
        <v>3</v>
      </c>
      <c r="H311" t="inlineStr">
        <is>
          <t>Palpitations</t>
        </is>
      </c>
      <c r="I311" t="n">
        <v>140</v>
      </c>
      <c r="J311" t="n">
        <v>110</v>
      </c>
      <c r="K311" s="28">
        <f>I311/J311</f>
        <v/>
      </c>
      <c r="L311" s="27" t="n">
        <v>55</v>
      </c>
      <c r="M311" t="inlineStr">
        <is>
          <t>Discharged</t>
        </is>
      </c>
    </row>
    <row r="312">
      <c r="A312" t="inlineStr">
        <is>
          <t>ED208179</t>
        </is>
      </c>
      <c r="B312" t="inlineStr">
        <is>
          <t>PT12749</t>
        </is>
      </c>
      <c r="C312" s="26" t="n">
        <v>45771.38194444445</v>
      </c>
      <c r="D312" t="inlineStr">
        <is>
          <t>Thu</t>
        </is>
      </c>
      <c r="E312" s="27" t="n">
        <v>9</v>
      </c>
      <c r="F312" t="inlineStr">
        <is>
          <t>Ambulance</t>
        </is>
      </c>
      <c r="G312" s="27" t="n">
        <v>3</v>
      </c>
      <c r="H312" t="inlineStr">
        <is>
          <t>Skin Redness / Swelling</t>
        </is>
      </c>
      <c r="I312" t="n">
        <v>87</v>
      </c>
      <c r="J312" t="n">
        <v>135</v>
      </c>
      <c r="K312" s="28">
        <f>I312/J312</f>
        <v/>
      </c>
      <c r="L312" s="27" t="n">
        <v>38</v>
      </c>
      <c r="M312" t="inlineStr">
        <is>
          <t>Admitted</t>
        </is>
      </c>
    </row>
    <row r="313">
      <c r="A313" t="inlineStr">
        <is>
          <t>ED208180</t>
        </is>
      </c>
      <c r="B313" t="inlineStr">
        <is>
          <t>PT10032</t>
        </is>
      </c>
      <c r="C313" s="26" t="n">
        <v>45771.46944444445</v>
      </c>
      <c r="D313" t="inlineStr">
        <is>
          <t>Thu</t>
        </is>
      </c>
      <c r="E313" s="27" t="n">
        <v>11</v>
      </c>
      <c r="F313" t="inlineStr">
        <is>
          <t>Walk-In</t>
        </is>
      </c>
      <c r="G313" s="27" t="n">
        <v>3</v>
      </c>
      <c r="H313" t="inlineStr">
        <is>
          <t>Vomiting / Dizziness</t>
        </is>
      </c>
      <c r="I313" t="n">
        <v>111</v>
      </c>
      <c r="J313" t="n">
        <v>128</v>
      </c>
      <c r="K313" s="28">
        <f>I313/J313</f>
        <v/>
      </c>
      <c r="L313" s="27" t="n">
        <v>18</v>
      </c>
      <c r="M313" t="inlineStr">
        <is>
          <t>Observation</t>
        </is>
      </c>
    </row>
    <row r="314">
      <c r="A314" t="inlineStr">
        <is>
          <t>ED208185</t>
        </is>
      </c>
      <c r="B314" t="inlineStr">
        <is>
          <t>PT12122</t>
        </is>
      </c>
      <c r="C314" s="26" t="n">
        <v>45771.66944444444</v>
      </c>
      <c r="D314" t="inlineStr">
        <is>
          <t>Thu</t>
        </is>
      </c>
      <c r="E314" s="27" t="n">
        <v>16</v>
      </c>
      <c r="F314" t="inlineStr">
        <is>
          <t>Ambulance</t>
        </is>
      </c>
      <c r="G314" s="27" t="n">
        <v>2</v>
      </c>
      <c r="H314" t="inlineStr">
        <is>
          <t>Vomiting / Dizziness</t>
        </is>
      </c>
      <c r="I314" t="n">
        <v>129</v>
      </c>
      <c r="J314" t="n">
        <v>107</v>
      </c>
      <c r="K314" s="28">
        <f>I314/J314</f>
        <v/>
      </c>
      <c r="L314" s="27" t="n">
        <v>27</v>
      </c>
      <c r="M314" t="inlineStr">
        <is>
          <t>Discharged</t>
        </is>
      </c>
    </row>
    <row r="315">
      <c r="A315" t="inlineStr">
        <is>
          <t>ED208189</t>
        </is>
      </c>
      <c r="B315" t="inlineStr">
        <is>
          <t>PT13528</t>
        </is>
      </c>
      <c r="C315" s="26" t="n">
        <v>45771.86180555556</v>
      </c>
      <c r="D315" t="inlineStr">
        <is>
          <t>Thu</t>
        </is>
      </c>
      <c r="E315" s="27" t="n">
        <v>20</v>
      </c>
      <c r="F315" t="inlineStr">
        <is>
          <t>Walk-In</t>
        </is>
      </c>
      <c r="G315" s="27" t="n">
        <v>4</v>
      </c>
      <c r="H315" t="inlineStr">
        <is>
          <t>Cough / Fever</t>
        </is>
      </c>
      <c r="I315" t="n">
        <v>82</v>
      </c>
      <c r="J315" t="n">
        <v>135</v>
      </c>
      <c r="K315" s="28">
        <f>I315/J315</f>
        <v/>
      </c>
      <c r="L315" s="27" t="n">
        <v>20</v>
      </c>
      <c r="M315" t="inlineStr">
        <is>
          <t>Discharged</t>
        </is>
      </c>
    </row>
    <row r="316">
      <c r="A316" s="29" t="inlineStr">
        <is>
          <t>ED208190</t>
        </is>
      </c>
      <c r="B316" s="29" t="inlineStr">
        <is>
          <t>PT11312</t>
        </is>
      </c>
      <c r="C316" s="30" t="n">
        <v>45772.09861111111</v>
      </c>
      <c r="D316" s="29" t="inlineStr">
        <is>
          <t>Fri</t>
        </is>
      </c>
      <c r="E316" s="31" t="n">
        <v>2</v>
      </c>
      <c r="F316" s="29" t="inlineStr">
        <is>
          <t>Walk-In</t>
        </is>
      </c>
      <c r="G316" s="31" t="n">
        <v>2</v>
      </c>
      <c r="H316" s="29" t="inlineStr">
        <is>
          <t>Cough / Fever</t>
        </is>
      </c>
      <c r="I316" s="29" t="n">
        <v>99</v>
      </c>
      <c r="J316" s="29" t="n">
        <v>129</v>
      </c>
      <c r="K316" s="32">
        <f>I316/J316</f>
        <v/>
      </c>
      <c r="L316" s="31" t="n">
        <v>9</v>
      </c>
      <c r="M316" s="29" t="inlineStr">
        <is>
          <t>Observation</t>
        </is>
      </c>
    </row>
    <row r="317">
      <c r="A317" t="inlineStr">
        <is>
          <t>ED208215</t>
        </is>
      </c>
      <c r="B317" t="inlineStr">
        <is>
          <t>PT12165</t>
        </is>
      </c>
      <c r="C317" s="26" t="n">
        <v>45773.53680555556</v>
      </c>
      <c r="D317" t="inlineStr">
        <is>
          <t>Sat</t>
        </is>
      </c>
      <c r="E317" s="27" t="n">
        <v>12</v>
      </c>
      <c r="F317" t="inlineStr">
        <is>
          <t>Walk-In</t>
        </is>
      </c>
      <c r="G317" s="27" t="n">
        <v>4</v>
      </c>
      <c r="H317" t="inlineStr">
        <is>
          <t>Nausea</t>
        </is>
      </c>
      <c r="I317" t="n">
        <v>100</v>
      </c>
      <c r="J317" t="n">
        <v>121</v>
      </c>
      <c r="K317" s="28">
        <f>I317/J317</f>
        <v/>
      </c>
      <c r="L317" s="27" t="n">
        <v>23</v>
      </c>
      <c r="M317" t="inlineStr">
        <is>
          <t>Discharged</t>
        </is>
      </c>
    </row>
    <row r="318">
      <c r="A318" t="inlineStr">
        <is>
          <t>ED208216</t>
        </is>
      </c>
      <c r="B318" t="inlineStr">
        <is>
          <t>PT12963</t>
        </is>
      </c>
      <c r="C318" s="26" t="n">
        <v>45773.55347222222</v>
      </c>
      <c r="D318" t="inlineStr">
        <is>
          <t>Sat</t>
        </is>
      </c>
      <c r="E318" s="27" t="n">
        <v>13</v>
      </c>
      <c r="F318" t="inlineStr">
        <is>
          <t>Walk-In</t>
        </is>
      </c>
      <c r="G318" s="27" t="n">
        <v>2</v>
      </c>
      <c r="H318" t="inlineStr">
        <is>
          <t>Shortness of Breath</t>
        </is>
      </c>
      <c r="I318" t="n">
        <v>97</v>
      </c>
      <c r="J318" t="n">
        <v>137</v>
      </c>
      <c r="K318" s="28">
        <f>I318/J318</f>
        <v/>
      </c>
      <c r="L318" s="27" t="n">
        <v>29</v>
      </c>
      <c r="M318" t="inlineStr">
        <is>
          <t>Admitted</t>
        </is>
      </c>
    </row>
    <row r="319">
      <c r="A319" t="inlineStr">
        <is>
          <t>ED208218</t>
        </is>
      </c>
      <c r="B319" t="inlineStr">
        <is>
          <t>PT11141</t>
        </is>
      </c>
      <c r="C319" s="26" t="n">
        <v>45773.7625</v>
      </c>
      <c r="D319" t="inlineStr">
        <is>
          <t>Sat</t>
        </is>
      </c>
      <c r="E319" s="27" t="n">
        <v>18</v>
      </c>
      <c r="F319" t="inlineStr">
        <is>
          <t>Walk-In</t>
        </is>
      </c>
      <c r="G319" s="27" t="n">
        <v>3</v>
      </c>
      <c r="H319" t="inlineStr">
        <is>
          <t>Shortness of Breath</t>
        </is>
      </c>
      <c r="I319" t="n">
        <v>90</v>
      </c>
      <c r="J319" t="n">
        <v>143</v>
      </c>
      <c r="K319" s="28">
        <f>I319/J319</f>
        <v/>
      </c>
      <c r="L319" s="27" t="n">
        <v>21</v>
      </c>
      <c r="M319" t="inlineStr">
        <is>
          <t>Observation</t>
        </is>
      </c>
    </row>
    <row r="320">
      <c r="A320" s="29" t="inlineStr">
        <is>
          <t>ED208219</t>
        </is>
      </c>
      <c r="B320" s="29" t="inlineStr">
        <is>
          <t>PT13393</t>
        </is>
      </c>
      <c r="C320" s="30" t="n">
        <v>45773.83472222222</v>
      </c>
      <c r="D320" s="29" t="inlineStr">
        <is>
          <t>Sat</t>
        </is>
      </c>
      <c r="E320" s="31" t="n">
        <v>20</v>
      </c>
      <c r="F320" s="29" t="inlineStr">
        <is>
          <t>Air Transport</t>
        </is>
      </c>
      <c r="G320" s="31" t="n">
        <v>1</v>
      </c>
      <c r="H320" s="29" t="inlineStr">
        <is>
          <t>Fever / Altered Mental Status</t>
        </is>
      </c>
      <c r="I320" s="29" t="n">
        <v>122</v>
      </c>
      <c r="J320" s="29" t="n">
        <v>86</v>
      </c>
      <c r="K320" s="32">
        <f>I320/J320</f>
        <v/>
      </c>
      <c r="L320" s="31" t="n">
        <v>5</v>
      </c>
      <c r="M320" s="29" t="inlineStr">
        <is>
          <t>Admitted</t>
        </is>
      </c>
    </row>
    <row r="321">
      <c r="A321" t="inlineStr">
        <is>
          <t>ED208223</t>
        </is>
      </c>
      <c r="B321" t="inlineStr">
        <is>
          <t>PT10473</t>
        </is>
      </c>
      <c r="C321" s="26" t="n">
        <v>45774.30486111111</v>
      </c>
      <c r="D321" t="inlineStr">
        <is>
          <t>Sun</t>
        </is>
      </c>
      <c r="E321" s="27" t="n">
        <v>7</v>
      </c>
      <c r="F321" t="inlineStr">
        <is>
          <t>Ambulance</t>
        </is>
      </c>
      <c r="G321" s="27" t="n">
        <v>2</v>
      </c>
      <c r="H321" t="inlineStr">
        <is>
          <t>Bloody Stool / Vomiting Blood</t>
        </is>
      </c>
      <c r="I321" t="n">
        <v>100</v>
      </c>
      <c r="J321" t="n">
        <v>112</v>
      </c>
      <c r="K321" s="28">
        <f>I321/J321</f>
        <v/>
      </c>
      <c r="L321" s="27" t="n">
        <v>6</v>
      </c>
      <c r="M321" t="inlineStr">
        <is>
          <t>Admitted</t>
        </is>
      </c>
    </row>
    <row r="322">
      <c r="A322" t="inlineStr">
        <is>
          <t>ED208228</t>
        </is>
      </c>
      <c r="B322" t="inlineStr">
        <is>
          <t>PT11716</t>
        </is>
      </c>
      <c r="C322" s="26" t="n">
        <v>45774.57083333333</v>
      </c>
      <c r="D322" t="inlineStr">
        <is>
          <t>Sun</t>
        </is>
      </c>
      <c r="E322" s="27" t="n">
        <v>13</v>
      </c>
      <c r="F322" t="inlineStr">
        <is>
          <t>Walk-In</t>
        </is>
      </c>
      <c r="G322" s="27" t="n">
        <v>4</v>
      </c>
      <c r="H322" t="inlineStr">
        <is>
          <t>Cough / Fever</t>
        </is>
      </c>
      <c r="I322" t="n">
        <v>71</v>
      </c>
      <c r="J322" t="n">
        <v>117</v>
      </c>
      <c r="K322" s="28">
        <f>I322/J322</f>
        <v/>
      </c>
      <c r="L322" s="27" t="n">
        <v>82</v>
      </c>
      <c r="M322" t="inlineStr">
        <is>
          <t>Discharged</t>
        </is>
      </c>
    </row>
    <row r="323">
      <c r="A323" t="inlineStr">
        <is>
          <t>ED208236</t>
        </is>
      </c>
      <c r="B323" t="inlineStr">
        <is>
          <t>PT10315</t>
        </is>
      </c>
      <c r="C323" s="26" t="n">
        <v>45775.50763888889</v>
      </c>
      <c r="D323" t="inlineStr">
        <is>
          <t>Mon</t>
        </is>
      </c>
      <c r="E323" s="27" t="n">
        <v>12</v>
      </c>
      <c r="F323" t="inlineStr">
        <is>
          <t>Walk-In</t>
        </is>
      </c>
      <c r="G323" s="27" t="n">
        <v>3</v>
      </c>
      <c r="H323" t="inlineStr">
        <is>
          <t>Rash</t>
        </is>
      </c>
      <c r="I323" t="n">
        <v>72</v>
      </c>
      <c r="J323" t="n">
        <v>116</v>
      </c>
      <c r="K323" s="28">
        <f>I323/J323</f>
        <v/>
      </c>
      <c r="L323" s="27" t="n">
        <v>46</v>
      </c>
      <c r="M323" t="inlineStr">
        <is>
          <t>Discharged</t>
        </is>
      </c>
    </row>
    <row r="324">
      <c r="A324" t="inlineStr">
        <is>
          <t>ED208248</t>
        </is>
      </c>
      <c r="B324" t="inlineStr">
        <is>
          <t>PT12022</t>
        </is>
      </c>
      <c r="C324" s="26" t="n">
        <v>45776.59097222222</v>
      </c>
      <c r="D324" t="inlineStr">
        <is>
          <t>Tue</t>
        </is>
      </c>
      <c r="E324" s="27" t="n">
        <v>14</v>
      </c>
      <c r="F324" t="inlineStr">
        <is>
          <t>Walk-In</t>
        </is>
      </c>
      <c r="G324" s="27" t="n">
        <v>4</v>
      </c>
      <c r="H324" t="inlineStr">
        <is>
          <t>Cough / Fever</t>
        </is>
      </c>
      <c r="I324" t="n">
        <v>105</v>
      </c>
      <c r="J324" t="n">
        <v>97</v>
      </c>
      <c r="K324" s="28">
        <f>I324/J324</f>
        <v/>
      </c>
      <c r="L324" s="27" t="n">
        <v>28</v>
      </c>
      <c r="M324" t="inlineStr">
        <is>
          <t>Discharged</t>
        </is>
      </c>
    </row>
    <row r="325">
      <c r="A325" t="inlineStr">
        <is>
          <t>ED208259</t>
        </is>
      </c>
      <c r="B325" t="inlineStr">
        <is>
          <t>PT11149</t>
        </is>
      </c>
      <c r="C325" s="26" t="n">
        <v>45777.75208333333</v>
      </c>
      <c r="D325" t="inlineStr">
        <is>
          <t>Wed</t>
        </is>
      </c>
      <c r="E325" s="27" t="n">
        <v>18</v>
      </c>
      <c r="F325" t="inlineStr">
        <is>
          <t>Walk-In</t>
        </is>
      </c>
      <c r="G325" s="27" t="n">
        <v>3</v>
      </c>
      <c r="H325" t="inlineStr">
        <is>
          <t>Fainting</t>
        </is>
      </c>
      <c r="I325" t="n">
        <v>76</v>
      </c>
      <c r="J325" t="n">
        <v>123</v>
      </c>
      <c r="K325" s="28">
        <f>I325/J325</f>
        <v/>
      </c>
      <c r="L325" s="27" t="n">
        <v>33</v>
      </c>
      <c r="M325" t="inlineStr">
        <is>
          <t>Discharged</t>
        </is>
      </c>
    </row>
    <row r="326">
      <c r="A326" t="inlineStr">
        <is>
          <t>ED208262</t>
        </is>
      </c>
      <c r="B326" t="inlineStr">
        <is>
          <t>PT12485</t>
        </is>
      </c>
      <c r="C326" s="26" t="n">
        <v>45778.0625</v>
      </c>
      <c r="D326" t="inlineStr">
        <is>
          <t>Thu</t>
        </is>
      </c>
      <c r="E326" s="27" t="n">
        <v>1</v>
      </c>
      <c r="F326" t="inlineStr">
        <is>
          <t>Ambulance</t>
        </is>
      </c>
      <c r="G326" s="27" t="n">
        <v>4</v>
      </c>
      <c r="H326" t="inlineStr">
        <is>
          <t>Headache</t>
        </is>
      </c>
      <c r="I326" t="n">
        <v>81</v>
      </c>
      <c r="J326" t="n">
        <v>146</v>
      </c>
      <c r="K326" s="28">
        <f>I326/J326</f>
        <v/>
      </c>
      <c r="L326" s="27" t="n">
        <v>112</v>
      </c>
      <c r="M326" t="inlineStr">
        <is>
          <t>Discharged</t>
        </is>
      </c>
    </row>
    <row r="327">
      <c r="A327" t="inlineStr">
        <is>
          <t>ED208264</t>
        </is>
      </c>
      <c r="B327" t="inlineStr">
        <is>
          <t>PT11409</t>
        </is>
      </c>
      <c r="C327" s="26" t="n">
        <v>45778.19513888889</v>
      </c>
      <c r="D327" t="inlineStr">
        <is>
          <t>Thu</t>
        </is>
      </c>
      <c r="E327" s="27" t="n">
        <v>4</v>
      </c>
      <c r="F327" t="inlineStr">
        <is>
          <t>Walk-In</t>
        </is>
      </c>
      <c r="G327" s="27" t="n">
        <v>3</v>
      </c>
      <c r="H327" t="inlineStr">
        <is>
          <t>Painful Urination / Fever</t>
        </is>
      </c>
      <c r="I327" t="n">
        <v>76</v>
      </c>
      <c r="J327" t="n">
        <v>127</v>
      </c>
      <c r="K327" s="28">
        <f>I327/J327</f>
        <v/>
      </c>
      <c r="L327" s="27" t="n">
        <v>9</v>
      </c>
      <c r="M327" t="inlineStr">
        <is>
          <t>Discharged</t>
        </is>
      </c>
    </row>
    <row r="328">
      <c r="A328" t="inlineStr">
        <is>
          <t>ED208283</t>
        </is>
      </c>
      <c r="B328" t="inlineStr">
        <is>
          <t>PT13590</t>
        </is>
      </c>
      <c r="C328" s="26" t="n">
        <v>45779.05555555555</v>
      </c>
      <c r="D328" t="inlineStr">
        <is>
          <t>Fri</t>
        </is>
      </c>
      <c r="E328" s="27" t="n">
        <v>1</v>
      </c>
      <c r="F328" t="inlineStr">
        <is>
          <t>Walk-In</t>
        </is>
      </c>
      <c r="G328" s="27" t="n">
        <v>3</v>
      </c>
      <c r="H328" t="inlineStr">
        <is>
          <t>Vomiting / Diarrhea</t>
        </is>
      </c>
      <c r="I328" t="n">
        <v>101</v>
      </c>
      <c r="J328" t="n">
        <v>137</v>
      </c>
      <c r="K328" s="28">
        <f>I328/J328</f>
        <v/>
      </c>
      <c r="L328" s="27" t="n">
        <v>19</v>
      </c>
      <c r="M328" t="inlineStr">
        <is>
          <t>Discharged</t>
        </is>
      </c>
    </row>
    <row r="329">
      <c r="A329" t="inlineStr">
        <is>
          <t>ED208290</t>
        </is>
      </c>
      <c r="B329" t="inlineStr">
        <is>
          <t>PT13090</t>
        </is>
      </c>
      <c r="C329" s="26" t="n">
        <v>45779.43472222222</v>
      </c>
      <c r="D329" t="inlineStr">
        <is>
          <t>Fri</t>
        </is>
      </c>
      <c r="E329" s="27" t="n">
        <v>10</v>
      </c>
      <c r="F329" t="inlineStr">
        <is>
          <t>Ambulance</t>
        </is>
      </c>
      <c r="G329" s="27" t="n">
        <v>2</v>
      </c>
      <c r="H329" t="inlineStr">
        <is>
          <t>Chest Pain</t>
        </is>
      </c>
      <c r="I329" t="n">
        <v>79</v>
      </c>
      <c r="J329" t="n">
        <v>155</v>
      </c>
      <c r="K329" s="28">
        <f>I329/J329</f>
        <v/>
      </c>
      <c r="L329" s="27" t="n">
        <v>19</v>
      </c>
      <c r="M329" t="inlineStr">
        <is>
          <t>Observation</t>
        </is>
      </c>
    </row>
    <row r="330">
      <c r="A330" s="29" t="inlineStr">
        <is>
          <t>ED208337</t>
        </is>
      </c>
      <c r="B330" s="29" t="inlineStr">
        <is>
          <t>PT11188</t>
        </is>
      </c>
      <c r="C330" s="30" t="n">
        <v>45781.68472222222</v>
      </c>
      <c r="D330" s="29" t="inlineStr">
        <is>
          <t>Sun</t>
        </is>
      </c>
      <c r="E330" s="31" t="n">
        <v>16</v>
      </c>
      <c r="F330" s="29" t="inlineStr">
        <is>
          <t>Ambulance</t>
        </is>
      </c>
      <c r="G330" s="31" t="n">
        <v>2</v>
      </c>
      <c r="H330" s="29" t="inlineStr">
        <is>
          <t>Cough / Fever</t>
        </is>
      </c>
      <c r="I330" s="29" t="n">
        <v>100</v>
      </c>
      <c r="J330" s="29" t="n">
        <v>153</v>
      </c>
      <c r="K330" s="32">
        <f>I330/J330</f>
        <v/>
      </c>
      <c r="L330" s="31" t="n">
        <v>30</v>
      </c>
      <c r="M330" s="29" t="inlineStr">
        <is>
          <t>Admitted</t>
        </is>
      </c>
    </row>
    <row r="331">
      <c r="A331" s="29" t="inlineStr">
        <is>
          <t>ED208338</t>
        </is>
      </c>
      <c r="B331" s="29" t="inlineStr">
        <is>
          <t>PT10171</t>
        </is>
      </c>
      <c r="C331" s="30" t="n">
        <v>45781.78888888889</v>
      </c>
      <c r="D331" s="29" t="inlineStr">
        <is>
          <t>Sun</t>
        </is>
      </c>
      <c r="E331" s="31" t="n">
        <v>18</v>
      </c>
      <c r="F331" s="29" t="inlineStr">
        <is>
          <t>Walk-In</t>
        </is>
      </c>
      <c r="G331" s="31" t="n">
        <v>4</v>
      </c>
      <c r="H331" s="29" t="inlineStr">
        <is>
          <t>Cough / Fever</t>
        </is>
      </c>
      <c r="I331" s="29" t="n">
        <v>95</v>
      </c>
      <c r="J331" s="29" t="n">
        <v>121</v>
      </c>
      <c r="K331" s="32">
        <f>I331/J331</f>
        <v/>
      </c>
      <c r="L331" s="31" t="n">
        <v>113</v>
      </c>
      <c r="M331" s="29" t="inlineStr">
        <is>
          <t>Admitted</t>
        </is>
      </c>
    </row>
    <row r="332">
      <c r="A332" t="inlineStr">
        <is>
          <t>ED208341</t>
        </is>
      </c>
      <c r="B332" t="inlineStr">
        <is>
          <t>PT10612</t>
        </is>
      </c>
      <c r="C332" s="26" t="n">
        <v>45782.19097222222</v>
      </c>
      <c r="D332" t="inlineStr">
        <is>
          <t>Mon</t>
        </is>
      </c>
      <c r="E332" s="27" t="n">
        <v>4</v>
      </c>
      <c r="F332" t="inlineStr">
        <is>
          <t>Walk-In</t>
        </is>
      </c>
      <c r="G332" s="27" t="n">
        <v>4</v>
      </c>
      <c r="H332" t="inlineStr">
        <is>
          <t>Headache</t>
        </is>
      </c>
      <c r="I332" t="n">
        <v>86</v>
      </c>
      <c r="J332" t="n">
        <v>139</v>
      </c>
      <c r="K332" s="28">
        <f>I332/J332</f>
        <v/>
      </c>
      <c r="L332" s="27" t="n">
        <v>20</v>
      </c>
      <c r="M332" t="inlineStr">
        <is>
          <t>Discharged</t>
        </is>
      </c>
    </row>
    <row r="333">
      <c r="A333" t="inlineStr">
        <is>
          <t>ED208343</t>
        </is>
      </c>
      <c r="B333" t="inlineStr">
        <is>
          <t>PT12629</t>
        </is>
      </c>
      <c r="C333" s="26" t="n">
        <v>45782.2625</v>
      </c>
      <c r="D333" t="inlineStr">
        <is>
          <t>Mon</t>
        </is>
      </c>
      <c r="E333" s="27" t="n">
        <v>6</v>
      </c>
      <c r="F333" t="inlineStr">
        <is>
          <t>Walk-In</t>
        </is>
      </c>
      <c r="G333" s="27" t="n">
        <v>4</v>
      </c>
      <c r="H333" t="inlineStr">
        <is>
          <t>Abdominal Pain</t>
        </is>
      </c>
      <c r="I333" t="n">
        <v>97</v>
      </c>
      <c r="J333" t="n">
        <v>153</v>
      </c>
      <c r="K333" s="28">
        <f>I333/J333</f>
        <v/>
      </c>
      <c r="L333" s="27" t="n">
        <v>21</v>
      </c>
      <c r="M333" t="inlineStr">
        <is>
          <t>Observation</t>
        </is>
      </c>
    </row>
    <row r="334">
      <c r="A334" s="29" t="inlineStr">
        <is>
          <t>ED208346</t>
        </is>
      </c>
      <c r="B334" s="29" t="inlineStr">
        <is>
          <t>PT12692</t>
        </is>
      </c>
      <c r="C334" s="30" t="n">
        <v>45782.43055555555</v>
      </c>
      <c r="D334" s="29" t="inlineStr">
        <is>
          <t>Mon</t>
        </is>
      </c>
      <c r="E334" s="31" t="n">
        <v>10</v>
      </c>
      <c r="F334" s="29" t="inlineStr">
        <is>
          <t>Walk-In</t>
        </is>
      </c>
      <c r="G334" s="31" t="n">
        <v>2</v>
      </c>
      <c r="H334" s="29" t="inlineStr">
        <is>
          <t>Fever / Altered Mental Status</t>
        </is>
      </c>
      <c r="I334" s="29" t="n">
        <v>136</v>
      </c>
      <c r="J334" s="29" t="n">
        <v>119</v>
      </c>
      <c r="K334" s="32">
        <f>I334/J334</f>
        <v/>
      </c>
      <c r="L334" s="31" t="n">
        <v>9</v>
      </c>
      <c r="M334" s="29" t="inlineStr">
        <is>
          <t>Admitted</t>
        </is>
      </c>
    </row>
    <row r="335">
      <c r="A335" t="inlineStr">
        <is>
          <t>ED208360</t>
        </is>
      </c>
      <c r="B335" t="inlineStr">
        <is>
          <t>PT13209</t>
        </is>
      </c>
      <c r="C335" s="26" t="n">
        <v>45782.81597222222</v>
      </c>
      <c r="D335" t="inlineStr">
        <is>
          <t>Mon</t>
        </is>
      </c>
      <c r="E335" s="27" t="n">
        <v>19</v>
      </c>
      <c r="F335" t="inlineStr">
        <is>
          <t>Walk-In</t>
        </is>
      </c>
      <c r="G335" s="27" t="n">
        <v>4</v>
      </c>
      <c r="H335" t="inlineStr">
        <is>
          <t>Vomiting / Diarrhea</t>
        </is>
      </c>
      <c r="I335" t="n">
        <v>152</v>
      </c>
      <c r="J335" t="n">
        <v>99</v>
      </c>
      <c r="K335" s="28">
        <f>I335/J335</f>
        <v/>
      </c>
      <c r="L335" s="27" t="n">
        <v>80</v>
      </c>
      <c r="M335" t="inlineStr">
        <is>
          <t>Discharged</t>
        </is>
      </c>
    </row>
    <row r="336">
      <c r="A336" t="inlineStr">
        <is>
          <t>ED208361</t>
        </is>
      </c>
      <c r="B336" t="inlineStr">
        <is>
          <t>PT10461</t>
        </is>
      </c>
      <c r="C336" s="26" t="n">
        <v>45782.82222222222</v>
      </c>
      <c r="D336" t="inlineStr">
        <is>
          <t>Mon</t>
        </is>
      </c>
      <c r="E336" s="27" t="n">
        <v>19</v>
      </c>
      <c r="F336" t="inlineStr">
        <is>
          <t>Ambulance</t>
        </is>
      </c>
      <c r="G336" s="27" t="n">
        <v>3</v>
      </c>
      <c r="H336" t="inlineStr">
        <is>
          <t>Vomiting / Diarrhea</t>
        </is>
      </c>
      <c r="I336" t="n">
        <v>76</v>
      </c>
      <c r="J336" t="n">
        <v>152</v>
      </c>
      <c r="K336" s="28">
        <f>I336/J336</f>
        <v/>
      </c>
      <c r="L336" s="27" t="n">
        <v>62</v>
      </c>
      <c r="M336" t="inlineStr">
        <is>
          <t>Discharged</t>
        </is>
      </c>
    </row>
    <row r="337">
      <c r="A337" t="inlineStr">
        <is>
          <t>ED208368</t>
        </is>
      </c>
      <c r="B337" t="inlineStr">
        <is>
          <t>PT12518</t>
        </is>
      </c>
      <c r="C337" s="26" t="n">
        <v>45783.05416666667</v>
      </c>
      <c r="D337" t="inlineStr">
        <is>
          <t>Tue</t>
        </is>
      </c>
      <c r="E337" s="27" t="n">
        <v>1</v>
      </c>
      <c r="F337" t="inlineStr">
        <is>
          <t>Walk-In</t>
        </is>
      </c>
      <c r="G337" s="27" t="n">
        <v>2</v>
      </c>
      <c r="H337" t="inlineStr">
        <is>
          <t>Cough / Fever</t>
        </is>
      </c>
      <c r="I337" t="n">
        <v>107</v>
      </c>
      <c r="J337" t="n">
        <v>128</v>
      </c>
      <c r="K337" s="28">
        <f>I337/J337</f>
        <v/>
      </c>
      <c r="L337" s="27" t="n">
        <v>11</v>
      </c>
      <c r="M337" t="inlineStr">
        <is>
          <t>Observation</t>
        </is>
      </c>
    </row>
    <row r="338">
      <c r="A338" t="inlineStr">
        <is>
          <t>ED208378</t>
        </is>
      </c>
      <c r="B338" t="inlineStr">
        <is>
          <t>PT10252</t>
        </is>
      </c>
      <c r="C338" s="26" t="n">
        <v>45783.56527777778</v>
      </c>
      <c r="D338" t="inlineStr">
        <is>
          <t>Tue</t>
        </is>
      </c>
      <c r="E338" s="27" t="n">
        <v>13</v>
      </c>
      <c r="F338" t="inlineStr">
        <is>
          <t>Walk-In</t>
        </is>
      </c>
      <c r="G338" s="27" t="n">
        <v>4</v>
      </c>
      <c r="H338" t="inlineStr">
        <is>
          <t>Headache</t>
        </is>
      </c>
      <c r="I338" t="n">
        <v>78</v>
      </c>
      <c r="J338" t="n">
        <v>157</v>
      </c>
      <c r="K338" s="28">
        <f>I338/J338</f>
        <v/>
      </c>
      <c r="L338" s="27" t="n">
        <v>35</v>
      </c>
      <c r="M338" t="inlineStr">
        <is>
          <t>Discharged</t>
        </is>
      </c>
    </row>
    <row r="339">
      <c r="A339" t="inlineStr">
        <is>
          <t>ED208379</t>
        </is>
      </c>
      <c r="B339" t="inlineStr">
        <is>
          <t>PT13801</t>
        </is>
      </c>
      <c r="C339" s="26" t="n">
        <v>45783.56527777778</v>
      </c>
      <c r="D339" t="inlineStr">
        <is>
          <t>Tue</t>
        </is>
      </c>
      <c r="E339" s="27" t="n">
        <v>13</v>
      </c>
      <c r="F339" t="inlineStr">
        <is>
          <t>Walk-In</t>
        </is>
      </c>
      <c r="G339" s="27" t="n">
        <v>3</v>
      </c>
      <c r="H339" t="inlineStr">
        <is>
          <t>Painful Urination / Fever</t>
        </is>
      </c>
      <c r="I339" t="n">
        <v>102</v>
      </c>
      <c r="K339" s="28">
        <f>I339/J339</f>
        <v/>
      </c>
      <c r="L339" s="27" t="n"/>
      <c r="M339" t="inlineStr">
        <is>
          <t>LWBS</t>
        </is>
      </c>
    </row>
    <row r="340">
      <c r="A340" t="inlineStr">
        <is>
          <t>ED208385</t>
        </is>
      </c>
      <c r="B340" t="inlineStr">
        <is>
          <t>PT12649</t>
        </is>
      </c>
      <c r="C340" s="26" t="n">
        <v>45783.82986111111</v>
      </c>
      <c r="D340" t="inlineStr">
        <is>
          <t>Tue</t>
        </is>
      </c>
      <c r="E340" s="27" t="n">
        <v>19</v>
      </c>
      <c r="F340" t="inlineStr">
        <is>
          <t>Ambulance</t>
        </is>
      </c>
      <c r="G340" s="27" t="n">
        <v>2</v>
      </c>
      <c r="H340" t="inlineStr">
        <is>
          <t>Fainting</t>
        </is>
      </c>
      <c r="I340" t="n">
        <v>103</v>
      </c>
      <c r="J340" t="n">
        <v>117</v>
      </c>
      <c r="K340" s="28">
        <f>I340/J340</f>
        <v/>
      </c>
      <c r="L340" s="27" t="n">
        <v>42</v>
      </c>
      <c r="M340" t="inlineStr">
        <is>
          <t>Discharged</t>
        </is>
      </c>
    </row>
    <row r="341">
      <c r="A341" t="inlineStr">
        <is>
          <t>ED208387</t>
        </is>
      </c>
      <c r="B341" t="inlineStr">
        <is>
          <t>PT10198</t>
        </is>
      </c>
      <c r="C341" s="26" t="n">
        <v>45783.94097222222</v>
      </c>
      <c r="D341" t="inlineStr">
        <is>
          <t>Tue</t>
        </is>
      </c>
      <c r="E341" s="27" t="n">
        <v>22</v>
      </c>
      <c r="F341" t="inlineStr">
        <is>
          <t>Walk-In</t>
        </is>
      </c>
      <c r="G341" s="27" t="n">
        <v>3</v>
      </c>
      <c r="H341" t="inlineStr">
        <is>
          <t>Head Injury</t>
        </is>
      </c>
      <c r="I341" t="n">
        <v>80</v>
      </c>
      <c r="J341" t="n">
        <v>109</v>
      </c>
      <c r="K341" s="28">
        <f>I341/J341</f>
        <v/>
      </c>
      <c r="L341" s="27" t="n">
        <v>60</v>
      </c>
      <c r="M341" t="inlineStr">
        <is>
          <t>Discharged</t>
        </is>
      </c>
    </row>
    <row r="342">
      <c r="A342" t="inlineStr">
        <is>
          <t>ED208393</t>
        </is>
      </c>
      <c r="B342" t="inlineStr">
        <is>
          <t>PT12168</t>
        </is>
      </c>
      <c r="C342" s="26" t="n">
        <v>45784.61944444444</v>
      </c>
      <c r="D342" t="inlineStr">
        <is>
          <t>Wed</t>
        </is>
      </c>
      <c r="E342" s="27" t="n">
        <v>14</v>
      </c>
      <c r="F342" t="inlineStr">
        <is>
          <t>Walk-In</t>
        </is>
      </c>
      <c r="G342" s="27" t="n">
        <v>4</v>
      </c>
      <c r="H342" t="inlineStr">
        <is>
          <t>Abdominal Pain</t>
        </is>
      </c>
      <c r="I342" t="n">
        <v>78</v>
      </c>
      <c r="J342" t="n">
        <v>112</v>
      </c>
      <c r="K342" s="28">
        <f>I342/J342</f>
        <v/>
      </c>
      <c r="L342" s="27" t="n">
        <v>35</v>
      </c>
      <c r="M342" t="inlineStr">
        <is>
          <t>Discharged</t>
        </is>
      </c>
    </row>
    <row r="343">
      <c r="A343" t="inlineStr">
        <is>
          <t>ED208403</t>
        </is>
      </c>
      <c r="B343" t="inlineStr">
        <is>
          <t>PT10993</t>
        </is>
      </c>
      <c r="C343" s="26" t="n">
        <v>45785.68194444444</v>
      </c>
      <c r="D343" t="inlineStr">
        <is>
          <t>Thu</t>
        </is>
      </c>
      <c r="E343" s="27" t="n">
        <v>16</v>
      </c>
      <c r="F343" t="inlineStr">
        <is>
          <t>Walk-In</t>
        </is>
      </c>
      <c r="G343" s="27" t="n">
        <v>4</v>
      </c>
      <c r="H343" t="inlineStr">
        <is>
          <t>Ankle Injury</t>
        </is>
      </c>
      <c r="I343" t="n">
        <v>81</v>
      </c>
      <c r="J343" t="n">
        <v>145</v>
      </c>
      <c r="K343" s="28">
        <f>I343/J343</f>
        <v/>
      </c>
      <c r="L343" s="27" t="n">
        <v>99</v>
      </c>
      <c r="M343" t="inlineStr">
        <is>
          <t>Discharged</t>
        </is>
      </c>
    </row>
    <row r="344">
      <c r="A344" t="inlineStr">
        <is>
          <t>ED208410</t>
        </is>
      </c>
      <c r="B344" t="inlineStr">
        <is>
          <t>PT13879</t>
        </is>
      </c>
      <c r="C344" s="26" t="n">
        <v>45786.16875</v>
      </c>
      <c r="D344" t="inlineStr">
        <is>
          <t>Fri</t>
        </is>
      </c>
      <c r="E344" s="27" t="n">
        <v>4</v>
      </c>
      <c r="F344" t="inlineStr">
        <is>
          <t>Walk-In</t>
        </is>
      </c>
      <c r="G344" s="27" t="n">
        <v>3</v>
      </c>
      <c r="H344" t="inlineStr">
        <is>
          <t>Chest Pain</t>
        </is>
      </c>
      <c r="I344" t="n">
        <v>61</v>
      </c>
      <c r="J344" t="n">
        <v>149</v>
      </c>
      <c r="K344" s="28">
        <f>I344/J344</f>
        <v/>
      </c>
      <c r="L344" s="27" t="n">
        <v>8</v>
      </c>
      <c r="M344" t="inlineStr">
        <is>
          <t>Discharged</t>
        </is>
      </c>
    </row>
    <row r="345">
      <c r="A345" t="inlineStr">
        <is>
          <t>ED208421</t>
        </is>
      </c>
      <c r="B345" t="inlineStr">
        <is>
          <t>PT10101</t>
        </is>
      </c>
      <c r="C345" s="26" t="n">
        <v>45786.77361111111</v>
      </c>
      <c r="D345" t="inlineStr">
        <is>
          <t>Fri</t>
        </is>
      </c>
      <c r="E345" s="27" t="n">
        <v>18</v>
      </c>
      <c r="F345" t="inlineStr">
        <is>
          <t>Walk-In</t>
        </is>
      </c>
      <c r="G345" s="27" t="n">
        <v>4</v>
      </c>
      <c r="H345" t="inlineStr">
        <is>
          <t>Skin Redness / Swelling</t>
        </is>
      </c>
      <c r="I345" t="n">
        <v>84</v>
      </c>
      <c r="J345" t="n">
        <v>112</v>
      </c>
      <c r="K345" s="28">
        <f>I345/J345</f>
        <v/>
      </c>
      <c r="L345" s="27" t="n">
        <v>57</v>
      </c>
      <c r="M345" t="inlineStr">
        <is>
          <t>Admitted</t>
        </is>
      </c>
    </row>
    <row r="346">
      <c r="A346" t="inlineStr">
        <is>
          <t>ED208424</t>
        </is>
      </c>
      <c r="B346" t="inlineStr">
        <is>
          <t>PT10589</t>
        </is>
      </c>
      <c r="C346" s="26" t="n">
        <v>45787.10138888889</v>
      </c>
      <c r="D346" t="inlineStr">
        <is>
          <t>Sat</t>
        </is>
      </c>
      <c r="E346" s="27" t="n">
        <v>2</v>
      </c>
      <c r="F346" t="inlineStr">
        <is>
          <t>Ambulance</t>
        </is>
      </c>
      <c r="G346" s="27" t="n">
        <v>3</v>
      </c>
      <c r="H346" t="inlineStr">
        <is>
          <t>Skin Redness / Swelling</t>
        </is>
      </c>
      <c r="I346" t="n">
        <v>88</v>
      </c>
      <c r="J346" t="n">
        <v>136</v>
      </c>
      <c r="K346" s="28">
        <f>I346/J346</f>
        <v/>
      </c>
      <c r="L346" s="27" t="n">
        <v>27</v>
      </c>
      <c r="M346" t="inlineStr">
        <is>
          <t>Observation</t>
        </is>
      </c>
    </row>
    <row r="347">
      <c r="A347" t="inlineStr">
        <is>
          <t>ED208457</t>
        </is>
      </c>
      <c r="B347" t="inlineStr">
        <is>
          <t>PT13715</t>
        </is>
      </c>
      <c r="C347" s="26" t="n">
        <v>45789.50138888889</v>
      </c>
      <c r="D347" t="inlineStr">
        <is>
          <t>Mon</t>
        </is>
      </c>
      <c r="E347" s="27" t="n">
        <v>12</v>
      </c>
      <c r="F347" t="inlineStr">
        <is>
          <t>Ambulance</t>
        </is>
      </c>
      <c r="G347" s="27" t="n">
        <v>2</v>
      </c>
      <c r="H347" t="inlineStr">
        <is>
          <t>High Blood Sugar</t>
        </is>
      </c>
      <c r="I347" t="n">
        <v>80</v>
      </c>
      <c r="J347" t="n">
        <v>136</v>
      </c>
      <c r="K347" s="28">
        <f>I347/J347</f>
        <v/>
      </c>
      <c r="L347" s="27" t="n">
        <v>25</v>
      </c>
      <c r="M347" t="inlineStr">
        <is>
          <t>Admitted</t>
        </is>
      </c>
    </row>
    <row r="348">
      <c r="A348" t="inlineStr">
        <is>
          <t>ED208463</t>
        </is>
      </c>
      <c r="B348" t="inlineStr">
        <is>
          <t>PT10337</t>
        </is>
      </c>
      <c r="C348" s="26" t="n">
        <v>45789.76805555556</v>
      </c>
      <c r="D348" t="inlineStr">
        <is>
          <t>Mon</t>
        </is>
      </c>
      <c r="E348" s="27" t="n">
        <v>18</v>
      </c>
      <c r="F348" t="inlineStr">
        <is>
          <t>Walk-In</t>
        </is>
      </c>
      <c r="G348" s="27" t="n">
        <v>3</v>
      </c>
      <c r="H348" t="inlineStr">
        <is>
          <t>Painful Urination / Fever</t>
        </is>
      </c>
      <c r="I348" t="n">
        <v>99</v>
      </c>
      <c r="J348" t="n">
        <v>145</v>
      </c>
      <c r="K348" s="28">
        <f>I348/J348</f>
        <v/>
      </c>
      <c r="L348" s="27" t="n">
        <v>36</v>
      </c>
      <c r="M348" t="inlineStr">
        <is>
          <t>Discharged</t>
        </is>
      </c>
    </row>
    <row r="349">
      <c r="A349" t="inlineStr">
        <is>
          <t>ED208498</t>
        </is>
      </c>
      <c r="B349" t="inlineStr">
        <is>
          <t>PT11289</t>
        </is>
      </c>
      <c r="C349" s="26" t="n">
        <v>45791.53402777778</v>
      </c>
      <c r="D349" t="inlineStr">
        <is>
          <t>Wed</t>
        </is>
      </c>
      <c r="E349" s="27" t="n">
        <v>12</v>
      </c>
      <c r="F349" t="inlineStr">
        <is>
          <t>Walk-In</t>
        </is>
      </c>
      <c r="G349" s="27" t="n">
        <v>3</v>
      </c>
      <c r="H349" t="inlineStr">
        <is>
          <t>Chest Pain</t>
        </is>
      </c>
      <c r="I349" t="n">
        <v>72</v>
      </c>
      <c r="J349" t="n">
        <v>172</v>
      </c>
      <c r="K349" s="28">
        <f>I349/J349</f>
        <v/>
      </c>
      <c r="L349" s="27" t="n">
        <v>18</v>
      </c>
      <c r="M349" t="inlineStr">
        <is>
          <t>Discharged</t>
        </is>
      </c>
    </row>
    <row r="350">
      <c r="A350" t="inlineStr">
        <is>
          <t>ED208499</t>
        </is>
      </c>
      <c r="B350" t="inlineStr">
        <is>
          <t>PT12896</t>
        </is>
      </c>
      <c r="C350" s="26" t="n">
        <v>45791.54097222222</v>
      </c>
      <c r="D350" t="inlineStr">
        <is>
          <t>Wed</t>
        </is>
      </c>
      <c r="E350" s="27" t="n">
        <v>12</v>
      </c>
      <c r="F350" t="inlineStr">
        <is>
          <t>Walk-In</t>
        </is>
      </c>
      <c r="G350" s="27" t="n">
        <v>2</v>
      </c>
      <c r="H350" t="inlineStr">
        <is>
          <t>Cough / Fever</t>
        </is>
      </c>
      <c r="I350" t="n">
        <v>87</v>
      </c>
      <c r="J350" t="n">
        <v>126</v>
      </c>
      <c r="K350" s="28">
        <f>I350/J350</f>
        <v/>
      </c>
      <c r="L350" s="27" t="n">
        <v>11</v>
      </c>
      <c r="M350" t="inlineStr">
        <is>
          <t>Admitted</t>
        </is>
      </c>
    </row>
    <row r="351">
      <c r="A351" t="inlineStr">
        <is>
          <t>ED208533</t>
        </is>
      </c>
      <c r="B351" t="inlineStr">
        <is>
          <t>PT13869</t>
        </is>
      </c>
      <c r="C351" s="26" t="n">
        <v>45793.85972222222</v>
      </c>
      <c r="D351" t="inlineStr">
        <is>
          <t>Fri</t>
        </is>
      </c>
      <c r="E351" s="27" t="n">
        <v>20</v>
      </c>
      <c r="F351" t="inlineStr">
        <is>
          <t>Walk-In</t>
        </is>
      </c>
      <c r="G351" s="27" t="n">
        <v>3</v>
      </c>
      <c r="H351" t="inlineStr">
        <is>
          <t>Weakness / Fatigue</t>
        </is>
      </c>
      <c r="I351" t="n">
        <v>81</v>
      </c>
      <c r="J351" t="n">
        <v>96</v>
      </c>
      <c r="K351" s="28">
        <f>I351/J351</f>
        <v/>
      </c>
      <c r="L351" s="27" t="n">
        <v>52</v>
      </c>
      <c r="M351" t="inlineStr">
        <is>
          <t>Admitted</t>
        </is>
      </c>
    </row>
    <row r="352">
      <c r="A352" t="inlineStr">
        <is>
          <t>ED208543</t>
        </is>
      </c>
      <c r="B352" t="inlineStr">
        <is>
          <t>PT10009</t>
        </is>
      </c>
      <c r="C352" s="26" t="n">
        <v>45794.51458333333</v>
      </c>
      <c r="D352" t="inlineStr">
        <is>
          <t>Sat</t>
        </is>
      </c>
      <c r="E352" s="27" t="n">
        <v>12</v>
      </c>
      <c r="F352" t="inlineStr">
        <is>
          <t>Walk-In</t>
        </is>
      </c>
      <c r="G352" s="27" t="n">
        <v>3</v>
      </c>
      <c r="H352" t="inlineStr">
        <is>
          <t>Headache</t>
        </is>
      </c>
      <c r="I352" t="n">
        <v>77</v>
      </c>
      <c r="J352" t="n">
        <v>112</v>
      </c>
      <c r="K352" s="28">
        <f>I352/J352</f>
        <v/>
      </c>
      <c r="L352" s="27" t="n">
        <v>43</v>
      </c>
      <c r="M352" t="inlineStr">
        <is>
          <t>Discharged</t>
        </is>
      </c>
    </row>
    <row r="353">
      <c r="A353" t="inlineStr">
        <is>
          <t>ED208544</t>
        </is>
      </c>
      <c r="B353" t="inlineStr">
        <is>
          <t>PT11730</t>
        </is>
      </c>
      <c r="C353" s="26" t="n">
        <v>45794.53055555555</v>
      </c>
      <c r="D353" t="inlineStr">
        <is>
          <t>Sat</t>
        </is>
      </c>
      <c r="E353" s="27" t="n">
        <v>12</v>
      </c>
      <c r="F353" t="inlineStr">
        <is>
          <t>Walk-In</t>
        </is>
      </c>
      <c r="G353" s="27" t="n">
        <v>4</v>
      </c>
      <c r="H353" t="inlineStr">
        <is>
          <t>Cough / Fever</t>
        </is>
      </c>
      <c r="I353" t="n">
        <v>82</v>
      </c>
      <c r="J353" t="n">
        <v>124</v>
      </c>
      <c r="K353" s="28">
        <f>I353/J353</f>
        <v/>
      </c>
      <c r="L353" s="27" t="n">
        <v>128</v>
      </c>
      <c r="M353" t="inlineStr">
        <is>
          <t>Discharged</t>
        </is>
      </c>
    </row>
    <row r="354">
      <c r="A354" t="inlineStr">
        <is>
          <t>ED208573</t>
        </is>
      </c>
      <c r="B354" t="inlineStr">
        <is>
          <t>PT12695</t>
        </is>
      </c>
      <c r="C354" s="26" t="n">
        <v>45796.40208333333</v>
      </c>
      <c r="D354" t="inlineStr">
        <is>
          <t>Mon</t>
        </is>
      </c>
      <c r="E354" s="27" t="n">
        <v>9</v>
      </c>
      <c r="F354" t="inlineStr">
        <is>
          <t>Walk-In</t>
        </is>
      </c>
      <c r="G354" s="27" t="n">
        <v>3</v>
      </c>
      <c r="H354" t="inlineStr">
        <is>
          <t>Abdominal Pain</t>
        </is>
      </c>
      <c r="I354" t="n">
        <v>70</v>
      </c>
      <c r="J354" t="n">
        <v>142</v>
      </c>
      <c r="K354" s="28">
        <f>I354/J354</f>
        <v/>
      </c>
      <c r="L354" s="27" t="n">
        <v>27</v>
      </c>
      <c r="M354" t="inlineStr">
        <is>
          <t>Discharged</t>
        </is>
      </c>
    </row>
    <row r="355">
      <c r="A355" t="inlineStr">
        <is>
          <t>ED208579</t>
        </is>
      </c>
      <c r="B355" t="inlineStr">
        <is>
          <t>PT13652</t>
        </is>
      </c>
      <c r="C355" s="26" t="n">
        <v>45796.49791666667</v>
      </c>
      <c r="D355" t="inlineStr">
        <is>
          <t>Mon</t>
        </is>
      </c>
      <c r="E355" s="27" t="n">
        <v>11</v>
      </c>
      <c r="F355" t="inlineStr">
        <is>
          <t>Ambulance</t>
        </is>
      </c>
      <c r="G355" s="27" t="n">
        <v>3</v>
      </c>
      <c r="H355" t="inlineStr">
        <is>
          <t>Skin Redness / Swelling</t>
        </is>
      </c>
      <c r="I355" t="n">
        <v>73</v>
      </c>
      <c r="J355" t="n">
        <v>151</v>
      </c>
      <c r="K355" s="28">
        <f>I355/J355</f>
        <v/>
      </c>
      <c r="L355" s="27" t="n">
        <v>117</v>
      </c>
      <c r="M355" t="inlineStr">
        <is>
          <t>Observation</t>
        </is>
      </c>
    </row>
    <row r="356">
      <c r="A356" t="inlineStr">
        <is>
          <t>ED208586</t>
        </is>
      </c>
      <c r="B356" t="inlineStr">
        <is>
          <t>PT11780</t>
        </is>
      </c>
      <c r="C356" s="26" t="n">
        <v>45796.84444444445</v>
      </c>
      <c r="D356" t="inlineStr">
        <is>
          <t>Mon</t>
        </is>
      </c>
      <c r="E356" s="27" t="n">
        <v>20</v>
      </c>
      <c r="F356" t="inlineStr">
        <is>
          <t>Walk-In</t>
        </is>
      </c>
      <c r="G356" s="27" t="n">
        <v>4</v>
      </c>
      <c r="H356" t="inlineStr">
        <is>
          <t>Back Pain</t>
        </is>
      </c>
      <c r="I356" t="n">
        <v>98</v>
      </c>
      <c r="J356" t="n">
        <v>112</v>
      </c>
      <c r="K356" s="28">
        <f>I356/J356</f>
        <v/>
      </c>
      <c r="L356" s="27" t="n">
        <v>90</v>
      </c>
      <c r="M356" t="inlineStr">
        <is>
          <t>Discharged</t>
        </is>
      </c>
    </row>
    <row r="357">
      <c r="A357" t="inlineStr">
        <is>
          <t>ED208593</t>
        </is>
      </c>
      <c r="B357" t="inlineStr">
        <is>
          <t>PT12133</t>
        </is>
      </c>
      <c r="C357" s="26" t="n">
        <v>45797.54652777778</v>
      </c>
      <c r="D357" t="inlineStr">
        <is>
          <t>Tue</t>
        </is>
      </c>
      <c r="E357" s="27" t="n">
        <v>13</v>
      </c>
      <c r="F357" t="inlineStr">
        <is>
          <t>Walk-In</t>
        </is>
      </c>
      <c r="G357" s="27" t="n">
        <v>5</v>
      </c>
      <c r="H357" t="inlineStr">
        <is>
          <t>Ankle Injury</t>
        </is>
      </c>
      <c r="I357" t="n">
        <v>83</v>
      </c>
      <c r="J357" t="n">
        <v>125</v>
      </c>
      <c r="K357" s="28">
        <f>I357/J357</f>
        <v/>
      </c>
      <c r="L357" s="27" t="n">
        <v>110</v>
      </c>
      <c r="M357" t="inlineStr">
        <is>
          <t>Discharged</t>
        </is>
      </c>
    </row>
    <row r="358">
      <c r="A358" t="inlineStr">
        <is>
          <t>ED208596</t>
        </is>
      </c>
      <c r="B358" t="inlineStr">
        <is>
          <t>PT11842</t>
        </is>
      </c>
      <c r="C358" s="26" t="n">
        <v>45797.58680555555</v>
      </c>
      <c r="D358" t="inlineStr">
        <is>
          <t>Tue</t>
        </is>
      </c>
      <c r="E358" s="27" t="n">
        <v>14</v>
      </c>
      <c r="F358" t="inlineStr">
        <is>
          <t>Ambulance</t>
        </is>
      </c>
      <c r="G358" s="27" t="n">
        <v>3</v>
      </c>
      <c r="H358" t="inlineStr">
        <is>
          <t>Shortness of Breath</t>
        </is>
      </c>
      <c r="I358" t="n">
        <v>81</v>
      </c>
      <c r="J358" t="n">
        <v>163</v>
      </c>
      <c r="K358" s="28">
        <f>I358/J358</f>
        <v/>
      </c>
      <c r="L358" s="27" t="n">
        <v>20</v>
      </c>
      <c r="M358" t="inlineStr">
        <is>
          <t>Admitted</t>
        </is>
      </c>
    </row>
    <row r="359">
      <c r="A359" t="inlineStr">
        <is>
          <t>ED208599</t>
        </is>
      </c>
      <c r="B359" t="inlineStr">
        <is>
          <t>PT11496</t>
        </is>
      </c>
      <c r="C359" s="26" t="n">
        <v>45797.64444444444</v>
      </c>
      <c r="D359" t="inlineStr">
        <is>
          <t>Tue</t>
        </is>
      </c>
      <c r="E359" s="27" t="n">
        <v>15</v>
      </c>
      <c r="F359" t="inlineStr">
        <is>
          <t>Walk-In</t>
        </is>
      </c>
      <c r="G359" s="27" t="n">
        <v>4</v>
      </c>
      <c r="H359" t="inlineStr">
        <is>
          <t>Head Injury</t>
        </is>
      </c>
      <c r="I359" t="n">
        <v>69</v>
      </c>
      <c r="J359" t="n">
        <v>110</v>
      </c>
      <c r="K359" s="28">
        <f>I359/J359</f>
        <v/>
      </c>
      <c r="L359" s="27" t="n">
        <v>68</v>
      </c>
      <c r="M359" t="inlineStr">
        <is>
          <t>Discharged</t>
        </is>
      </c>
    </row>
    <row r="360">
      <c r="A360" t="inlineStr">
        <is>
          <t>ED208602</t>
        </is>
      </c>
      <c r="B360" t="inlineStr">
        <is>
          <t>PT13324</t>
        </is>
      </c>
      <c r="C360" s="26" t="n">
        <v>45797.70694444444</v>
      </c>
      <c r="D360" t="inlineStr">
        <is>
          <t>Tue</t>
        </is>
      </c>
      <c r="E360" s="27" t="n">
        <v>16</v>
      </c>
      <c r="F360" t="inlineStr">
        <is>
          <t>Walk-In</t>
        </is>
      </c>
      <c r="G360" s="27" t="n">
        <v>5</v>
      </c>
      <c r="H360" t="inlineStr">
        <is>
          <t>Back Pain</t>
        </is>
      </c>
      <c r="I360" t="n">
        <v>75</v>
      </c>
      <c r="J360" t="n">
        <v>99</v>
      </c>
      <c r="K360" s="28">
        <f>I360/J360</f>
        <v/>
      </c>
      <c r="L360" s="27" t="n">
        <v>30</v>
      </c>
      <c r="M360" t="inlineStr">
        <is>
          <t>Observation</t>
        </is>
      </c>
    </row>
    <row r="361">
      <c r="A361" t="inlineStr">
        <is>
          <t>ED208605</t>
        </is>
      </c>
      <c r="B361" t="inlineStr">
        <is>
          <t>PT11473</t>
        </is>
      </c>
      <c r="C361" s="26" t="n">
        <v>45797.82013888889</v>
      </c>
      <c r="D361" t="inlineStr">
        <is>
          <t>Tue</t>
        </is>
      </c>
      <c r="E361" s="27" t="n">
        <v>19</v>
      </c>
      <c r="F361" t="inlineStr">
        <is>
          <t>Walk-In</t>
        </is>
      </c>
      <c r="G361" s="27" t="n">
        <v>4</v>
      </c>
      <c r="H361" t="inlineStr">
        <is>
          <t>Skin Redness / Swelling</t>
        </is>
      </c>
      <c r="I361" t="n">
        <v>87</v>
      </c>
      <c r="J361" t="n">
        <v>113</v>
      </c>
      <c r="K361" s="28">
        <f>I361/J361</f>
        <v/>
      </c>
      <c r="L361" s="27" t="n">
        <v>44</v>
      </c>
      <c r="M361" t="inlineStr">
        <is>
          <t>Discharged</t>
        </is>
      </c>
    </row>
    <row r="362">
      <c r="A362" t="inlineStr">
        <is>
          <t>ED208606</t>
        </is>
      </c>
      <c r="B362" t="inlineStr">
        <is>
          <t>PT12420</t>
        </is>
      </c>
      <c r="C362" s="26" t="n">
        <v>45797.825</v>
      </c>
      <c r="D362" t="inlineStr">
        <is>
          <t>Tue</t>
        </is>
      </c>
      <c r="E362" s="27" t="n">
        <v>19</v>
      </c>
      <c r="F362" t="inlineStr">
        <is>
          <t>Ambulance</t>
        </is>
      </c>
      <c r="G362" s="27" t="n">
        <v>3</v>
      </c>
      <c r="H362" t="inlineStr">
        <is>
          <t>High Blood Sugar</t>
        </is>
      </c>
      <c r="I362" t="n">
        <v>90</v>
      </c>
      <c r="J362" t="n">
        <v>138</v>
      </c>
      <c r="K362" s="28">
        <f>I362/J362</f>
        <v/>
      </c>
      <c r="L362" s="27" t="n">
        <v>76</v>
      </c>
      <c r="M362" t="inlineStr">
        <is>
          <t>Admitted</t>
        </is>
      </c>
    </row>
    <row r="363">
      <c r="A363" t="inlineStr">
        <is>
          <t>ED208612</t>
        </is>
      </c>
      <c r="B363" t="inlineStr">
        <is>
          <t>PT12274</t>
        </is>
      </c>
      <c r="C363" s="26" t="n">
        <v>45798.47083333333</v>
      </c>
      <c r="D363" t="inlineStr">
        <is>
          <t>Wed</t>
        </is>
      </c>
      <c r="E363" s="27" t="n">
        <v>11</v>
      </c>
      <c r="F363" t="inlineStr">
        <is>
          <t>Walk-In</t>
        </is>
      </c>
      <c r="G363" s="27" t="n">
        <v>3</v>
      </c>
      <c r="H363" t="inlineStr">
        <is>
          <t>Chest Pain</t>
        </is>
      </c>
      <c r="I363" t="n">
        <v>87</v>
      </c>
      <c r="J363" t="n">
        <v>136</v>
      </c>
      <c r="K363" s="28">
        <f>I363/J363</f>
        <v/>
      </c>
      <c r="L363" s="27" t="n">
        <v>92</v>
      </c>
      <c r="M363" t="inlineStr">
        <is>
          <t>Discharged</t>
        </is>
      </c>
    </row>
    <row r="364">
      <c r="A364" t="inlineStr">
        <is>
          <t>ED208616</t>
        </is>
      </c>
      <c r="B364" t="inlineStr">
        <is>
          <t>PT13751</t>
        </is>
      </c>
      <c r="C364" s="26" t="n">
        <v>45798.73263888889</v>
      </c>
      <c r="D364" t="inlineStr">
        <is>
          <t>Wed</t>
        </is>
      </c>
      <c r="E364" s="27" t="n">
        <v>17</v>
      </c>
      <c r="F364" t="inlineStr">
        <is>
          <t>Walk-In</t>
        </is>
      </c>
      <c r="G364" s="27" t="n">
        <v>4</v>
      </c>
      <c r="H364" t="inlineStr">
        <is>
          <t>Chest Pain</t>
        </is>
      </c>
      <c r="I364" t="n">
        <v>109</v>
      </c>
      <c r="J364" t="n">
        <v>158</v>
      </c>
      <c r="K364" s="28">
        <f>I364/J364</f>
        <v/>
      </c>
      <c r="L364" s="27" t="n">
        <v>18</v>
      </c>
      <c r="M364" t="inlineStr">
        <is>
          <t>Discharged</t>
        </is>
      </c>
    </row>
    <row r="365">
      <c r="A365" t="inlineStr">
        <is>
          <t>ED208625</t>
        </is>
      </c>
      <c r="B365" t="inlineStr">
        <is>
          <t>PT10118</t>
        </is>
      </c>
      <c r="C365" s="26" t="n">
        <v>45799.50763888889</v>
      </c>
      <c r="D365" t="inlineStr">
        <is>
          <t>Thu</t>
        </is>
      </c>
      <c r="E365" s="27" t="n">
        <v>12</v>
      </c>
      <c r="F365" t="inlineStr">
        <is>
          <t>Ambulance</t>
        </is>
      </c>
      <c r="G365" s="27" t="n">
        <v>3</v>
      </c>
      <c r="H365" t="inlineStr">
        <is>
          <t>Painful Urination / Fever</t>
        </is>
      </c>
      <c r="I365" t="n">
        <v>69</v>
      </c>
      <c r="J365" t="n">
        <v>111</v>
      </c>
      <c r="K365" s="28">
        <f>I365/J365</f>
        <v/>
      </c>
      <c r="L365" s="27" t="n">
        <v>62</v>
      </c>
      <c r="M365" t="inlineStr">
        <is>
          <t>Admitted</t>
        </is>
      </c>
    </row>
    <row r="366">
      <c r="A366" t="inlineStr">
        <is>
          <t>ED208626</t>
        </is>
      </c>
      <c r="B366" t="inlineStr">
        <is>
          <t>PT10063</t>
        </is>
      </c>
      <c r="C366" s="26" t="n">
        <v>45799.62430555555</v>
      </c>
      <c r="D366" t="inlineStr">
        <is>
          <t>Thu</t>
        </is>
      </c>
      <c r="E366" s="27" t="n">
        <v>14</v>
      </c>
      <c r="F366" t="inlineStr">
        <is>
          <t>Ambulance</t>
        </is>
      </c>
      <c r="G366" s="27" t="n">
        <v>4</v>
      </c>
      <c r="H366" t="inlineStr">
        <is>
          <t>Skin Redness / Swelling</t>
        </is>
      </c>
      <c r="I366" t="n">
        <v>82</v>
      </c>
      <c r="J366" t="n">
        <v>143</v>
      </c>
      <c r="K366" s="28">
        <f>I366/J366</f>
        <v/>
      </c>
      <c r="L366" s="27" t="n">
        <v>119</v>
      </c>
      <c r="M366" t="inlineStr">
        <is>
          <t>Discharged</t>
        </is>
      </c>
    </row>
    <row r="367">
      <c r="A367" t="inlineStr">
        <is>
          <t>ED208627</t>
        </is>
      </c>
      <c r="B367" t="inlineStr">
        <is>
          <t>PT12989</t>
        </is>
      </c>
      <c r="C367" s="26" t="n">
        <v>45799.66875</v>
      </c>
      <c r="D367" t="inlineStr">
        <is>
          <t>Thu</t>
        </is>
      </c>
      <c r="E367" s="27" t="n">
        <v>16</v>
      </c>
      <c r="F367" t="inlineStr">
        <is>
          <t>Walk-In</t>
        </is>
      </c>
      <c r="G367" s="27" t="n">
        <v>3</v>
      </c>
      <c r="H367" t="inlineStr">
        <is>
          <t>Laceration</t>
        </is>
      </c>
      <c r="I367" t="n">
        <v>109</v>
      </c>
      <c r="J367" t="n">
        <v>128</v>
      </c>
      <c r="K367" s="28">
        <f>I367/J367</f>
        <v/>
      </c>
      <c r="L367" s="27" t="n">
        <v>60</v>
      </c>
      <c r="M367" t="inlineStr">
        <is>
          <t>Left AMA</t>
        </is>
      </c>
    </row>
    <row r="368">
      <c r="A368" t="inlineStr">
        <is>
          <t>ED208632</t>
        </is>
      </c>
      <c r="B368" t="inlineStr">
        <is>
          <t>PT13819</t>
        </is>
      </c>
      <c r="C368" s="26" t="n">
        <v>45800.15277777778</v>
      </c>
      <c r="D368" t="inlineStr">
        <is>
          <t>Fri</t>
        </is>
      </c>
      <c r="E368" s="27" t="n">
        <v>3</v>
      </c>
      <c r="F368" t="inlineStr">
        <is>
          <t>Ambulance</t>
        </is>
      </c>
      <c r="G368" s="27" t="n">
        <v>2</v>
      </c>
      <c r="H368" t="inlineStr">
        <is>
          <t>Painful Urination / Fever</t>
        </is>
      </c>
      <c r="I368" t="n">
        <v>79</v>
      </c>
      <c r="J368" t="n">
        <v>121</v>
      </c>
      <c r="K368" s="28">
        <f>I368/J368</f>
        <v/>
      </c>
      <c r="L368" s="27" t="n">
        <v>14</v>
      </c>
      <c r="M368" t="inlineStr">
        <is>
          <t>Admitted</t>
        </is>
      </c>
    </row>
    <row r="369">
      <c r="A369" t="inlineStr">
        <is>
          <t>ED208633</t>
        </is>
      </c>
      <c r="B369" t="inlineStr">
        <is>
          <t>PT10519</t>
        </is>
      </c>
      <c r="C369" s="26" t="n">
        <v>45800.36041666667</v>
      </c>
      <c r="D369" t="inlineStr">
        <is>
          <t>Fri</t>
        </is>
      </c>
      <c r="E369" s="27" t="n">
        <v>8</v>
      </c>
      <c r="F369" t="inlineStr">
        <is>
          <t>Walk-In</t>
        </is>
      </c>
      <c r="G369" s="27" t="n">
        <v>4</v>
      </c>
      <c r="H369" t="inlineStr">
        <is>
          <t>Headache</t>
        </is>
      </c>
      <c r="I369" t="n">
        <v>80</v>
      </c>
      <c r="J369" t="n">
        <v>177</v>
      </c>
      <c r="K369" s="28">
        <f>I369/J369</f>
        <v/>
      </c>
      <c r="L369" s="27" t="n">
        <v>72</v>
      </c>
      <c r="M369" t="inlineStr">
        <is>
          <t>Discharged</t>
        </is>
      </c>
    </row>
    <row r="370">
      <c r="A370" t="inlineStr">
        <is>
          <t>ED208634</t>
        </is>
      </c>
      <c r="B370" t="inlineStr">
        <is>
          <t>PT11188</t>
        </is>
      </c>
      <c r="C370" s="26" t="n">
        <v>45800.52291666667</v>
      </c>
      <c r="D370" t="inlineStr">
        <is>
          <t>Fri</t>
        </is>
      </c>
      <c r="E370" s="27" t="n">
        <v>12</v>
      </c>
      <c r="F370" t="inlineStr">
        <is>
          <t>Ambulance</t>
        </is>
      </c>
      <c r="G370" s="27" t="n">
        <v>3</v>
      </c>
      <c r="H370" t="inlineStr">
        <is>
          <t>Fainting</t>
        </is>
      </c>
      <c r="I370" t="n">
        <v>83</v>
      </c>
      <c r="J370" t="n">
        <v>154</v>
      </c>
      <c r="K370" s="28">
        <f>I370/J370</f>
        <v/>
      </c>
      <c r="L370" s="27" t="n">
        <v>29</v>
      </c>
      <c r="M370" t="inlineStr">
        <is>
          <t>Discharged</t>
        </is>
      </c>
    </row>
    <row r="371">
      <c r="A371" t="inlineStr">
        <is>
          <t>ED208635</t>
        </is>
      </c>
      <c r="B371" t="inlineStr">
        <is>
          <t>PT10422</t>
        </is>
      </c>
      <c r="C371" s="26" t="n">
        <v>45800.56944444445</v>
      </c>
      <c r="D371" t="inlineStr">
        <is>
          <t>Fri</t>
        </is>
      </c>
      <c r="E371" s="27" t="n">
        <v>13</v>
      </c>
      <c r="F371" t="inlineStr">
        <is>
          <t>Walk-In</t>
        </is>
      </c>
      <c r="G371" s="27" t="n">
        <v>4</v>
      </c>
      <c r="H371" t="inlineStr">
        <is>
          <t>Abdominal Pain</t>
        </is>
      </c>
      <c r="I371" t="n">
        <v>80</v>
      </c>
      <c r="J371" t="n">
        <v>138</v>
      </c>
      <c r="K371" s="28">
        <f>I371/J371</f>
        <v/>
      </c>
      <c r="L371" s="27" t="n">
        <v>55</v>
      </c>
      <c r="M371" t="inlineStr">
        <is>
          <t>Discharged</t>
        </is>
      </c>
    </row>
    <row r="372">
      <c r="A372" t="inlineStr">
        <is>
          <t>ED208636</t>
        </is>
      </c>
      <c r="B372" t="inlineStr">
        <is>
          <t>PT12399</t>
        </is>
      </c>
      <c r="C372" s="26" t="n">
        <v>45800.59583333333</v>
      </c>
      <c r="D372" t="inlineStr">
        <is>
          <t>Fri</t>
        </is>
      </c>
      <c r="E372" s="27" t="n">
        <v>14</v>
      </c>
      <c r="F372" t="inlineStr">
        <is>
          <t>Ambulance</t>
        </is>
      </c>
      <c r="G372" s="27" t="n">
        <v>2</v>
      </c>
      <c r="H372" t="inlineStr">
        <is>
          <t>Palpitations</t>
        </is>
      </c>
      <c r="I372" t="n">
        <v>134</v>
      </c>
      <c r="J372" t="n">
        <v>119</v>
      </c>
      <c r="K372" s="28">
        <f>I372/J372</f>
        <v/>
      </c>
      <c r="L372" s="27" t="n">
        <v>33</v>
      </c>
      <c r="M372" t="inlineStr">
        <is>
          <t>Admitted</t>
        </is>
      </c>
    </row>
    <row r="373">
      <c r="A373" t="inlineStr">
        <is>
          <t>ED208641</t>
        </is>
      </c>
      <c r="B373" t="inlineStr">
        <is>
          <t>PT11437</t>
        </is>
      </c>
      <c r="C373" s="26" t="n">
        <v>45800.64652777778</v>
      </c>
      <c r="D373" t="inlineStr">
        <is>
          <t>Fri</t>
        </is>
      </c>
      <c r="E373" s="27" t="n">
        <v>15</v>
      </c>
      <c r="F373" t="inlineStr">
        <is>
          <t>Ambulance</t>
        </is>
      </c>
      <c r="G373" s="27" t="n">
        <v>2</v>
      </c>
      <c r="H373" t="inlineStr">
        <is>
          <t>Shortness of Breath</t>
        </is>
      </c>
      <c r="I373" t="n">
        <v>122</v>
      </c>
      <c r="J373" t="n">
        <v>127</v>
      </c>
      <c r="K373" s="28">
        <f>I373/J373</f>
        <v/>
      </c>
      <c r="L373" s="27" t="n">
        <v>20</v>
      </c>
      <c r="M373" t="inlineStr">
        <is>
          <t>Admitted</t>
        </is>
      </c>
    </row>
    <row r="374">
      <c r="A374" t="inlineStr">
        <is>
          <t>ED208645</t>
        </is>
      </c>
      <c r="B374" t="inlineStr">
        <is>
          <t>PT10101</t>
        </is>
      </c>
      <c r="C374" s="26" t="n">
        <v>45800.79652777778</v>
      </c>
      <c r="D374" t="inlineStr">
        <is>
          <t>Fri</t>
        </is>
      </c>
      <c r="E374" s="27" t="n">
        <v>19</v>
      </c>
      <c r="F374" t="inlineStr">
        <is>
          <t>Walk-In</t>
        </is>
      </c>
      <c r="G374" s="27" t="n">
        <v>4</v>
      </c>
      <c r="H374" t="inlineStr">
        <is>
          <t>Cough / Fever</t>
        </is>
      </c>
      <c r="I374" t="n">
        <v>120</v>
      </c>
      <c r="J374" t="n">
        <v>117</v>
      </c>
      <c r="K374" s="28">
        <f>I374/J374</f>
        <v/>
      </c>
      <c r="L374" s="27" t="n">
        <v>104</v>
      </c>
      <c r="M374" t="inlineStr">
        <is>
          <t>Discharged</t>
        </is>
      </c>
    </row>
    <row r="375">
      <c r="A375" t="inlineStr">
        <is>
          <t>ED208650</t>
        </is>
      </c>
      <c r="B375" t="inlineStr">
        <is>
          <t>PT10755</t>
        </is>
      </c>
      <c r="C375" s="26" t="n">
        <v>45801.25902777778</v>
      </c>
      <c r="D375" t="inlineStr">
        <is>
          <t>Sat</t>
        </is>
      </c>
      <c r="E375" s="27" t="n">
        <v>6</v>
      </c>
      <c r="F375" t="inlineStr">
        <is>
          <t>Walk-In</t>
        </is>
      </c>
      <c r="G375" s="27" t="n">
        <v>5</v>
      </c>
      <c r="H375" t="inlineStr">
        <is>
          <t>Dizziness</t>
        </is>
      </c>
      <c r="I375" t="n">
        <v>89</v>
      </c>
      <c r="J375" t="n">
        <v>123</v>
      </c>
      <c r="K375" s="28">
        <f>I375/J375</f>
        <v/>
      </c>
      <c r="L375" s="27" t="n">
        <v>88</v>
      </c>
      <c r="M375" t="inlineStr">
        <is>
          <t>Discharged</t>
        </is>
      </c>
    </row>
    <row r="376">
      <c r="A376" t="inlineStr">
        <is>
          <t>ED208652</t>
        </is>
      </c>
      <c r="B376" t="inlineStr">
        <is>
          <t>PT11045</t>
        </is>
      </c>
      <c r="C376" s="26" t="n">
        <v>45801.39166666667</v>
      </c>
      <c r="D376" t="inlineStr">
        <is>
          <t>Sat</t>
        </is>
      </c>
      <c r="E376" s="27" t="n">
        <v>9</v>
      </c>
      <c r="F376" t="inlineStr">
        <is>
          <t>Walk-In</t>
        </is>
      </c>
      <c r="G376" s="27" t="n">
        <v>2</v>
      </c>
      <c r="H376" t="inlineStr">
        <is>
          <t>Painful Urination / Fever</t>
        </is>
      </c>
      <c r="I376" t="n">
        <v>83</v>
      </c>
      <c r="J376" t="n">
        <v>136</v>
      </c>
      <c r="K376" s="28">
        <f>I376/J376</f>
        <v/>
      </c>
      <c r="L376" s="27" t="n">
        <v>6</v>
      </c>
      <c r="M376" t="inlineStr">
        <is>
          <t>Admitted</t>
        </is>
      </c>
    </row>
    <row r="377">
      <c r="A377" t="inlineStr">
        <is>
          <t>ED208659</t>
        </is>
      </c>
      <c r="B377" t="inlineStr">
        <is>
          <t>PT12369</t>
        </is>
      </c>
      <c r="C377" s="26" t="n">
        <v>45801.71597222222</v>
      </c>
      <c r="D377" t="inlineStr">
        <is>
          <t>Sat</t>
        </is>
      </c>
      <c r="E377" s="27" t="n">
        <v>17</v>
      </c>
      <c r="F377" t="inlineStr">
        <is>
          <t>Walk-In</t>
        </is>
      </c>
      <c r="G377" s="27" t="n">
        <v>3</v>
      </c>
      <c r="H377" t="inlineStr">
        <is>
          <t>Cough / Fever</t>
        </is>
      </c>
      <c r="I377" t="n">
        <v>118</v>
      </c>
      <c r="J377" t="n">
        <v>122</v>
      </c>
      <c r="K377" s="28">
        <f>I377/J377</f>
        <v/>
      </c>
      <c r="L377" s="27" t="n">
        <v>35</v>
      </c>
      <c r="M377" t="inlineStr">
        <is>
          <t>Admitted</t>
        </is>
      </c>
    </row>
    <row r="378">
      <c r="A378" s="29" t="inlineStr">
        <is>
          <t>ED208662</t>
        </is>
      </c>
      <c r="B378" s="29" t="inlineStr">
        <is>
          <t>PT11548</t>
        </is>
      </c>
      <c r="C378" s="30" t="n">
        <v>45802.34722222222</v>
      </c>
      <c r="D378" s="29" t="inlineStr">
        <is>
          <t>Sun</t>
        </is>
      </c>
      <c r="E378" s="31" t="n">
        <v>8</v>
      </c>
      <c r="F378" s="29" t="inlineStr">
        <is>
          <t>Walk-In</t>
        </is>
      </c>
      <c r="G378" s="31" t="n">
        <v>2</v>
      </c>
      <c r="H378" s="29" t="inlineStr">
        <is>
          <t>Fever / Altered Mental Status</t>
        </is>
      </c>
      <c r="I378" s="29" t="n">
        <v>111</v>
      </c>
      <c r="J378" s="29" t="n">
        <v>63</v>
      </c>
      <c r="K378" s="32">
        <f>I378/J378</f>
        <v/>
      </c>
      <c r="L378" s="31" t="n">
        <v>18</v>
      </c>
      <c r="M378" s="29" t="inlineStr">
        <is>
          <t>Admitted</t>
        </is>
      </c>
    </row>
    <row r="379">
      <c r="A379" t="inlineStr">
        <is>
          <t>ED208678</t>
        </is>
      </c>
      <c r="B379" t="inlineStr">
        <is>
          <t>PT11798</t>
        </is>
      </c>
      <c r="C379" s="26" t="n">
        <v>45803.38055555556</v>
      </c>
      <c r="D379" t="inlineStr">
        <is>
          <t>Mon</t>
        </is>
      </c>
      <c r="E379" s="27" t="n">
        <v>9</v>
      </c>
      <c r="F379" t="inlineStr">
        <is>
          <t>Ambulance</t>
        </is>
      </c>
      <c r="G379" s="27" t="n">
        <v>2</v>
      </c>
      <c r="H379" t="inlineStr">
        <is>
          <t>Palpitations</t>
        </is>
      </c>
      <c r="I379" t="n">
        <v>120</v>
      </c>
      <c r="J379" t="n">
        <v>136</v>
      </c>
      <c r="K379" s="28">
        <f>I379/J379</f>
        <v/>
      </c>
      <c r="L379" s="27" t="n">
        <v>18</v>
      </c>
      <c r="M379" t="inlineStr">
        <is>
          <t>Admitted</t>
        </is>
      </c>
    </row>
    <row r="380">
      <c r="A380" t="inlineStr">
        <is>
          <t>ED208680</t>
        </is>
      </c>
      <c r="B380" t="inlineStr">
        <is>
          <t>PT10606</t>
        </is>
      </c>
      <c r="C380" s="26" t="n">
        <v>45803.48541666667</v>
      </c>
      <c r="D380" t="inlineStr">
        <is>
          <t>Mon</t>
        </is>
      </c>
      <c r="E380" s="27" t="n">
        <v>11</v>
      </c>
      <c r="F380" t="inlineStr">
        <is>
          <t>Walk-In</t>
        </is>
      </c>
      <c r="G380" s="27" t="n">
        <v>4</v>
      </c>
      <c r="H380" t="inlineStr">
        <is>
          <t>Back Pain</t>
        </is>
      </c>
      <c r="I380" t="n">
        <v>78</v>
      </c>
      <c r="J380" t="n">
        <v>144</v>
      </c>
      <c r="K380" s="28">
        <f>I380/J380</f>
        <v/>
      </c>
      <c r="L380" s="27" t="n">
        <v>47</v>
      </c>
      <c r="M380" t="inlineStr">
        <is>
          <t>Discharged</t>
        </is>
      </c>
    </row>
    <row r="381">
      <c r="A381" t="inlineStr">
        <is>
          <t>ED208682</t>
        </is>
      </c>
      <c r="B381" t="inlineStr">
        <is>
          <t>PT13149</t>
        </is>
      </c>
      <c r="C381" s="26" t="n">
        <v>45803.56666666667</v>
      </c>
      <c r="D381" t="inlineStr">
        <is>
          <t>Mon</t>
        </is>
      </c>
      <c r="E381" s="27" t="n">
        <v>13</v>
      </c>
      <c r="F381" t="inlineStr">
        <is>
          <t>Walk-In</t>
        </is>
      </c>
      <c r="G381" s="27" t="n">
        <v>5</v>
      </c>
      <c r="H381" t="inlineStr">
        <is>
          <t>Vomiting / Diarrhea</t>
        </is>
      </c>
      <c r="I381" t="n">
        <v>106</v>
      </c>
      <c r="J381" t="n">
        <v>82</v>
      </c>
      <c r="K381" s="28">
        <f>I381/J381</f>
        <v/>
      </c>
      <c r="L381" s="27" t="n">
        <v>43</v>
      </c>
      <c r="M381" t="inlineStr">
        <is>
          <t>Admitted</t>
        </is>
      </c>
    </row>
    <row r="382">
      <c r="A382" t="inlineStr">
        <is>
          <t>ED208690</t>
        </is>
      </c>
      <c r="B382" t="inlineStr">
        <is>
          <t>PT10177</t>
        </is>
      </c>
      <c r="C382" s="26" t="n">
        <v>45803.85625</v>
      </c>
      <c r="D382" t="inlineStr">
        <is>
          <t>Mon</t>
        </is>
      </c>
      <c r="E382" s="27" t="n">
        <v>20</v>
      </c>
      <c r="F382" t="inlineStr">
        <is>
          <t>Walk-In</t>
        </is>
      </c>
      <c r="G382" s="27" t="n">
        <v>3</v>
      </c>
      <c r="H382" t="inlineStr">
        <is>
          <t>Headache</t>
        </is>
      </c>
      <c r="I382" t="n">
        <v>78</v>
      </c>
      <c r="J382" t="n">
        <v>129</v>
      </c>
      <c r="K382" s="28">
        <f>I382/J382</f>
        <v/>
      </c>
      <c r="L382" s="27" t="n">
        <v>60</v>
      </c>
      <c r="M382" t="inlineStr">
        <is>
          <t>Discharged</t>
        </is>
      </c>
    </row>
    <row r="383">
      <c r="A383" t="inlineStr">
        <is>
          <t>ED208694</t>
        </is>
      </c>
      <c r="B383" t="inlineStr">
        <is>
          <t>PT12649</t>
        </is>
      </c>
      <c r="C383" s="26" t="n">
        <v>45803.94513888889</v>
      </c>
      <c r="D383" t="inlineStr">
        <is>
          <t>Mon</t>
        </is>
      </c>
      <c r="E383" s="27" t="n">
        <v>22</v>
      </c>
      <c r="F383" t="inlineStr">
        <is>
          <t>Walk-In</t>
        </is>
      </c>
      <c r="G383" s="27" t="n">
        <v>5</v>
      </c>
      <c r="H383" t="inlineStr">
        <is>
          <t>Ankle Injury</t>
        </is>
      </c>
      <c r="I383" t="n">
        <v>78</v>
      </c>
      <c r="J383" t="n">
        <v>130</v>
      </c>
      <c r="K383" s="28">
        <f>I383/J383</f>
        <v/>
      </c>
      <c r="L383" s="27" t="n">
        <v>44</v>
      </c>
      <c r="M383" t="inlineStr">
        <is>
          <t>Discharged</t>
        </is>
      </c>
    </row>
    <row r="384">
      <c r="A384" t="inlineStr">
        <is>
          <t>ED208698</t>
        </is>
      </c>
      <c r="B384" t="inlineStr">
        <is>
          <t>PT13724</t>
        </is>
      </c>
      <c r="C384" s="26" t="n">
        <v>45804.41666666666</v>
      </c>
      <c r="D384" t="inlineStr">
        <is>
          <t>Tue</t>
        </is>
      </c>
      <c r="E384" s="27" t="n">
        <v>10</v>
      </c>
      <c r="F384" t="inlineStr">
        <is>
          <t>Walk-In</t>
        </is>
      </c>
      <c r="G384" s="27" t="n">
        <v>3</v>
      </c>
      <c r="H384" t="inlineStr">
        <is>
          <t>Cough / Fever</t>
        </is>
      </c>
      <c r="I384" t="n">
        <v>98</v>
      </c>
      <c r="J384" t="n">
        <v>114</v>
      </c>
      <c r="K384" s="28">
        <f>I384/J384</f>
        <v/>
      </c>
      <c r="L384" s="27" t="n">
        <v>50</v>
      </c>
      <c r="M384" t="inlineStr">
        <is>
          <t>Discharged</t>
        </is>
      </c>
    </row>
    <row r="385">
      <c r="A385" s="29" t="inlineStr">
        <is>
          <t>ED208708</t>
        </is>
      </c>
      <c r="B385" s="29" t="inlineStr">
        <is>
          <t>PT12860</t>
        </is>
      </c>
      <c r="C385" s="30" t="n">
        <v>45804.99513888889</v>
      </c>
      <c r="D385" s="29" t="inlineStr">
        <is>
          <t>Tue</t>
        </is>
      </c>
      <c r="E385" s="31" t="n">
        <v>23</v>
      </c>
      <c r="F385" s="29" t="inlineStr">
        <is>
          <t>Walk-In</t>
        </is>
      </c>
      <c r="G385" s="31" t="n">
        <v>2</v>
      </c>
      <c r="H385" s="29" t="inlineStr">
        <is>
          <t>Fever / Altered Mental Status</t>
        </is>
      </c>
      <c r="I385" s="29" t="n">
        <v>124</v>
      </c>
      <c r="J385" s="29" t="n">
        <v>112</v>
      </c>
      <c r="K385" s="32">
        <f>I385/J385</f>
        <v/>
      </c>
      <c r="L385" s="31" t="n">
        <v>17</v>
      </c>
      <c r="M385" s="29" t="inlineStr">
        <is>
          <t>Admitted</t>
        </is>
      </c>
    </row>
    <row r="386">
      <c r="A386" t="inlineStr">
        <is>
          <t>ED208719</t>
        </is>
      </c>
      <c r="B386" t="inlineStr">
        <is>
          <t>PT12159</t>
        </is>
      </c>
      <c r="C386" s="26" t="n">
        <v>45805.70277777778</v>
      </c>
      <c r="D386" t="inlineStr">
        <is>
          <t>Wed</t>
        </is>
      </c>
      <c r="E386" s="27" t="n">
        <v>16</v>
      </c>
      <c r="F386" t="inlineStr">
        <is>
          <t>Walk-In</t>
        </is>
      </c>
      <c r="G386" s="27" t="n">
        <v>3</v>
      </c>
      <c r="H386" t="inlineStr">
        <is>
          <t>Confusion</t>
        </is>
      </c>
      <c r="I386" t="n">
        <v>85</v>
      </c>
      <c r="J386" t="n">
        <v>123</v>
      </c>
      <c r="K386" s="28">
        <f>I386/J386</f>
        <v/>
      </c>
      <c r="L386" s="27" t="n">
        <v>40</v>
      </c>
      <c r="M386" t="inlineStr">
        <is>
          <t>Admitted</t>
        </is>
      </c>
    </row>
    <row r="387">
      <c r="A387" t="inlineStr">
        <is>
          <t>ED208724</t>
        </is>
      </c>
      <c r="B387" t="inlineStr">
        <is>
          <t>PT11139</t>
        </is>
      </c>
      <c r="C387" s="26" t="n">
        <v>45805.98819444444</v>
      </c>
      <c r="D387" t="inlineStr">
        <is>
          <t>Wed</t>
        </is>
      </c>
      <c r="E387" s="27" t="n">
        <v>23</v>
      </c>
      <c r="F387" t="inlineStr">
        <is>
          <t>Walk-In</t>
        </is>
      </c>
      <c r="G387" s="27" t="n">
        <v>3</v>
      </c>
      <c r="H387" t="inlineStr">
        <is>
          <t>Skin Redness / Swelling</t>
        </is>
      </c>
      <c r="I387" t="n">
        <v>77</v>
      </c>
      <c r="J387" t="n">
        <v>131</v>
      </c>
      <c r="K387" s="28">
        <f>I387/J387</f>
        <v/>
      </c>
      <c r="L387" s="27" t="n">
        <v>59</v>
      </c>
      <c r="M387" t="inlineStr">
        <is>
          <t>Admitted</t>
        </is>
      </c>
    </row>
    <row r="388">
      <c r="A388" t="inlineStr">
        <is>
          <t>ED208725</t>
        </is>
      </c>
      <c r="B388" t="inlineStr">
        <is>
          <t>PT13715</t>
        </is>
      </c>
      <c r="C388" s="26" t="n">
        <v>45806.11736111111</v>
      </c>
      <c r="D388" t="inlineStr">
        <is>
          <t>Thu</t>
        </is>
      </c>
      <c r="E388" s="27" t="n">
        <v>2</v>
      </c>
      <c r="F388" t="inlineStr">
        <is>
          <t>Walk-In</t>
        </is>
      </c>
      <c r="G388" s="27" t="n">
        <v>3</v>
      </c>
      <c r="H388" t="inlineStr">
        <is>
          <t>Abdominal Pain</t>
        </is>
      </c>
      <c r="I388" t="n">
        <v>84</v>
      </c>
      <c r="J388" t="n">
        <v>127</v>
      </c>
      <c r="K388" s="28">
        <f>I388/J388</f>
        <v/>
      </c>
      <c r="L388" s="27" t="n">
        <v>34</v>
      </c>
      <c r="M388" t="inlineStr">
        <is>
          <t>Discharged</t>
        </is>
      </c>
    </row>
    <row r="389">
      <c r="A389" t="inlineStr">
        <is>
          <t>ED208754</t>
        </is>
      </c>
      <c r="B389" t="inlineStr">
        <is>
          <t>PT12410</t>
        </is>
      </c>
      <c r="C389" s="26" t="n">
        <v>45808.48541666667</v>
      </c>
      <c r="D389" t="inlineStr">
        <is>
          <t>Sat</t>
        </is>
      </c>
      <c r="E389" s="27" t="n">
        <v>11</v>
      </c>
      <c r="F389" t="inlineStr">
        <is>
          <t>Walk-In</t>
        </is>
      </c>
      <c r="G389" s="27" t="n">
        <v>3</v>
      </c>
      <c r="H389" t="inlineStr">
        <is>
          <t>Chest Pain</t>
        </is>
      </c>
      <c r="I389" t="n">
        <v>95</v>
      </c>
      <c r="J389" t="n">
        <v>154</v>
      </c>
      <c r="K389" s="28">
        <f>I389/J389</f>
        <v/>
      </c>
      <c r="L389" s="27" t="n">
        <v>134</v>
      </c>
      <c r="M389" t="inlineStr">
        <is>
          <t>Discharged</t>
        </is>
      </c>
    </row>
    <row r="390">
      <c r="A390" t="inlineStr">
        <is>
          <t>ED208765</t>
        </is>
      </c>
      <c r="B390" t="inlineStr">
        <is>
          <t>PT11427</t>
        </is>
      </c>
      <c r="C390" s="26" t="n">
        <v>45809.42291666667</v>
      </c>
      <c r="D390" t="inlineStr">
        <is>
          <t>Sun</t>
        </is>
      </c>
      <c r="E390" s="27" t="n">
        <v>10</v>
      </c>
      <c r="F390" t="inlineStr">
        <is>
          <t>Walk-In</t>
        </is>
      </c>
      <c r="G390" s="27" t="n">
        <v>2</v>
      </c>
      <c r="H390" t="inlineStr">
        <is>
          <t>Shortness of Breath</t>
        </is>
      </c>
      <c r="I390" t="n">
        <v>94</v>
      </c>
      <c r="J390" t="n">
        <v>118</v>
      </c>
      <c r="K390" s="28">
        <f>I390/J390</f>
        <v/>
      </c>
      <c r="L390" s="27" t="n">
        <v>29</v>
      </c>
      <c r="M390" t="inlineStr">
        <is>
          <t>Discharged</t>
        </is>
      </c>
    </row>
    <row r="391">
      <c r="A391" t="inlineStr">
        <is>
          <t>ED208766</t>
        </is>
      </c>
      <c r="B391" t="inlineStr">
        <is>
          <t>PT10398</t>
        </is>
      </c>
      <c r="C391" s="26" t="n">
        <v>45809.49722222222</v>
      </c>
      <c r="D391" t="inlineStr">
        <is>
          <t>Sun</t>
        </is>
      </c>
      <c r="E391" s="27" t="n">
        <v>11</v>
      </c>
      <c r="F391" t="inlineStr">
        <is>
          <t>Ambulance</t>
        </is>
      </c>
      <c r="G391" s="27" t="n">
        <v>2</v>
      </c>
      <c r="H391" t="inlineStr">
        <is>
          <t>Chest Pain</t>
        </is>
      </c>
      <c r="I391" t="n">
        <v>86</v>
      </c>
      <c r="J391" t="n">
        <v>132</v>
      </c>
      <c r="K391" s="28">
        <f>I391/J391</f>
        <v/>
      </c>
      <c r="L391" s="27" t="n">
        <v>10</v>
      </c>
      <c r="M391" t="inlineStr">
        <is>
          <t>Discharged</t>
        </is>
      </c>
    </row>
    <row r="392">
      <c r="A392" t="inlineStr">
        <is>
          <t>ED208773</t>
        </is>
      </c>
      <c r="B392" t="inlineStr">
        <is>
          <t>PT12537</t>
        </is>
      </c>
      <c r="C392" s="26" t="n">
        <v>45809.68402777778</v>
      </c>
      <c r="D392" t="inlineStr">
        <is>
          <t>Sun</t>
        </is>
      </c>
      <c r="E392" s="27" t="n">
        <v>16</v>
      </c>
      <c r="F392" t="inlineStr">
        <is>
          <t>Walk-In</t>
        </is>
      </c>
      <c r="G392" s="27" t="n">
        <v>4</v>
      </c>
      <c r="H392" t="inlineStr">
        <is>
          <t>Chest Pain</t>
        </is>
      </c>
      <c r="I392" t="n">
        <v>104</v>
      </c>
      <c r="J392" t="n">
        <v>161</v>
      </c>
      <c r="K392" s="28">
        <f>I392/J392</f>
        <v/>
      </c>
      <c r="L392" s="27" t="n">
        <v>51</v>
      </c>
      <c r="M392" t="inlineStr">
        <is>
          <t>Discharged</t>
        </is>
      </c>
    </row>
    <row r="393">
      <c r="A393" t="inlineStr">
        <is>
          <t>ED208789</t>
        </is>
      </c>
      <c r="B393" t="inlineStr">
        <is>
          <t>PT12917</t>
        </is>
      </c>
      <c r="C393" s="26" t="n">
        <v>45810.77083333334</v>
      </c>
      <c r="D393" t="inlineStr">
        <is>
          <t>Mon</t>
        </is>
      </c>
      <c r="E393" s="27" t="n">
        <v>18</v>
      </c>
      <c r="F393" t="inlineStr">
        <is>
          <t>Walk-In</t>
        </is>
      </c>
      <c r="G393" s="27" t="n">
        <v>3</v>
      </c>
      <c r="H393" t="inlineStr">
        <is>
          <t>Shortness of Breath</t>
        </is>
      </c>
      <c r="I393" t="n">
        <v>137</v>
      </c>
      <c r="J393" t="n">
        <v>160</v>
      </c>
      <c r="K393" s="28">
        <f>I393/J393</f>
        <v/>
      </c>
      <c r="L393" s="27" t="n">
        <v>159</v>
      </c>
      <c r="M393" t="inlineStr">
        <is>
          <t>Admitted</t>
        </is>
      </c>
    </row>
    <row r="394">
      <c r="A394" t="inlineStr">
        <is>
          <t>ED208809</t>
        </is>
      </c>
      <c r="B394" t="inlineStr">
        <is>
          <t>PT12410</t>
        </is>
      </c>
      <c r="C394" s="26" t="n">
        <v>45811.86319444444</v>
      </c>
      <c r="D394" t="inlineStr">
        <is>
          <t>Tue</t>
        </is>
      </c>
      <c r="E394" s="27" t="n">
        <v>20</v>
      </c>
      <c r="F394" t="inlineStr">
        <is>
          <t>Walk-In</t>
        </is>
      </c>
      <c r="G394" s="27" t="n">
        <v>3</v>
      </c>
      <c r="H394" t="inlineStr">
        <is>
          <t>Nausea</t>
        </is>
      </c>
      <c r="I394" t="n">
        <v>78</v>
      </c>
      <c r="J394" t="n">
        <v>128</v>
      </c>
      <c r="K394" s="28">
        <f>I394/J394</f>
        <v/>
      </c>
      <c r="L394" s="27" t="n">
        <v>41</v>
      </c>
      <c r="M394" t="inlineStr">
        <is>
          <t>Discharged</t>
        </is>
      </c>
    </row>
    <row r="395">
      <c r="A395" t="inlineStr">
        <is>
          <t>ED208827</t>
        </is>
      </c>
      <c r="B395" t="inlineStr">
        <is>
          <t>PT13311</t>
        </is>
      </c>
      <c r="C395" s="26" t="n">
        <v>45812.64444444444</v>
      </c>
      <c r="D395" t="inlineStr">
        <is>
          <t>Wed</t>
        </is>
      </c>
      <c r="E395" s="27" t="n">
        <v>15</v>
      </c>
      <c r="F395" t="inlineStr">
        <is>
          <t>Walk-In</t>
        </is>
      </c>
      <c r="G395" s="27" t="n">
        <v>3</v>
      </c>
      <c r="H395" t="inlineStr">
        <is>
          <t>High Blood Sugar</t>
        </is>
      </c>
      <c r="I395" t="n">
        <v>78</v>
      </c>
      <c r="J395" t="n">
        <v>130</v>
      </c>
      <c r="K395" s="28">
        <f>I395/J395</f>
        <v/>
      </c>
      <c r="L395" s="27" t="n">
        <v>55</v>
      </c>
      <c r="M395" t="inlineStr">
        <is>
          <t>Discharged</t>
        </is>
      </c>
    </row>
    <row r="396">
      <c r="A396" t="inlineStr">
        <is>
          <t>ED208831</t>
        </is>
      </c>
      <c r="B396" t="inlineStr">
        <is>
          <t>PT11716</t>
        </is>
      </c>
      <c r="C396" s="26" t="n">
        <v>45812.84513888889</v>
      </c>
      <c r="D396" t="inlineStr">
        <is>
          <t>Wed</t>
        </is>
      </c>
      <c r="E396" s="27" t="n">
        <v>20</v>
      </c>
      <c r="F396" t="inlineStr">
        <is>
          <t>Walk-In</t>
        </is>
      </c>
      <c r="G396" s="27" t="n">
        <v>3</v>
      </c>
      <c r="H396" t="inlineStr">
        <is>
          <t>Palpitations</t>
        </is>
      </c>
      <c r="I396" t="n">
        <v>109</v>
      </c>
      <c r="J396" t="n">
        <v>122</v>
      </c>
      <c r="K396" s="28">
        <f>I396/J396</f>
        <v/>
      </c>
      <c r="L396" s="27" t="n">
        <v>48</v>
      </c>
      <c r="M396" t="inlineStr">
        <is>
          <t>Admitted</t>
        </is>
      </c>
    </row>
    <row r="397">
      <c r="A397" t="inlineStr">
        <is>
          <t>ED208832</t>
        </is>
      </c>
      <c r="B397" t="inlineStr">
        <is>
          <t>PT10893</t>
        </is>
      </c>
      <c r="C397" s="26" t="n">
        <v>45812.85763888889</v>
      </c>
      <c r="D397" t="inlineStr">
        <is>
          <t>Wed</t>
        </is>
      </c>
      <c r="E397" s="27" t="n">
        <v>20</v>
      </c>
      <c r="F397" t="inlineStr">
        <is>
          <t>Walk-In</t>
        </is>
      </c>
      <c r="G397" s="27" t="n">
        <v>5</v>
      </c>
      <c r="H397" t="inlineStr">
        <is>
          <t>Cough / Fever</t>
        </is>
      </c>
      <c r="I397" t="n">
        <v>91</v>
      </c>
      <c r="K397" s="28">
        <f>I397/J397</f>
        <v/>
      </c>
      <c r="L397" s="27" t="n"/>
      <c r="M397" t="inlineStr">
        <is>
          <t>LWBS</t>
        </is>
      </c>
    </row>
    <row r="398">
      <c r="A398" t="inlineStr">
        <is>
          <t>ED208849</t>
        </is>
      </c>
      <c r="B398" t="inlineStr">
        <is>
          <t>PT11837</t>
        </is>
      </c>
      <c r="C398" s="26" t="n">
        <v>45814.38472222222</v>
      </c>
      <c r="D398" t="inlineStr">
        <is>
          <t>Fri</t>
        </is>
      </c>
      <c r="E398" s="27" t="n">
        <v>9</v>
      </c>
      <c r="F398" t="inlineStr">
        <is>
          <t>Walk-In</t>
        </is>
      </c>
      <c r="G398" s="27" t="n">
        <v>5</v>
      </c>
      <c r="H398" t="inlineStr">
        <is>
          <t>Cough / Fever</t>
        </is>
      </c>
      <c r="I398" t="n">
        <v>88</v>
      </c>
      <c r="J398" t="n">
        <v>148</v>
      </c>
      <c r="K398" s="28">
        <f>I398/J398</f>
        <v/>
      </c>
      <c r="L398" s="27" t="n">
        <v>83</v>
      </c>
      <c r="M398" t="inlineStr">
        <is>
          <t>Discharged</t>
        </is>
      </c>
    </row>
    <row r="399">
      <c r="A399" t="inlineStr">
        <is>
          <t>ED208862</t>
        </is>
      </c>
      <c r="B399" t="inlineStr">
        <is>
          <t>PT11348</t>
        </is>
      </c>
      <c r="C399" s="26" t="n">
        <v>45814.70555555556</v>
      </c>
      <c r="D399" t="inlineStr">
        <is>
          <t>Fri</t>
        </is>
      </c>
      <c r="E399" s="27" t="n">
        <v>16</v>
      </c>
      <c r="F399" t="inlineStr">
        <is>
          <t>Walk-In</t>
        </is>
      </c>
      <c r="G399" s="27" t="n">
        <v>3</v>
      </c>
      <c r="H399" t="inlineStr">
        <is>
          <t>Back Pain</t>
        </is>
      </c>
      <c r="I399" t="n">
        <v>97</v>
      </c>
      <c r="J399" t="n">
        <v>171</v>
      </c>
      <c r="K399" s="28">
        <f>I399/J399</f>
        <v/>
      </c>
      <c r="L399" s="27" t="n">
        <v>46</v>
      </c>
      <c r="M399" t="inlineStr">
        <is>
          <t>Observation</t>
        </is>
      </c>
    </row>
    <row r="400">
      <c r="A400" t="inlineStr">
        <is>
          <t>ED208872</t>
        </is>
      </c>
      <c r="B400" t="inlineStr">
        <is>
          <t>PT12636</t>
        </is>
      </c>
      <c r="C400" s="26" t="n">
        <v>45815.65555555555</v>
      </c>
      <c r="D400" t="inlineStr">
        <is>
          <t>Sat</t>
        </is>
      </c>
      <c r="E400" s="27" t="n">
        <v>15</v>
      </c>
      <c r="F400" t="inlineStr">
        <is>
          <t>Walk-In</t>
        </is>
      </c>
      <c r="G400" s="27" t="n">
        <v>3</v>
      </c>
      <c r="H400" t="inlineStr">
        <is>
          <t>Skin Redness / Swelling</t>
        </is>
      </c>
      <c r="I400" t="n">
        <v>94</v>
      </c>
      <c r="J400" t="n">
        <v>156</v>
      </c>
      <c r="K400" s="28">
        <f>I400/J400</f>
        <v/>
      </c>
      <c r="L400" s="27" t="n">
        <v>33</v>
      </c>
      <c r="M400" t="inlineStr">
        <is>
          <t>Admitted</t>
        </is>
      </c>
    </row>
    <row r="401">
      <c r="A401" t="inlineStr">
        <is>
          <t>ED208873</t>
        </is>
      </c>
      <c r="B401" t="inlineStr">
        <is>
          <t>PT10971</t>
        </is>
      </c>
      <c r="C401" s="26" t="n">
        <v>45815.68125</v>
      </c>
      <c r="D401" t="inlineStr">
        <is>
          <t>Sat</t>
        </is>
      </c>
      <c r="E401" s="27" t="n">
        <v>16</v>
      </c>
      <c r="F401" t="inlineStr">
        <is>
          <t>Walk-In</t>
        </is>
      </c>
      <c r="G401" s="27" t="n">
        <v>4</v>
      </c>
      <c r="H401" t="inlineStr">
        <is>
          <t>Back Pain</t>
        </is>
      </c>
      <c r="I401" t="n">
        <v>79</v>
      </c>
      <c r="J401" t="n">
        <v>136</v>
      </c>
      <c r="K401" s="28">
        <f>I401/J401</f>
        <v/>
      </c>
      <c r="L401" s="27" t="n">
        <v>93</v>
      </c>
      <c r="M401" t="inlineStr">
        <is>
          <t>Discharged</t>
        </is>
      </c>
    </row>
    <row r="402">
      <c r="A402" s="29" t="inlineStr">
        <is>
          <t>ED208874</t>
        </is>
      </c>
      <c r="B402" s="29" t="inlineStr">
        <is>
          <t>PT12076</t>
        </is>
      </c>
      <c r="C402" s="30" t="n">
        <v>45815.68958333333</v>
      </c>
      <c r="D402" s="29" t="inlineStr">
        <is>
          <t>Sat</t>
        </is>
      </c>
      <c r="E402" s="31" t="n">
        <v>16</v>
      </c>
      <c r="F402" s="29" t="inlineStr">
        <is>
          <t>Walk-In</t>
        </is>
      </c>
      <c r="G402" s="31" t="n">
        <v>3</v>
      </c>
      <c r="H402" s="29" t="inlineStr">
        <is>
          <t>Cough / Fever</t>
        </is>
      </c>
      <c r="I402" s="29" t="n">
        <v>123</v>
      </c>
      <c r="J402" s="29" t="n">
        <v>132</v>
      </c>
      <c r="K402" s="32">
        <f>I402/J402</f>
        <v/>
      </c>
      <c r="L402" s="31" t="n">
        <v>52</v>
      </c>
      <c r="M402" s="29" t="inlineStr">
        <is>
          <t>Discharged</t>
        </is>
      </c>
    </row>
    <row r="403">
      <c r="A403" t="inlineStr">
        <is>
          <t>ED208882</t>
        </is>
      </c>
      <c r="B403" t="inlineStr">
        <is>
          <t>PT10258</t>
        </is>
      </c>
      <c r="C403" s="26" t="n">
        <v>45816.50138888889</v>
      </c>
      <c r="D403" t="inlineStr">
        <is>
          <t>Sun</t>
        </is>
      </c>
      <c r="E403" s="27" t="n">
        <v>12</v>
      </c>
      <c r="F403" t="inlineStr">
        <is>
          <t>Walk-In</t>
        </is>
      </c>
      <c r="G403" s="27" t="n">
        <v>3</v>
      </c>
      <c r="H403" t="inlineStr">
        <is>
          <t>Abdominal Pain</t>
        </is>
      </c>
      <c r="I403" t="n">
        <v>71</v>
      </c>
      <c r="J403" t="n">
        <v>146</v>
      </c>
      <c r="K403" s="28">
        <f>I403/J403</f>
        <v/>
      </c>
      <c r="L403" s="27" t="n">
        <v>34</v>
      </c>
      <c r="M403" t="inlineStr">
        <is>
          <t>Discharged</t>
        </is>
      </c>
    </row>
    <row r="404">
      <c r="A404" s="29" t="inlineStr">
        <is>
          <t>ED208883</t>
        </is>
      </c>
      <c r="B404" s="29" t="inlineStr">
        <is>
          <t>PT11920</t>
        </is>
      </c>
      <c r="C404" s="30" t="n">
        <v>45816.53055555555</v>
      </c>
      <c r="D404" s="29" t="inlineStr">
        <is>
          <t>Sun</t>
        </is>
      </c>
      <c r="E404" s="31" t="n">
        <v>12</v>
      </c>
      <c r="F404" s="29" t="inlineStr">
        <is>
          <t>Walk-In</t>
        </is>
      </c>
      <c r="G404" s="31" t="n">
        <v>4</v>
      </c>
      <c r="H404" s="29" t="inlineStr">
        <is>
          <t>Cough / Fever</t>
        </is>
      </c>
      <c r="I404" s="29" t="n">
        <v>102</v>
      </c>
      <c r="J404" s="29" t="n">
        <v>109</v>
      </c>
      <c r="K404" s="32">
        <f>I404/J404</f>
        <v/>
      </c>
      <c r="L404" s="31" t="n">
        <v>151</v>
      </c>
      <c r="M404" s="29" t="inlineStr">
        <is>
          <t>Discharged</t>
        </is>
      </c>
    </row>
    <row r="405">
      <c r="A405" t="inlineStr">
        <is>
          <t>ED208885</t>
        </is>
      </c>
      <c r="B405" t="inlineStr">
        <is>
          <t>PT13657</t>
        </is>
      </c>
      <c r="C405" s="26" t="n">
        <v>45816.56180555555</v>
      </c>
      <c r="D405" t="inlineStr">
        <is>
          <t>Sun</t>
        </is>
      </c>
      <c r="E405" s="27" t="n">
        <v>13</v>
      </c>
      <c r="F405" t="inlineStr">
        <is>
          <t>Ambulance</t>
        </is>
      </c>
      <c r="G405" s="27" t="n">
        <v>4</v>
      </c>
      <c r="H405" t="inlineStr">
        <is>
          <t>Painful Urination / Fever</t>
        </is>
      </c>
      <c r="I405" t="n">
        <v>88</v>
      </c>
      <c r="J405" t="n">
        <v>126</v>
      </c>
      <c r="K405" s="28">
        <f>I405/J405</f>
        <v/>
      </c>
      <c r="L405" s="27" t="n">
        <v>30</v>
      </c>
      <c r="M405" t="inlineStr">
        <is>
          <t>Discharged</t>
        </is>
      </c>
    </row>
    <row r="406">
      <c r="A406" t="inlineStr">
        <is>
          <t>ED208887</t>
        </is>
      </c>
      <c r="B406" t="inlineStr">
        <is>
          <t>PT11889</t>
        </is>
      </c>
      <c r="C406" s="26" t="n">
        <v>45816.60972222222</v>
      </c>
      <c r="D406" t="inlineStr">
        <is>
          <t>Sun</t>
        </is>
      </c>
      <c r="E406" s="27" t="n">
        <v>14</v>
      </c>
      <c r="F406" t="inlineStr">
        <is>
          <t>Walk-In</t>
        </is>
      </c>
      <c r="G406" s="27" t="n">
        <v>4</v>
      </c>
      <c r="H406" t="inlineStr">
        <is>
          <t>Back Pain</t>
        </is>
      </c>
      <c r="I406" t="n">
        <v>100</v>
      </c>
      <c r="J406" t="n">
        <v>120</v>
      </c>
      <c r="K406" s="28">
        <f>I406/J406</f>
        <v/>
      </c>
      <c r="L406" s="27" t="n">
        <v>38</v>
      </c>
      <c r="M406" t="inlineStr">
        <is>
          <t>Discharged</t>
        </is>
      </c>
    </row>
    <row r="407">
      <c r="A407" t="inlineStr">
        <is>
          <t>ED208889</t>
        </is>
      </c>
      <c r="B407" t="inlineStr">
        <is>
          <t>PT10438</t>
        </is>
      </c>
      <c r="C407" s="26" t="n">
        <v>45816.63055555556</v>
      </c>
      <c r="D407" t="inlineStr">
        <is>
          <t>Sun</t>
        </is>
      </c>
      <c r="E407" s="27" t="n">
        <v>15</v>
      </c>
      <c r="F407" t="inlineStr">
        <is>
          <t>Ambulance</t>
        </is>
      </c>
      <c r="G407" s="27" t="n">
        <v>3</v>
      </c>
      <c r="H407" t="inlineStr">
        <is>
          <t>Shortness of Breath</t>
        </is>
      </c>
      <c r="I407" t="n">
        <v>93</v>
      </c>
      <c r="J407" t="n">
        <v>108</v>
      </c>
      <c r="K407" s="28">
        <f>I407/J407</f>
        <v/>
      </c>
      <c r="L407" s="27" t="n">
        <v>45</v>
      </c>
      <c r="M407" t="inlineStr">
        <is>
          <t>Discharged</t>
        </is>
      </c>
    </row>
    <row r="408">
      <c r="A408" t="inlineStr">
        <is>
          <t>ED208894</t>
        </is>
      </c>
      <c r="B408" t="inlineStr">
        <is>
          <t>PT13330</t>
        </is>
      </c>
      <c r="C408" s="26" t="n">
        <v>45816.81527777778</v>
      </c>
      <c r="D408" t="inlineStr">
        <is>
          <t>Sun</t>
        </is>
      </c>
      <c r="E408" s="27" t="n">
        <v>19</v>
      </c>
      <c r="F408" t="inlineStr">
        <is>
          <t>Walk-In</t>
        </is>
      </c>
      <c r="G408" s="27" t="n">
        <v>4</v>
      </c>
      <c r="H408" t="inlineStr">
        <is>
          <t>Dizziness</t>
        </is>
      </c>
      <c r="I408" t="n">
        <v>68</v>
      </c>
      <c r="J408" t="n">
        <v>113</v>
      </c>
      <c r="K408" s="28">
        <f>I408/J408</f>
        <v/>
      </c>
      <c r="L408" s="27" t="n">
        <v>69</v>
      </c>
      <c r="M408" t="inlineStr">
        <is>
          <t>Discharged</t>
        </is>
      </c>
    </row>
    <row r="409">
      <c r="A409" t="inlineStr">
        <is>
          <t>ED208901</t>
        </is>
      </c>
      <c r="B409" t="inlineStr">
        <is>
          <t>PT11301</t>
        </is>
      </c>
      <c r="C409" s="26" t="n">
        <v>45817.47222222222</v>
      </c>
      <c r="D409" t="inlineStr">
        <is>
          <t>Mon</t>
        </is>
      </c>
      <c r="E409" s="27" t="n">
        <v>11</v>
      </c>
      <c r="F409" t="inlineStr">
        <is>
          <t>Walk-In</t>
        </is>
      </c>
      <c r="G409" s="27" t="n">
        <v>3</v>
      </c>
      <c r="H409" t="inlineStr">
        <is>
          <t>Chest Pain</t>
        </is>
      </c>
      <c r="I409" t="n">
        <v>87</v>
      </c>
      <c r="J409" t="n">
        <v>166</v>
      </c>
      <c r="K409" s="28">
        <f>I409/J409</f>
        <v/>
      </c>
      <c r="L409" s="27" t="n">
        <v>55</v>
      </c>
      <c r="M409" t="inlineStr">
        <is>
          <t>Discharged</t>
        </is>
      </c>
    </row>
    <row r="410">
      <c r="A410" t="inlineStr">
        <is>
          <t>ED208911</t>
        </is>
      </c>
      <c r="B410" t="inlineStr">
        <is>
          <t>PT10986</t>
        </is>
      </c>
      <c r="C410" s="26" t="n">
        <v>45818.34652777778</v>
      </c>
      <c r="D410" t="inlineStr">
        <is>
          <t>Tue</t>
        </is>
      </c>
      <c r="E410" s="27" t="n">
        <v>8</v>
      </c>
      <c r="F410" t="inlineStr">
        <is>
          <t>Walk-In</t>
        </is>
      </c>
      <c r="G410" s="27" t="n">
        <v>5</v>
      </c>
      <c r="H410" t="inlineStr">
        <is>
          <t>Ankle Injury</t>
        </is>
      </c>
      <c r="I410" t="n">
        <v>100</v>
      </c>
      <c r="J410" t="n">
        <v>133</v>
      </c>
      <c r="K410" s="28">
        <f>I410/J410</f>
        <v/>
      </c>
      <c r="L410" s="27" t="n">
        <v>68</v>
      </c>
      <c r="M410" t="inlineStr">
        <is>
          <t>Discharged</t>
        </is>
      </c>
    </row>
    <row r="411">
      <c r="A411" t="inlineStr">
        <is>
          <t>ED208914</t>
        </is>
      </c>
      <c r="B411" t="inlineStr">
        <is>
          <t>PT11401</t>
        </is>
      </c>
      <c r="C411" s="26" t="n">
        <v>45818.46736111111</v>
      </c>
      <c r="D411" t="inlineStr">
        <is>
          <t>Tue</t>
        </is>
      </c>
      <c r="E411" s="27" t="n">
        <v>11</v>
      </c>
      <c r="F411" t="inlineStr">
        <is>
          <t>Walk-In</t>
        </is>
      </c>
      <c r="G411" s="27" t="n">
        <v>4</v>
      </c>
      <c r="H411" t="inlineStr">
        <is>
          <t>Abdominal Pain</t>
        </is>
      </c>
      <c r="I411" t="n">
        <v>88</v>
      </c>
      <c r="J411" t="n">
        <v>145</v>
      </c>
      <c r="K411" s="28">
        <f>I411/J411</f>
        <v/>
      </c>
      <c r="L411" s="27" t="n">
        <v>43</v>
      </c>
      <c r="M411" t="inlineStr">
        <is>
          <t>Discharged</t>
        </is>
      </c>
    </row>
    <row r="412">
      <c r="A412" t="inlineStr">
        <is>
          <t>ED208915</t>
        </is>
      </c>
      <c r="B412" t="inlineStr">
        <is>
          <t>PT10966</t>
        </is>
      </c>
      <c r="C412" s="26" t="n">
        <v>45818.47847222222</v>
      </c>
      <c r="D412" t="inlineStr">
        <is>
          <t>Tue</t>
        </is>
      </c>
      <c r="E412" s="27" t="n">
        <v>11</v>
      </c>
      <c r="F412" t="inlineStr">
        <is>
          <t>Walk-In</t>
        </is>
      </c>
      <c r="G412" s="27" t="n">
        <v>4</v>
      </c>
      <c r="H412" t="inlineStr">
        <is>
          <t>Painful Urination / Fever</t>
        </is>
      </c>
      <c r="I412" t="n">
        <v>78</v>
      </c>
      <c r="J412" t="n">
        <v>132</v>
      </c>
      <c r="K412" s="28">
        <f>I412/J412</f>
        <v/>
      </c>
      <c r="L412" s="27" t="n">
        <v>89</v>
      </c>
      <c r="M412" t="inlineStr">
        <is>
          <t>Discharged</t>
        </is>
      </c>
    </row>
    <row r="413">
      <c r="A413" t="inlineStr">
        <is>
          <t>ED208922</t>
        </is>
      </c>
      <c r="B413" t="inlineStr">
        <is>
          <t>PT13847</t>
        </is>
      </c>
      <c r="C413" s="26" t="n">
        <v>45818.87013888889</v>
      </c>
      <c r="D413" t="inlineStr">
        <is>
          <t>Tue</t>
        </is>
      </c>
      <c r="E413" s="27" t="n">
        <v>20</v>
      </c>
      <c r="F413" t="inlineStr">
        <is>
          <t>Walk-In</t>
        </is>
      </c>
      <c r="G413" s="27" t="n">
        <v>3</v>
      </c>
      <c r="H413" t="inlineStr">
        <is>
          <t>Chest Pain</t>
        </is>
      </c>
      <c r="I413" t="n">
        <v>98</v>
      </c>
      <c r="J413" t="n">
        <v>165</v>
      </c>
      <c r="K413" s="28">
        <f>I413/J413</f>
        <v/>
      </c>
      <c r="L413" s="27" t="n">
        <v>119</v>
      </c>
      <c r="M413" t="inlineStr">
        <is>
          <t>Observation</t>
        </is>
      </c>
    </row>
    <row r="414">
      <c r="A414" t="inlineStr">
        <is>
          <t>ED208925</t>
        </is>
      </c>
      <c r="B414" t="inlineStr">
        <is>
          <t>PT10101</t>
        </is>
      </c>
      <c r="C414" s="26" t="n">
        <v>45819.14930555555</v>
      </c>
      <c r="D414" t="inlineStr">
        <is>
          <t>Wed</t>
        </is>
      </c>
      <c r="E414" s="27" t="n">
        <v>3</v>
      </c>
      <c r="F414" t="inlineStr">
        <is>
          <t>Walk-In</t>
        </is>
      </c>
      <c r="G414" s="27" t="n">
        <v>3</v>
      </c>
      <c r="H414" t="inlineStr">
        <is>
          <t>Vomiting / Dizziness</t>
        </is>
      </c>
      <c r="I414" t="n">
        <v>91</v>
      </c>
      <c r="J414" t="n">
        <v>163</v>
      </c>
      <c r="K414" s="28">
        <f>I414/J414</f>
        <v/>
      </c>
      <c r="L414" s="27" t="n">
        <v>22</v>
      </c>
      <c r="M414" t="inlineStr">
        <is>
          <t>Discharged</t>
        </is>
      </c>
    </row>
    <row r="415">
      <c r="A415" t="inlineStr">
        <is>
          <t>ED208931</t>
        </is>
      </c>
      <c r="B415" t="inlineStr">
        <is>
          <t>PT13377</t>
        </is>
      </c>
      <c r="C415" s="26" t="n">
        <v>45819.56736111111</v>
      </c>
      <c r="D415" t="inlineStr">
        <is>
          <t>Wed</t>
        </is>
      </c>
      <c r="E415" s="27" t="n">
        <v>13</v>
      </c>
      <c r="F415" t="inlineStr">
        <is>
          <t>Walk-In</t>
        </is>
      </c>
      <c r="G415" s="27" t="n">
        <v>4</v>
      </c>
      <c r="H415" t="inlineStr">
        <is>
          <t>Vomiting / Dizziness</t>
        </is>
      </c>
      <c r="I415" t="n">
        <v>90</v>
      </c>
      <c r="J415" t="n">
        <v>146</v>
      </c>
      <c r="K415" s="28">
        <f>I415/J415</f>
        <v/>
      </c>
      <c r="L415" s="27" t="n">
        <v>66</v>
      </c>
      <c r="M415" t="inlineStr">
        <is>
          <t>Discharged</t>
        </is>
      </c>
    </row>
    <row r="416">
      <c r="A416" t="inlineStr">
        <is>
          <t>ED208932</t>
        </is>
      </c>
      <c r="B416" t="inlineStr">
        <is>
          <t>PT11492</t>
        </is>
      </c>
      <c r="C416" s="26" t="n">
        <v>45819.57013888889</v>
      </c>
      <c r="D416" t="inlineStr">
        <is>
          <t>Wed</t>
        </is>
      </c>
      <c r="E416" s="27" t="n">
        <v>13</v>
      </c>
      <c r="F416" t="inlineStr">
        <is>
          <t>Walk-In</t>
        </is>
      </c>
      <c r="G416" s="27" t="n">
        <v>2</v>
      </c>
      <c r="H416" t="inlineStr">
        <is>
          <t>Shortness of Breath</t>
        </is>
      </c>
      <c r="I416" t="n">
        <v>70</v>
      </c>
      <c r="J416" t="n">
        <v>129</v>
      </c>
      <c r="K416" s="28">
        <f>I416/J416</f>
        <v/>
      </c>
      <c r="L416" s="27" t="n">
        <v>53</v>
      </c>
      <c r="M416" t="inlineStr">
        <is>
          <t>Admitted</t>
        </is>
      </c>
    </row>
    <row r="417">
      <c r="A417" t="inlineStr">
        <is>
          <t>ED208934</t>
        </is>
      </c>
      <c r="B417" t="inlineStr">
        <is>
          <t>PT12870</t>
        </is>
      </c>
      <c r="C417" s="26" t="n">
        <v>45819.76041666666</v>
      </c>
      <c r="D417" t="inlineStr">
        <is>
          <t>Wed</t>
        </is>
      </c>
      <c r="E417" s="27" t="n">
        <v>18</v>
      </c>
      <c r="F417" t="inlineStr">
        <is>
          <t>Walk-In</t>
        </is>
      </c>
      <c r="G417" s="27" t="n">
        <v>3</v>
      </c>
      <c r="H417" t="inlineStr">
        <is>
          <t>Palpitations</t>
        </is>
      </c>
      <c r="I417" t="n">
        <v>119</v>
      </c>
      <c r="J417" t="n">
        <v>149</v>
      </c>
      <c r="K417" s="28">
        <f>I417/J417</f>
        <v/>
      </c>
      <c r="L417" s="27" t="n">
        <v>87</v>
      </c>
      <c r="M417" t="inlineStr">
        <is>
          <t>Admitted</t>
        </is>
      </c>
    </row>
    <row r="418">
      <c r="A418" t="inlineStr">
        <is>
          <t>ED208936</t>
        </is>
      </c>
      <c r="B418" t="inlineStr">
        <is>
          <t>PT11842</t>
        </is>
      </c>
      <c r="C418" s="26" t="n">
        <v>45819.77569444444</v>
      </c>
      <c r="D418" t="inlineStr">
        <is>
          <t>Wed</t>
        </is>
      </c>
      <c r="E418" s="27" t="n">
        <v>18</v>
      </c>
      <c r="F418" t="inlineStr">
        <is>
          <t>Ambulance</t>
        </is>
      </c>
      <c r="G418" s="27" t="n">
        <v>3</v>
      </c>
      <c r="H418" t="inlineStr">
        <is>
          <t>Painful Urination / Fever</t>
        </is>
      </c>
      <c r="I418" t="n">
        <v>78</v>
      </c>
      <c r="K418" s="28">
        <f>I418/J418</f>
        <v/>
      </c>
      <c r="L418" s="27" t="n"/>
      <c r="M418" t="inlineStr">
        <is>
          <t>LWBS</t>
        </is>
      </c>
    </row>
    <row r="419">
      <c r="A419" t="inlineStr">
        <is>
          <t>ED208941</t>
        </is>
      </c>
      <c r="B419" t="inlineStr">
        <is>
          <t>PT13786</t>
        </is>
      </c>
      <c r="C419" s="26" t="n">
        <v>45820.02708333333</v>
      </c>
      <c r="D419" t="inlineStr">
        <is>
          <t>Thu</t>
        </is>
      </c>
      <c r="E419" s="27" t="n">
        <v>0</v>
      </c>
      <c r="F419" t="inlineStr">
        <is>
          <t>Police</t>
        </is>
      </c>
      <c r="G419" s="27" t="n">
        <v>4</v>
      </c>
      <c r="H419" t="inlineStr">
        <is>
          <t>Anxiety / Palpitations</t>
        </is>
      </c>
      <c r="I419" t="n">
        <v>81</v>
      </c>
      <c r="J419" t="n">
        <v>111</v>
      </c>
      <c r="K419" s="28">
        <f>I419/J419</f>
        <v/>
      </c>
      <c r="L419" s="27" t="n">
        <v>136</v>
      </c>
      <c r="M419" t="inlineStr">
        <is>
          <t>Discharged</t>
        </is>
      </c>
    </row>
    <row r="420">
      <c r="A420" t="inlineStr">
        <is>
          <t>ED208948</t>
        </is>
      </c>
      <c r="B420" t="inlineStr">
        <is>
          <t>PT11937</t>
        </is>
      </c>
      <c r="C420" s="26" t="n">
        <v>45820.48125</v>
      </c>
      <c r="D420" t="inlineStr">
        <is>
          <t>Thu</t>
        </is>
      </c>
      <c r="E420" s="27" t="n">
        <v>11</v>
      </c>
      <c r="F420" t="inlineStr">
        <is>
          <t>Ambulance</t>
        </is>
      </c>
      <c r="G420" s="27" t="n">
        <v>4</v>
      </c>
      <c r="H420" t="inlineStr">
        <is>
          <t>Skin Redness / Swelling</t>
        </is>
      </c>
      <c r="I420" t="n">
        <v>89</v>
      </c>
      <c r="J420" t="n">
        <v>124</v>
      </c>
      <c r="K420" s="28">
        <f>I420/J420</f>
        <v/>
      </c>
      <c r="L420" s="27" t="n">
        <v>54</v>
      </c>
      <c r="M420" t="inlineStr">
        <is>
          <t>Discharged</t>
        </is>
      </c>
    </row>
    <row r="421">
      <c r="A421" t="inlineStr">
        <is>
          <t>ED208957</t>
        </is>
      </c>
      <c r="B421" t="inlineStr">
        <is>
          <t>PT10532</t>
        </is>
      </c>
      <c r="C421" s="26" t="n">
        <v>45820.68958333333</v>
      </c>
      <c r="D421" t="inlineStr">
        <is>
          <t>Thu</t>
        </is>
      </c>
      <c r="E421" s="27" t="n">
        <v>16</v>
      </c>
      <c r="F421" t="inlineStr">
        <is>
          <t>Walk-In</t>
        </is>
      </c>
      <c r="G421" s="27" t="n">
        <v>4</v>
      </c>
      <c r="H421" t="inlineStr">
        <is>
          <t>Back Pain</t>
        </is>
      </c>
      <c r="I421" t="n">
        <v>99</v>
      </c>
      <c r="J421" t="n">
        <v>152</v>
      </c>
      <c r="K421" s="28">
        <f>I421/J421</f>
        <v/>
      </c>
      <c r="L421" s="27" t="n">
        <v>87</v>
      </c>
      <c r="M421" t="inlineStr">
        <is>
          <t>Discharged</t>
        </is>
      </c>
    </row>
    <row r="422">
      <c r="A422" t="inlineStr">
        <is>
          <t>ED208962</t>
        </is>
      </c>
      <c r="B422" t="inlineStr">
        <is>
          <t>PT13135</t>
        </is>
      </c>
      <c r="C422" s="26" t="n">
        <v>45821.03125</v>
      </c>
      <c r="D422" t="inlineStr">
        <is>
          <t>Fri</t>
        </is>
      </c>
      <c r="E422" s="27" t="n">
        <v>0</v>
      </c>
      <c r="F422" t="inlineStr">
        <is>
          <t>Walk-In</t>
        </is>
      </c>
      <c r="G422" s="27" t="n">
        <v>3</v>
      </c>
      <c r="H422" t="inlineStr">
        <is>
          <t>Chest Pain</t>
        </is>
      </c>
      <c r="I422" t="n">
        <v>82</v>
      </c>
      <c r="J422" t="n">
        <v>190</v>
      </c>
      <c r="K422" s="28">
        <f>I422/J422</f>
        <v/>
      </c>
      <c r="L422" s="27" t="n">
        <v>47</v>
      </c>
      <c r="M422" t="inlineStr">
        <is>
          <t>Discharged</t>
        </is>
      </c>
    </row>
    <row r="423">
      <c r="A423" t="inlineStr">
        <is>
          <t>ED208970</t>
        </is>
      </c>
      <c r="B423" t="inlineStr">
        <is>
          <t>PT11260</t>
        </is>
      </c>
      <c r="C423" s="26" t="n">
        <v>45821.62569444445</v>
      </c>
      <c r="D423" t="inlineStr">
        <is>
          <t>Fri</t>
        </is>
      </c>
      <c r="E423" s="27" t="n">
        <v>15</v>
      </c>
      <c r="F423" t="inlineStr">
        <is>
          <t>Walk-In</t>
        </is>
      </c>
      <c r="G423" s="27" t="n">
        <v>4</v>
      </c>
      <c r="H423" t="inlineStr">
        <is>
          <t>Back Pain</t>
        </is>
      </c>
      <c r="I423" t="n">
        <v>88</v>
      </c>
      <c r="J423" t="n">
        <v>155</v>
      </c>
      <c r="K423" s="28">
        <f>I423/J423</f>
        <v/>
      </c>
      <c r="L423" s="27" t="n">
        <v>299</v>
      </c>
      <c r="M423" t="inlineStr">
        <is>
          <t>Discharged</t>
        </is>
      </c>
    </row>
    <row r="424">
      <c r="A424" t="inlineStr">
        <is>
          <t>ED208978</t>
        </is>
      </c>
      <c r="B424" t="inlineStr">
        <is>
          <t>PT12274</t>
        </is>
      </c>
      <c r="C424" s="26" t="n">
        <v>45821.92638888889</v>
      </c>
      <c r="D424" t="inlineStr">
        <is>
          <t>Fri</t>
        </is>
      </c>
      <c r="E424" s="27" t="n">
        <v>22</v>
      </c>
      <c r="F424" t="inlineStr">
        <is>
          <t>Ambulance</t>
        </is>
      </c>
      <c r="G424" s="27" t="n">
        <v>3</v>
      </c>
      <c r="H424" t="inlineStr">
        <is>
          <t>Chest Pain</t>
        </is>
      </c>
      <c r="I424" t="n">
        <v>69</v>
      </c>
      <c r="J424" t="n">
        <v>148</v>
      </c>
      <c r="K424" s="28">
        <f>I424/J424</f>
        <v/>
      </c>
      <c r="L424" s="27" t="n">
        <v>18</v>
      </c>
      <c r="M424" t="inlineStr">
        <is>
          <t>Discharged</t>
        </is>
      </c>
    </row>
    <row r="425">
      <c r="A425" t="inlineStr">
        <is>
          <t>ED208985</t>
        </is>
      </c>
      <c r="B425" t="inlineStr">
        <is>
          <t>PT10078</t>
        </is>
      </c>
      <c r="C425" s="26" t="n">
        <v>45822.34930555556</v>
      </c>
      <c r="D425" t="inlineStr">
        <is>
          <t>Sat</t>
        </is>
      </c>
      <c r="E425" s="27" t="n">
        <v>8</v>
      </c>
      <c r="F425" t="inlineStr">
        <is>
          <t>Walk-In</t>
        </is>
      </c>
      <c r="G425" s="27" t="n">
        <v>4</v>
      </c>
      <c r="H425" t="inlineStr">
        <is>
          <t>Vomiting / Diarrhea</t>
        </is>
      </c>
      <c r="I425" t="n">
        <v>123</v>
      </c>
      <c r="J425" t="n">
        <v>85</v>
      </c>
      <c r="K425" s="28">
        <f>I425/J425</f>
        <v/>
      </c>
      <c r="L425" s="27" t="n">
        <v>26</v>
      </c>
      <c r="M425" t="inlineStr">
        <is>
          <t>Discharged</t>
        </is>
      </c>
    </row>
    <row r="426">
      <c r="A426" t="inlineStr">
        <is>
          <t>ED208989</t>
        </is>
      </c>
      <c r="B426" t="inlineStr">
        <is>
          <t>PT12362</t>
        </is>
      </c>
      <c r="C426" s="26" t="n">
        <v>45822.51736111111</v>
      </c>
      <c r="D426" t="inlineStr">
        <is>
          <t>Sat</t>
        </is>
      </c>
      <c r="E426" s="27" t="n">
        <v>12</v>
      </c>
      <c r="F426" t="inlineStr">
        <is>
          <t>Walk-In</t>
        </is>
      </c>
      <c r="G426" s="27" t="n">
        <v>3</v>
      </c>
      <c r="H426" t="inlineStr">
        <is>
          <t>Painful Urination / Fever</t>
        </is>
      </c>
      <c r="I426" t="n">
        <v>59</v>
      </c>
      <c r="J426" t="n">
        <v>135</v>
      </c>
      <c r="K426" s="28">
        <f>I426/J426</f>
        <v/>
      </c>
      <c r="L426" s="27" t="n">
        <v>52</v>
      </c>
      <c r="M426" t="inlineStr">
        <is>
          <t>Discharged</t>
        </is>
      </c>
    </row>
    <row r="427">
      <c r="A427" t="inlineStr">
        <is>
          <t>ED208991</t>
        </is>
      </c>
      <c r="B427" t="inlineStr">
        <is>
          <t>PT13035</t>
        </is>
      </c>
      <c r="C427" s="26" t="n">
        <v>45822.54236111111</v>
      </c>
      <c r="D427" t="inlineStr">
        <is>
          <t>Sat</t>
        </is>
      </c>
      <c r="E427" s="27" t="n">
        <v>13</v>
      </c>
      <c r="F427" t="inlineStr">
        <is>
          <t>Ambulance</t>
        </is>
      </c>
      <c r="G427" s="27" t="n">
        <v>2</v>
      </c>
      <c r="H427" t="inlineStr">
        <is>
          <t>Bloody Stool / Vomiting Blood</t>
        </is>
      </c>
      <c r="I427" t="n">
        <v>116</v>
      </c>
      <c r="J427" t="n">
        <v>92</v>
      </c>
      <c r="K427" s="28">
        <f>I427/J427</f>
        <v/>
      </c>
      <c r="L427" s="27" t="n">
        <v>14</v>
      </c>
      <c r="M427" t="inlineStr">
        <is>
          <t>Admitted</t>
        </is>
      </c>
    </row>
    <row r="428">
      <c r="A428" t="inlineStr">
        <is>
          <t>ED208994</t>
        </is>
      </c>
      <c r="B428" t="inlineStr">
        <is>
          <t>PT10104</t>
        </is>
      </c>
      <c r="C428" s="26" t="n">
        <v>45822.59236111111</v>
      </c>
      <c r="D428" t="inlineStr">
        <is>
          <t>Sat</t>
        </is>
      </c>
      <c r="E428" s="27" t="n">
        <v>14</v>
      </c>
      <c r="F428" t="inlineStr">
        <is>
          <t>Walk-In</t>
        </is>
      </c>
      <c r="G428" s="27" t="n">
        <v>2</v>
      </c>
      <c r="H428" t="inlineStr">
        <is>
          <t>Cough / Fever</t>
        </is>
      </c>
      <c r="I428" t="n">
        <v>110</v>
      </c>
      <c r="J428" t="n">
        <v>103</v>
      </c>
      <c r="K428" s="28">
        <f>I428/J428</f>
        <v/>
      </c>
      <c r="L428" s="27" t="n">
        <v>20</v>
      </c>
      <c r="M428" t="inlineStr">
        <is>
          <t>Transferred</t>
        </is>
      </c>
    </row>
    <row r="429">
      <c r="A429" t="inlineStr">
        <is>
          <t>ED208998</t>
        </is>
      </c>
      <c r="B429" t="inlineStr">
        <is>
          <t>PT10662</t>
        </is>
      </c>
      <c r="C429" s="26" t="n">
        <v>45822.79861111111</v>
      </c>
      <c r="D429" t="inlineStr">
        <is>
          <t>Sat</t>
        </is>
      </c>
      <c r="E429" s="27" t="n">
        <v>19</v>
      </c>
      <c r="F429" t="inlineStr">
        <is>
          <t>Ambulance</t>
        </is>
      </c>
      <c r="G429" s="27" t="n">
        <v>2</v>
      </c>
      <c r="H429" t="inlineStr">
        <is>
          <t>Cough / Fever</t>
        </is>
      </c>
      <c r="I429" t="n">
        <v>91</v>
      </c>
      <c r="J429" t="n">
        <v>140</v>
      </c>
      <c r="K429" s="28">
        <f>I429/J429</f>
        <v/>
      </c>
      <c r="L429" s="27" t="n">
        <v>10</v>
      </c>
      <c r="M429" t="inlineStr">
        <is>
          <t>Discharged</t>
        </is>
      </c>
    </row>
    <row r="430">
      <c r="A430" t="inlineStr">
        <is>
          <t>ED209000</t>
        </is>
      </c>
      <c r="B430" t="inlineStr">
        <is>
          <t>PT11548</t>
        </is>
      </c>
      <c r="C430" s="26" t="n">
        <v>45822.825</v>
      </c>
      <c r="D430" t="inlineStr">
        <is>
          <t>Sat</t>
        </is>
      </c>
      <c r="E430" s="27" t="n">
        <v>19</v>
      </c>
      <c r="F430" t="inlineStr">
        <is>
          <t>Ambulance</t>
        </is>
      </c>
      <c r="G430" s="27" t="n">
        <v>2</v>
      </c>
      <c r="H430" t="inlineStr">
        <is>
          <t>Cough / Fever</t>
        </is>
      </c>
      <c r="I430" t="n">
        <v>115</v>
      </c>
      <c r="J430" t="n">
        <v>144</v>
      </c>
      <c r="K430" s="28">
        <f>I430/J430</f>
        <v/>
      </c>
      <c r="L430" s="27" t="n">
        <v>15</v>
      </c>
      <c r="M430" t="inlineStr">
        <is>
          <t>Admitted</t>
        </is>
      </c>
    </row>
    <row r="431">
      <c r="A431" t="inlineStr">
        <is>
          <t>ED209006</t>
        </is>
      </c>
      <c r="B431" t="inlineStr">
        <is>
          <t>PT13458</t>
        </is>
      </c>
      <c r="C431" s="26" t="n">
        <v>45823.51319444444</v>
      </c>
      <c r="D431" t="inlineStr">
        <is>
          <t>Sun</t>
        </is>
      </c>
      <c r="E431" s="27" t="n">
        <v>12</v>
      </c>
      <c r="F431" t="inlineStr">
        <is>
          <t>Ambulance</t>
        </is>
      </c>
      <c r="G431" s="27" t="n">
        <v>3</v>
      </c>
      <c r="H431" t="inlineStr">
        <is>
          <t>Skin Redness / Swelling</t>
        </is>
      </c>
      <c r="I431" t="n">
        <v>78</v>
      </c>
      <c r="J431" t="n">
        <v>158</v>
      </c>
      <c r="K431" s="28">
        <f>I431/J431</f>
        <v/>
      </c>
      <c r="L431" s="27" t="n">
        <v>62</v>
      </c>
      <c r="M431" t="inlineStr">
        <is>
          <t>Discharged</t>
        </is>
      </c>
    </row>
    <row r="432">
      <c r="A432" s="29" t="inlineStr">
        <is>
          <t>ED209013</t>
        </is>
      </c>
      <c r="B432" s="29" t="inlineStr">
        <is>
          <t>PT10063</t>
        </is>
      </c>
      <c r="C432" s="30" t="n">
        <v>45823.68472222222</v>
      </c>
      <c r="D432" s="29" t="inlineStr">
        <is>
          <t>Sun</t>
        </is>
      </c>
      <c r="E432" s="31" t="n">
        <v>16</v>
      </c>
      <c r="F432" s="29" t="inlineStr">
        <is>
          <t>Walk-In</t>
        </is>
      </c>
      <c r="G432" s="31" t="n">
        <v>3</v>
      </c>
      <c r="H432" s="29" t="inlineStr">
        <is>
          <t>Cough / Fever</t>
        </is>
      </c>
      <c r="I432" s="29" t="n">
        <v>99</v>
      </c>
      <c r="J432" s="29" t="n">
        <v>136</v>
      </c>
      <c r="K432" s="32">
        <f>I432/J432</f>
        <v/>
      </c>
      <c r="L432" s="31" t="n">
        <v>114</v>
      </c>
      <c r="M432" s="29" t="inlineStr">
        <is>
          <t>Discharged</t>
        </is>
      </c>
    </row>
    <row r="433">
      <c r="A433" t="inlineStr">
        <is>
          <t>ED209016</t>
        </is>
      </c>
      <c r="B433" t="inlineStr">
        <is>
          <t>PT12410</t>
        </is>
      </c>
      <c r="C433" s="26" t="n">
        <v>45823.88055555556</v>
      </c>
      <c r="D433" t="inlineStr">
        <is>
          <t>Sun</t>
        </is>
      </c>
      <c r="E433" s="27" t="n">
        <v>21</v>
      </c>
      <c r="F433" t="inlineStr">
        <is>
          <t>Walk-In</t>
        </is>
      </c>
      <c r="G433" s="27" t="n">
        <v>5</v>
      </c>
      <c r="H433" t="inlineStr">
        <is>
          <t>Back Pain</t>
        </is>
      </c>
      <c r="I433" t="n">
        <v>78</v>
      </c>
      <c r="J433" t="n">
        <v>132</v>
      </c>
      <c r="K433" s="28">
        <f>I433/J433</f>
        <v/>
      </c>
      <c r="L433" s="27" t="n">
        <v>27</v>
      </c>
      <c r="M433" t="inlineStr">
        <is>
          <t>Discharged</t>
        </is>
      </c>
    </row>
    <row r="434">
      <c r="A434" t="inlineStr">
        <is>
          <t>ED209024</t>
        </is>
      </c>
      <c r="B434" t="inlineStr">
        <is>
          <t>PT11524</t>
        </is>
      </c>
      <c r="C434" s="26" t="n">
        <v>45824.47013888889</v>
      </c>
      <c r="D434" t="inlineStr">
        <is>
          <t>Mon</t>
        </is>
      </c>
      <c r="E434" s="27" t="n">
        <v>11</v>
      </c>
      <c r="F434" t="inlineStr">
        <is>
          <t>Ambulance</t>
        </is>
      </c>
      <c r="G434" s="27" t="n">
        <v>3</v>
      </c>
      <c r="H434" t="inlineStr">
        <is>
          <t>Head Injury</t>
        </is>
      </c>
      <c r="I434" t="n">
        <v>84</v>
      </c>
      <c r="J434" t="n">
        <v>156</v>
      </c>
      <c r="K434" s="28">
        <f>I434/J434</f>
        <v/>
      </c>
      <c r="L434" s="27" t="n">
        <v>22</v>
      </c>
      <c r="M434" t="inlineStr">
        <is>
          <t>Discharged</t>
        </is>
      </c>
    </row>
    <row r="435">
      <c r="A435" t="inlineStr">
        <is>
          <t>ED209028</t>
        </is>
      </c>
      <c r="B435" t="inlineStr">
        <is>
          <t>PT11716</t>
        </is>
      </c>
      <c r="C435" s="26" t="n">
        <v>45824.66805555556</v>
      </c>
      <c r="D435" t="inlineStr">
        <is>
          <t>Mon</t>
        </is>
      </c>
      <c r="E435" s="27" t="n">
        <v>16</v>
      </c>
      <c r="F435" t="inlineStr">
        <is>
          <t>Walk-In</t>
        </is>
      </c>
      <c r="G435" s="27" t="n">
        <v>3</v>
      </c>
      <c r="H435" t="inlineStr">
        <is>
          <t>Palpitations</t>
        </is>
      </c>
      <c r="I435" t="n">
        <v>152</v>
      </c>
      <c r="J435" t="n">
        <v>132</v>
      </c>
      <c r="K435" s="28">
        <f>I435/J435</f>
        <v/>
      </c>
      <c r="L435" s="27" t="n">
        <v>34</v>
      </c>
      <c r="M435" t="inlineStr">
        <is>
          <t>Admitted</t>
        </is>
      </c>
    </row>
    <row r="436">
      <c r="A436" t="inlineStr">
        <is>
          <t>ED209031</t>
        </is>
      </c>
      <c r="B436" t="inlineStr">
        <is>
          <t>PT13008</t>
        </is>
      </c>
      <c r="C436" s="26" t="n">
        <v>45824.99791666667</v>
      </c>
      <c r="D436" t="inlineStr">
        <is>
          <t>Mon</t>
        </is>
      </c>
      <c r="E436" s="27" t="n">
        <v>23</v>
      </c>
      <c r="F436" t="inlineStr">
        <is>
          <t>Walk-In</t>
        </is>
      </c>
      <c r="G436" s="27" t="n">
        <v>3</v>
      </c>
      <c r="H436" t="inlineStr">
        <is>
          <t>Shortness of Breath</t>
        </is>
      </c>
      <c r="I436" t="n">
        <v>84</v>
      </c>
      <c r="J436" t="n">
        <v>120</v>
      </c>
      <c r="K436" s="28">
        <f>I436/J436</f>
        <v/>
      </c>
      <c r="L436" s="27" t="n">
        <v>31</v>
      </c>
      <c r="M436" t="inlineStr">
        <is>
          <t>Admitted</t>
        </is>
      </c>
    </row>
    <row r="437">
      <c r="A437" t="inlineStr">
        <is>
          <t>ED209033</t>
        </is>
      </c>
      <c r="B437" t="inlineStr">
        <is>
          <t>PT12444</t>
        </is>
      </c>
      <c r="C437" s="26" t="n">
        <v>45825.32152777778</v>
      </c>
      <c r="D437" t="inlineStr">
        <is>
          <t>Tue</t>
        </is>
      </c>
      <c r="E437" s="27" t="n">
        <v>7</v>
      </c>
      <c r="F437" t="inlineStr">
        <is>
          <t>Ambulance</t>
        </is>
      </c>
      <c r="G437" s="27" t="n">
        <v>3</v>
      </c>
      <c r="H437" t="inlineStr">
        <is>
          <t>Vomiting / Dizziness</t>
        </is>
      </c>
      <c r="I437" t="n">
        <v>86</v>
      </c>
      <c r="J437" t="n">
        <v>101</v>
      </c>
      <c r="K437" s="28">
        <f>I437/J437</f>
        <v/>
      </c>
      <c r="L437" s="27" t="n">
        <v>61</v>
      </c>
      <c r="M437" t="inlineStr">
        <is>
          <t>Discharged</t>
        </is>
      </c>
    </row>
    <row r="438">
      <c r="A438" t="inlineStr">
        <is>
          <t>ED209036</t>
        </is>
      </c>
      <c r="B438" t="inlineStr">
        <is>
          <t>PT11835</t>
        </is>
      </c>
      <c r="C438" s="26" t="n">
        <v>45825.66805555556</v>
      </c>
      <c r="D438" t="inlineStr">
        <is>
          <t>Tue</t>
        </is>
      </c>
      <c r="E438" s="27" t="n">
        <v>16</v>
      </c>
      <c r="F438" t="inlineStr">
        <is>
          <t>Walk-In</t>
        </is>
      </c>
      <c r="G438" s="27" t="n">
        <v>3</v>
      </c>
      <c r="H438" t="inlineStr">
        <is>
          <t>Chest Pain</t>
        </is>
      </c>
      <c r="I438" t="n">
        <v>70</v>
      </c>
      <c r="J438" t="n">
        <v>119</v>
      </c>
      <c r="K438" s="28">
        <f>I438/J438</f>
        <v/>
      </c>
      <c r="L438" s="27" t="n">
        <v>16</v>
      </c>
      <c r="M438" t="inlineStr">
        <is>
          <t>Discharged</t>
        </is>
      </c>
    </row>
    <row r="439">
      <c r="A439" t="inlineStr">
        <is>
          <t>ED209041</t>
        </is>
      </c>
      <c r="B439" t="inlineStr">
        <is>
          <t>PT13661</t>
        </is>
      </c>
      <c r="C439" s="26" t="n">
        <v>45825.86666666667</v>
      </c>
      <c r="D439" t="inlineStr">
        <is>
          <t>Tue</t>
        </is>
      </c>
      <c r="E439" s="27" t="n">
        <v>20</v>
      </c>
      <c r="F439" t="inlineStr">
        <is>
          <t>Walk-In</t>
        </is>
      </c>
      <c r="G439" s="27" t="n">
        <v>3</v>
      </c>
      <c r="H439" t="inlineStr">
        <is>
          <t>Abdominal Pain / Vomiting</t>
        </is>
      </c>
      <c r="I439" t="n">
        <v>77</v>
      </c>
      <c r="J439" t="n">
        <v>150</v>
      </c>
      <c r="K439" s="28">
        <f>I439/J439</f>
        <v/>
      </c>
      <c r="L439" s="27" t="n">
        <v>40</v>
      </c>
      <c r="M439" t="inlineStr">
        <is>
          <t>Admitted</t>
        </is>
      </c>
    </row>
    <row r="440">
      <c r="A440" t="inlineStr">
        <is>
          <t>ED209045</t>
        </is>
      </c>
      <c r="B440" t="inlineStr">
        <is>
          <t>PT12513</t>
        </is>
      </c>
      <c r="C440" s="26" t="n">
        <v>45826.35416666666</v>
      </c>
      <c r="D440" t="inlineStr">
        <is>
          <t>Wed</t>
        </is>
      </c>
      <c r="E440" s="27" t="n">
        <v>8</v>
      </c>
      <c r="F440" t="inlineStr">
        <is>
          <t>Walk-In</t>
        </is>
      </c>
      <c r="G440" s="27" t="n">
        <v>3</v>
      </c>
      <c r="H440" t="inlineStr">
        <is>
          <t>Abdominal Pain</t>
        </is>
      </c>
      <c r="I440" t="n">
        <v>76</v>
      </c>
      <c r="J440" t="n">
        <v>128</v>
      </c>
      <c r="K440" s="28">
        <f>I440/J440</f>
        <v/>
      </c>
      <c r="L440" s="27" t="n">
        <v>75</v>
      </c>
      <c r="M440" t="inlineStr">
        <is>
          <t>Discharged</t>
        </is>
      </c>
    </row>
    <row r="441">
      <c r="A441" t="inlineStr">
        <is>
          <t>ED209048</t>
        </is>
      </c>
      <c r="B441" t="inlineStr">
        <is>
          <t>PT10966</t>
        </is>
      </c>
      <c r="C441" s="26" t="n">
        <v>45826.38680555556</v>
      </c>
      <c r="D441" t="inlineStr">
        <is>
          <t>Wed</t>
        </is>
      </c>
      <c r="E441" s="27" t="n">
        <v>9</v>
      </c>
      <c r="F441" t="inlineStr">
        <is>
          <t>Walk-In</t>
        </is>
      </c>
      <c r="G441" s="27" t="n">
        <v>3</v>
      </c>
      <c r="H441" t="inlineStr">
        <is>
          <t>High Blood Sugar</t>
        </is>
      </c>
      <c r="I441" t="n">
        <v>86</v>
      </c>
      <c r="J441" t="n">
        <v>158</v>
      </c>
      <c r="K441" s="28">
        <f>I441/J441</f>
        <v/>
      </c>
      <c r="L441" s="27" t="n">
        <v>66</v>
      </c>
      <c r="M441" t="inlineStr">
        <is>
          <t>Discharged</t>
        </is>
      </c>
    </row>
    <row r="442">
      <c r="A442" t="inlineStr">
        <is>
          <t>ED209056</t>
        </is>
      </c>
      <c r="B442" t="inlineStr">
        <is>
          <t>PT11310</t>
        </is>
      </c>
      <c r="C442" s="26" t="n">
        <v>45826.63541666666</v>
      </c>
      <c r="D442" t="inlineStr">
        <is>
          <t>Wed</t>
        </is>
      </c>
      <c r="E442" s="27" t="n">
        <v>15</v>
      </c>
      <c r="F442" t="inlineStr">
        <is>
          <t>Walk-In</t>
        </is>
      </c>
      <c r="G442" s="27" t="n">
        <v>3</v>
      </c>
      <c r="H442" t="inlineStr">
        <is>
          <t>Chest Pain</t>
        </is>
      </c>
      <c r="I442" t="n">
        <v>70</v>
      </c>
      <c r="J442" t="n">
        <v>163</v>
      </c>
      <c r="K442" s="28">
        <f>I442/J442</f>
        <v/>
      </c>
      <c r="L442" s="27" t="n">
        <v>45</v>
      </c>
      <c r="M442" t="inlineStr">
        <is>
          <t>Discharged</t>
        </is>
      </c>
    </row>
    <row r="443">
      <c r="A443" t="inlineStr">
        <is>
          <t>ED209060</t>
        </is>
      </c>
      <c r="B443" t="inlineStr">
        <is>
          <t>PT13177</t>
        </is>
      </c>
      <c r="C443" s="26" t="n">
        <v>45826.76736111111</v>
      </c>
      <c r="D443" t="inlineStr">
        <is>
          <t>Wed</t>
        </is>
      </c>
      <c r="E443" s="27" t="n">
        <v>18</v>
      </c>
      <c r="F443" t="inlineStr">
        <is>
          <t>Walk-In</t>
        </is>
      </c>
      <c r="G443" s="27" t="n">
        <v>2</v>
      </c>
      <c r="H443" t="inlineStr">
        <is>
          <t>Shortness of Breath</t>
        </is>
      </c>
      <c r="I443" t="n">
        <v>101</v>
      </c>
      <c r="J443" t="n">
        <v>130</v>
      </c>
      <c r="K443" s="28">
        <f>I443/J443</f>
        <v/>
      </c>
      <c r="L443" s="27" t="n">
        <v>13</v>
      </c>
      <c r="M443" t="inlineStr">
        <is>
          <t>Admitted</t>
        </is>
      </c>
    </row>
    <row r="444">
      <c r="A444" t="inlineStr">
        <is>
          <t>ED209068</t>
        </is>
      </c>
      <c r="B444" t="inlineStr">
        <is>
          <t>PT10463</t>
        </is>
      </c>
      <c r="C444" s="26" t="n">
        <v>45827.51458333333</v>
      </c>
      <c r="D444" t="inlineStr">
        <is>
          <t>Thu</t>
        </is>
      </c>
      <c r="E444" s="27" t="n">
        <v>12</v>
      </c>
      <c r="F444" t="inlineStr">
        <is>
          <t>Walk-In</t>
        </is>
      </c>
      <c r="G444" s="27" t="n">
        <v>5</v>
      </c>
      <c r="H444" t="inlineStr">
        <is>
          <t>Cough / Fever</t>
        </is>
      </c>
      <c r="I444" t="n">
        <v>86</v>
      </c>
      <c r="J444" t="n">
        <v>129</v>
      </c>
      <c r="K444" s="28">
        <f>I444/J444</f>
        <v/>
      </c>
      <c r="L444" s="27" t="n">
        <v>44</v>
      </c>
      <c r="M444" t="inlineStr">
        <is>
          <t>Discharged</t>
        </is>
      </c>
    </row>
    <row r="445">
      <c r="A445" s="29" t="inlineStr">
        <is>
          <t>ED209070</t>
        </is>
      </c>
      <c r="B445" s="29" t="inlineStr">
        <is>
          <t>PT12818</t>
        </is>
      </c>
      <c r="C445" s="30" t="n">
        <v>45827.53194444445</v>
      </c>
      <c r="D445" s="29" t="inlineStr">
        <is>
          <t>Thu</t>
        </is>
      </c>
      <c r="E445" s="31" t="n">
        <v>12</v>
      </c>
      <c r="F445" s="29" t="inlineStr">
        <is>
          <t>Walk-In</t>
        </is>
      </c>
      <c r="G445" s="31" t="n">
        <v>3</v>
      </c>
      <c r="H445" s="29" t="inlineStr">
        <is>
          <t>Fever / Altered Mental Status</t>
        </is>
      </c>
      <c r="I445" s="29" t="n">
        <v>121</v>
      </c>
      <c r="J445" s="29" t="n">
        <v>101</v>
      </c>
      <c r="K445" s="32">
        <f>I445/J445</f>
        <v/>
      </c>
      <c r="L445" s="31" t="n">
        <v>80</v>
      </c>
      <c r="M445" s="29" t="inlineStr">
        <is>
          <t>Admitted</t>
        </is>
      </c>
    </row>
    <row r="446">
      <c r="A446" t="inlineStr">
        <is>
          <t>ED209083</t>
        </is>
      </c>
      <c r="B446" t="inlineStr">
        <is>
          <t>PT11753</t>
        </is>
      </c>
      <c r="C446" s="26" t="n">
        <v>45827.93263888889</v>
      </c>
      <c r="D446" t="inlineStr">
        <is>
          <t>Thu</t>
        </is>
      </c>
      <c r="E446" s="27" t="n">
        <v>22</v>
      </c>
      <c r="F446" t="inlineStr">
        <is>
          <t>Walk-In</t>
        </is>
      </c>
      <c r="G446" s="27" t="n">
        <v>3</v>
      </c>
      <c r="H446" t="inlineStr">
        <is>
          <t>High Blood Sugar</t>
        </is>
      </c>
      <c r="I446" t="n">
        <v>98</v>
      </c>
      <c r="J446" t="n">
        <v>136</v>
      </c>
      <c r="K446" s="28">
        <f>I446/J446</f>
        <v/>
      </c>
      <c r="L446" s="27" t="n">
        <v>43</v>
      </c>
      <c r="M446" t="inlineStr">
        <is>
          <t>Admitted</t>
        </is>
      </c>
    </row>
    <row r="447">
      <c r="A447" t="inlineStr">
        <is>
          <t>ED209086</t>
        </is>
      </c>
      <c r="B447" t="inlineStr">
        <is>
          <t>PT12295</t>
        </is>
      </c>
      <c r="C447" s="26" t="n">
        <v>45827.99513888889</v>
      </c>
      <c r="D447" t="inlineStr">
        <is>
          <t>Thu</t>
        </is>
      </c>
      <c r="E447" s="27" t="n">
        <v>23</v>
      </c>
      <c r="F447" t="inlineStr">
        <is>
          <t>Walk-In</t>
        </is>
      </c>
      <c r="G447" s="27" t="n">
        <v>3</v>
      </c>
      <c r="H447" t="inlineStr">
        <is>
          <t>Back Pain</t>
        </is>
      </c>
      <c r="I447" t="n">
        <v>86</v>
      </c>
      <c r="J447" t="n">
        <v>110</v>
      </c>
      <c r="K447" s="28">
        <f>I447/J447</f>
        <v/>
      </c>
      <c r="L447" s="27" t="n">
        <v>54</v>
      </c>
      <c r="M447" t="inlineStr">
        <is>
          <t>Discharged</t>
        </is>
      </c>
    </row>
    <row r="448">
      <c r="A448" t="inlineStr">
        <is>
          <t>ED209096</t>
        </is>
      </c>
      <c r="B448" t="inlineStr">
        <is>
          <t>PT10181</t>
        </is>
      </c>
      <c r="C448" s="26" t="n">
        <v>45828.52291666667</v>
      </c>
      <c r="D448" t="inlineStr">
        <is>
          <t>Fri</t>
        </is>
      </c>
      <c r="E448" s="27" t="n">
        <v>12</v>
      </c>
      <c r="F448" t="inlineStr">
        <is>
          <t>Walk-In</t>
        </is>
      </c>
      <c r="G448" s="27" t="n">
        <v>3</v>
      </c>
      <c r="H448" t="inlineStr">
        <is>
          <t>Fainting</t>
        </is>
      </c>
      <c r="I448" t="n">
        <v>73</v>
      </c>
      <c r="J448" t="n">
        <v>136</v>
      </c>
      <c r="K448" s="28">
        <f>I448/J448</f>
        <v/>
      </c>
      <c r="L448" s="27" t="n">
        <v>103</v>
      </c>
      <c r="M448" t="inlineStr">
        <is>
          <t>Discharged</t>
        </is>
      </c>
    </row>
    <row r="449">
      <c r="A449" t="inlineStr">
        <is>
          <t>ED209106</t>
        </is>
      </c>
      <c r="B449" t="inlineStr">
        <is>
          <t>PT10037</t>
        </is>
      </c>
      <c r="C449" s="26" t="n">
        <v>45829.10972222222</v>
      </c>
      <c r="D449" t="inlineStr">
        <is>
          <t>Sat</t>
        </is>
      </c>
      <c r="E449" s="27" t="n">
        <v>2</v>
      </c>
      <c r="F449" t="inlineStr">
        <is>
          <t>Walk-In</t>
        </is>
      </c>
      <c r="G449" s="27" t="n">
        <v>3</v>
      </c>
      <c r="H449" t="inlineStr">
        <is>
          <t>Fall</t>
        </is>
      </c>
      <c r="I449" t="n">
        <v>89</v>
      </c>
      <c r="J449" t="n">
        <v>142</v>
      </c>
      <c r="K449" s="28">
        <f>I449/J449</f>
        <v/>
      </c>
      <c r="L449" s="27" t="n">
        <v>42</v>
      </c>
      <c r="M449" t="inlineStr">
        <is>
          <t>Admitted</t>
        </is>
      </c>
    </row>
    <row r="450">
      <c r="A450" t="inlineStr">
        <is>
          <t>ED209110</t>
        </is>
      </c>
      <c r="B450" t="inlineStr">
        <is>
          <t>PT10622</t>
        </is>
      </c>
      <c r="C450" s="26" t="n">
        <v>45829.52013888889</v>
      </c>
      <c r="D450" t="inlineStr">
        <is>
          <t>Sat</t>
        </is>
      </c>
      <c r="E450" s="27" t="n">
        <v>12</v>
      </c>
      <c r="F450" t="inlineStr">
        <is>
          <t>Ambulance</t>
        </is>
      </c>
      <c r="G450" s="27" t="n">
        <v>3</v>
      </c>
      <c r="H450" t="inlineStr">
        <is>
          <t>Abdominal Pain</t>
        </is>
      </c>
      <c r="I450" t="n">
        <v>86</v>
      </c>
      <c r="J450" t="n">
        <v>170</v>
      </c>
      <c r="K450" s="28">
        <f>I450/J450</f>
        <v/>
      </c>
      <c r="L450" s="27" t="n">
        <v>59</v>
      </c>
      <c r="M450" t="inlineStr">
        <is>
          <t>Admitted</t>
        </is>
      </c>
    </row>
    <row r="451">
      <c r="A451" t="inlineStr">
        <is>
          <t>ED209119</t>
        </is>
      </c>
      <c r="B451" t="inlineStr">
        <is>
          <t>PT11252</t>
        </is>
      </c>
      <c r="C451" s="26" t="n">
        <v>45830.3125</v>
      </c>
      <c r="D451" t="inlineStr">
        <is>
          <t>Sun</t>
        </is>
      </c>
      <c r="E451" s="27" t="n">
        <v>7</v>
      </c>
      <c r="F451" t="inlineStr">
        <is>
          <t>Walk-In</t>
        </is>
      </c>
      <c r="G451" s="27" t="n">
        <v>5</v>
      </c>
      <c r="H451" t="inlineStr">
        <is>
          <t>Vomiting / Diarrhea</t>
        </is>
      </c>
      <c r="I451" t="n">
        <v>114</v>
      </c>
      <c r="J451" t="n">
        <v>139</v>
      </c>
      <c r="K451" s="28">
        <f>I451/J451</f>
        <v/>
      </c>
      <c r="L451" s="27" t="n">
        <v>17</v>
      </c>
      <c r="M451" t="inlineStr">
        <is>
          <t>Discharged</t>
        </is>
      </c>
    </row>
    <row r="452">
      <c r="A452" s="29" t="inlineStr">
        <is>
          <t>ED209124</t>
        </is>
      </c>
      <c r="B452" s="29" t="inlineStr">
        <is>
          <t>PT11727</t>
        </is>
      </c>
      <c r="C452" s="30" t="n">
        <v>45830.49305555555</v>
      </c>
      <c r="D452" s="29" t="inlineStr">
        <is>
          <t>Sun</t>
        </is>
      </c>
      <c r="E452" s="31" t="n">
        <v>11</v>
      </c>
      <c r="F452" s="29" t="inlineStr">
        <is>
          <t>Walk-In</t>
        </is>
      </c>
      <c r="G452" s="31" t="n">
        <v>3</v>
      </c>
      <c r="H452" s="29" t="inlineStr">
        <is>
          <t>Cough / Fever</t>
        </is>
      </c>
      <c r="I452" s="29" t="n">
        <v>109</v>
      </c>
      <c r="J452" s="29" t="n">
        <v>158</v>
      </c>
      <c r="K452" s="32">
        <f>I452/J452</f>
        <v/>
      </c>
      <c r="L452" s="31" t="n">
        <v>16</v>
      </c>
      <c r="M452" s="29" t="inlineStr">
        <is>
          <t>Discharged</t>
        </is>
      </c>
    </row>
    <row r="453">
      <c r="A453" t="inlineStr">
        <is>
          <t>ED209150</t>
        </is>
      </c>
      <c r="B453" t="inlineStr">
        <is>
          <t>PT12026</t>
        </is>
      </c>
      <c r="C453" s="26" t="n">
        <v>45831.62916666667</v>
      </c>
      <c r="D453" t="inlineStr">
        <is>
          <t>Mon</t>
        </is>
      </c>
      <c r="E453" s="27" t="n">
        <v>15</v>
      </c>
      <c r="F453" t="inlineStr">
        <is>
          <t>Walk-In</t>
        </is>
      </c>
      <c r="G453" s="27" t="n">
        <v>2</v>
      </c>
      <c r="H453" t="inlineStr">
        <is>
          <t>Bloody Stool / Vomiting Blood</t>
        </is>
      </c>
      <c r="I453" t="n">
        <v>98</v>
      </c>
      <c r="J453" t="n">
        <v>78</v>
      </c>
      <c r="K453" s="28">
        <f>I453/J453</f>
        <v/>
      </c>
      <c r="L453" s="27" t="n">
        <v>42</v>
      </c>
      <c r="M453" t="inlineStr">
        <is>
          <t>Admitted</t>
        </is>
      </c>
    </row>
    <row r="454">
      <c r="A454" s="29" t="inlineStr">
        <is>
          <t>ED209151</t>
        </is>
      </c>
      <c r="B454" s="29" t="inlineStr">
        <is>
          <t>PT12469</t>
        </is>
      </c>
      <c r="C454" s="30" t="n">
        <v>45831.63958333333</v>
      </c>
      <c r="D454" s="29" t="inlineStr">
        <is>
          <t>Mon</t>
        </is>
      </c>
      <c r="E454" s="31" t="n">
        <v>15</v>
      </c>
      <c r="F454" s="29" t="inlineStr">
        <is>
          <t>Walk-In</t>
        </is>
      </c>
      <c r="G454" s="31" t="n">
        <v>3</v>
      </c>
      <c r="H454" s="29" t="inlineStr">
        <is>
          <t>Cough / Fever</t>
        </is>
      </c>
      <c r="I454" s="29" t="n">
        <v>113</v>
      </c>
      <c r="J454" s="29" t="n">
        <v>125</v>
      </c>
      <c r="K454" s="32">
        <f>I454/J454</f>
        <v/>
      </c>
      <c r="L454" s="31" t="n">
        <v>35</v>
      </c>
      <c r="M454" s="29" t="inlineStr">
        <is>
          <t>Discharged</t>
        </is>
      </c>
    </row>
    <row r="455">
      <c r="A455" t="inlineStr">
        <is>
          <t>ED209153</t>
        </is>
      </c>
      <c r="B455" t="inlineStr">
        <is>
          <t>PT10814</t>
        </is>
      </c>
      <c r="C455" s="26" t="n">
        <v>45831.66666666666</v>
      </c>
      <c r="D455" t="inlineStr">
        <is>
          <t>Mon</t>
        </is>
      </c>
      <c r="E455" s="27" t="n">
        <v>16</v>
      </c>
      <c r="F455" t="inlineStr">
        <is>
          <t>Walk-In</t>
        </is>
      </c>
      <c r="G455" s="27" t="n">
        <v>4</v>
      </c>
      <c r="H455" t="inlineStr">
        <is>
          <t>Ankle Injury</t>
        </is>
      </c>
      <c r="I455" t="n">
        <v>83</v>
      </c>
      <c r="J455" t="n">
        <v>145</v>
      </c>
      <c r="K455" s="28">
        <f>I455/J455</f>
        <v/>
      </c>
      <c r="L455" s="27" t="n">
        <v>90</v>
      </c>
      <c r="M455" t="inlineStr">
        <is>
          <t>Discharged</t>
        </is>
      </c>
    </row>
    <row r="456">
      <c r="A456" s="29" t="inlineStr">
        <is>
          <t>ED209156</t>
        </is>
      </c>
      <c r="B456" s="29" t="inlineStr">
        <is>
          <t>PT11534</t>
        </is>
      </c>
      <c r="C456" s="30" t="n">
        <v>45831.83194444444</v>
      </c>
      <c r="D456" s="29" t="inlineStr">
        <is>
          <t>Mon</t>
        </is>
      </c>
      <c r="E456" s="31" t="n">
        <v>19</v>
      </c>
      <c r="F456" s="29" t="inlineStr">
        <is>
          <t>Walk-In</t>
        </is>
      </c>
      <c r="G456" s="31" t="n">
        <v>2</v>
      </c>
      <c r="H456" s="29" t="inlineStr">
        <is>
          <t>Fever / Altered Mental Status</t>
        </is>
      </c>
      <c r="I456" s="29" t="n">
        <v>122</v>
      </c>
      <c r="J456" s="29" t="n">
        <v>85</v>
      </c>
      <c r="K456" s="32">
        <f>I456/J456</f>
        <v/>
      </c>
      <c r="L456" s="31" t="n">
        <v>8</v>
      </c>
      <c r="M456" s="29" t="inlineStr">
        <is>
          <t>Admitted</t>
        </is>
      </c>
    </row>
    <row r="457">
      <c r="A457" t="inlineStr">
        <is>
          <t>ED209161</t>
        </is>
      </c>
      <c r="B457" t="inlineStr">
        <is>
          <t>PT12483</t>
        </is>
      </c>
      <c r="C457" s="26" t="n">
        <v>45832.44861111111</v>
      </c>
      <c r="D457" t="inlineStr">
        <is>
          <t>Tue</t>
        </is>
      </c>
      <c r="E457" s="27" t="n">
        <v>10</v>
      </c>
      <c r="F457" t="inlineStr">
        <is>
          <t>Walk-In</t>
        </is>
      </c>
      <c r="G457" s="27" t="n">
        <v>4</v>
      </c>
      <c r="H457" t="inlineStr">
        <is>
          <t>Laceration</t>
        </is>
      </c>
      <c r="I457" t="n">
        <v>78</v>
      </c>
      <c r="J457" t="n">
        <v>138</v>
      </c>
      <c r="K457" s="28">
        <f>I457/J457</f>
        <v/>
      </c>
      <c r="L457" s="27" t="n">
        <v>61</v>
      </c>
      <c r="M457" t="inlineStr">
        <is>
          <t>Discharged</t>
        </is>
      </c>
    </row>
    <row r="458">
      <c r="A458" t="inlineStr">
        <is>
          <t>ED209162</t>
        </is>
      </c>
      <c r="B458" t="inlineStr">
        <is>
          <t>PT12409</t>
        </is>
      </c>
      <c r="C458" s="26" t="n">
        <v>45832.45625</v>
      </c>
      <c r="D458" t="inlineStr">
        <is>
          <t>Tue</t>
        </is>
      </c>
      <c r="E458" s="27" t="n">
        <v>10</v>
      </c>
      <c r="F458" t="inlineStr">
        <is>
          <t>Walk-In</t>
        </is>
      </c>
      <c r="G458" s="27" t="n">
        <v>4</v>
      </c>
      <c r="H458" t="inlineStr">
        <is>
          <t>Rash</t>
        </is>
      </c>
      <c r="I458" t="n">
        <v>72</v>
      </c>
      <c r="J458" t="n">
        <v>135</v>
      </c>
      <c r="K458" s="28">
        <f>I458/J458</f>
        <v/>
      </c>
      <c r="L458" s="27" t="n">
        <v>66</v>
      </c>
      <c r="M458" t="inlineStr">
        <is>
          <t>Discharged</t>
        </is>
      </c>
    </row>
    <row r="459">
      <c r="A459" t="inlineStr">
        <is>
          <t>ED209163</t>
        </is>
      </c>
      <c r="B459" t="inlineStr">
        <is>
          <t>PT13601</t>
        </is>
      </c>
      <c r="C459" s="26" t="n">
        <v>45832.47708333333</v>
      </c>
      <c r="D459" t="inlineStr">
        <is>
          <t>Tue</t>
        </is>
      </c>
      <c r="E459" s="27" t="n">
        <v>11</v>
      </c>
      <c r="F459" t="inlineStr">
        <is>
          <t>Walk-In</t>
        </is>
      </c>
      <c r="G459" s="27" t="n">
        <v>3</v>
      </c>
      <c r="H459" t="inlineStr">
        <is>
          <t>Fainting</t>
        </is>
      </c>
      <c r="I459" t="n">
        <v>68</v>
      </c>
      <c r="J459" t="n">
        <v>127</v>
      </c>
      <c r="K459" s="28">
        <f>I459/J459</f>
        <v/>
      </c>
      <c r="L459" s="27" t="n">
        <v>100</v>
      </c>
      <c r="M459" t="inlineStr">
        <is>
          <t>Discharged</t>
        </is>
      </c>
    </row>
    <row r="460">
      <c r="A460" t="inlineStr">
        <is>
          <t>ED209171</t>
        </is>
      </c>
      <c r="B460" t="inlineStr">
        <is>
          <t>PT12264</t>
        </is>
      </c>
      <c r="C460" s="26" t="n">
        <v>45832.73333333333</v>
      </c>
      <c r="D460" t="inlineStr">
        <is>
          <t>Tue</t>
        </is>
      </c>
      <c r="E460" s="27" t="n">
        <v>17</v>
      </c>
      <c r="F460" t="inlineStr">
        <is>
          <t>Police</t>
        </is>
      </c>
      <c r="G460" s="27" t="n">
        <v>2</v>
      </c>
      <c r="H460" t="inlineStr">
        <is>
          <t>Tremors / Alcohol Withdrawal</t>
        </is>
      </c>
      <c r="I460" t="n">
        <v>71</v>
      </c>
      <c r="J460" t="n">
        <v>152</v>
      </c>
      <c r="K460" s="28">
        <f>I460/J460</f>
        <v/>
      </c>
      <c r="L460" s="27" t="n">
        <v>15</v>
      </c>
      <c r="M460" t="inlineStr">
        <is>
          <t>Discharged</t>
        </is>
      </c>
    </row>
    <row r="461">
      <c r="A461" s="29" t="inlineStr">
        <is>
          <t>ED209185</t>
        </is>
      </c>
      <c r="B461" s="29" t="inlineStr">
        <is>
          <t>PT12299</t>
        </is>
      </c>
      <c r="C461" s="30" t="n">
        <v>45834.24652777778</v>
      </c>
      <c r="D461" s="29" t="inlineStr">
        <is>
          <t>Thu</t>
        </is>
      </c>
      <c r="E461" s="31" t="n">
        <v>5</v>
      </c>
      <c r="F461" s="29" t="inlineStr">
        <is>
          <t>Ambulance</t>
        </is>
      </c>
      <c r="G461" s="31" t="n">
        <v>2</v>
      </c>
      <c r="H461" s="29" t="inlineStr">
        <is>
          <t>Fever / Altered Mental Status</t>
        </is>
      </c>
      <c r="I461" s="29" t="n">
        <v>124</v>
      </c>
      <c r="J461" s="29" t="n">
        <v>97</v>
      </c>
      <c r="K461" s="32">
        <f>I461/J461</f>
        <v/>
      </c>
      <c r="L461" s="31" t="n">
        <v>31</v>
      </c>
      <c r="M461" s="29" t="inlineStr">
        <is>
          <t>Admitted</t>
        </is>
      </c>
    </row>
    <row r="462">
      <c r="A462" t="inlineStr">
        <is>
          <t>ED209186</t>
        </is>
      </c>
      <c r="B462" t="inlineStr">
        <is>
          <t>PT11437</t>
        </is>
      </c>
      <c r="C462" s="26" t="n">
        <v>45834.42361111111</v>
      </c>
      <c r="D462" t="inlineStr">
        <is>
          <t>Thu</t>
        </is>
      </c>
      <c r="E462" s="27" t="n">
        <v>10</v>
      </c>
      <c r="F462" t="inlineStr">
        <is>
          <t>Walk-In</t>
        </is>
      </c>
      <c r="G462" s="27" t="n">
        <v>2</v>
      </c>
      <c r="H462" t="inlineStr">
        <is>
          <t>Bloody Stool / Vomiting Blood</t>
        </is>
      </c>
      <c r="I462" t="n">
        <v>98</v>
      </c>
      <c r="J462" t="n">
        <v>109</v>
      </c>
      <c r="K462" s="28">
        <f>I462/J462</f>
        <v/>
      </c>
      <c r="L462" s="27" t="n">
        <v>23</v>
      </c>
      <c r="M462" t="inlineStr">
        <is>
          <t>Admitted</t>
        </is>
      </c>
    </row>
    <row r="463">
      <c r="A463" t="inlineStr">
        <is>
          <t>ED209198</t>
        </is>
      </c>
      <c r="B463" t="inlineStr">
        <is>
          <t>PT11641</t>
        </is>
      </c>
      <c r="C463" s="26" t="n">
        <v>45834.92430555556</v>
      </c>
      <c r="D463" t="inlineStr">
        <is>
          <t>Thu</t>
        </is>
      </c>
      <c r="E463" s="27" t="n">
        <v>22</v>
      </c>
      <c r="F463" t="inlineStr">
        <is>
          <t>Walk-In</t>
        </is>
      </c>
      <c r="G463" s="27" t="n">
        <v>4</v>
      </c>
      <c r="H463" t="inlineStr">
        <is>
          <t>Rash</t>
        </is>
      </c>
      <c r="I463" t="n">
        <v>85</v>
      </c>
      <c r="J463" t="n">
        <v>120</v>
      </c>
      <c r="K463" s="28">
        <f>I463/J463</f>
        <v/>
      </c>
      <c r="L463" s="27" t="n">
        <v>66</v>
      </c>
      <c r="M463" t="inlineStr">
        <is>
          <t>Discharged</t>
        </is>
      </c>
    </row>
    <row r="464">
      <c r="A464" t="inlineStr">
        <is>
          <t>ED209204</t>
        </is>
      </c>
      <c r="B464" t="inlineStr">
        <is>
          <t>PT13311</t>
        </is>
      </c>
      <c r="C464" s="26" t="n">
        <v>45835.04166666666</v>
      </c>
      <c r="D464" t="inlineStr">
        <is>
          <t>Fri</t>
        </is>
      </c>
      <c r="E464" s="27" t="n">
        <v>1</v>
      </c>
      <c r="F464" t="inlineStr">
        <is>
          <t>Ambulance</t>
        </is>
      </c>
      <c r="G464" s="27" t="n">
        <v>3</v>
      </c>
      <c r="H464" t="inlineStr">
        <is>
          <t>Skin Redness / Swelling</t>
        </is>
      </c>
      <c r="I464" t="n">
        <v>87</v>
      </c>
      <c r="J464" t="n">
        <v>130</v>
      </c>
      <c r="K464" s="28">
        <f>I464/J464</f>
        <v/>
      </c>
      <c r="L464" s="27" t="n">
        <v>37</v>
      </c>
      <c r="M464" t="inlineStr">
        <is>
          <t>Admitted</t>
        </is>
      </c>
    </row>
    <row r="465">
      <c r="A465" t="inlineStr">
        <is>
          <t>ED209206</t>
        </is>
      </c>
      <c r="B465" t="inlineStr">
        <is>
          <t>PT12453</t>
        </is>
      </c>
      <c r="C465" s="26" t="n">
        <v>45835.44236111111</v>
      </c>
      <c r="D465" t="inlineStr">
        <is>
          <t>Fri</t>
        </is>
      </c>
      <c r="E465" s="27" t="n">
        <v>10</v>
      </c>
      <c r="F465" t="inlineStr">
        <is>
          <t>Ambulance</t>
        </is>
      </c>
      <c r="G465" s="27" t="n">
        <v>2</v>
      </c>
      <c r="H465" t="inlineStr">
        <is>
          <t>Chest Pain</t>
        </is>
      </c>
      <c r="I465" t="n">
        <v>71</v>
      </c>
      <c r="J465" t="n">
        <v>136</v>
      </c>
      <c r="K465" s="28">
        <f>I465/J465</f>
        <v/>
      </c>
      <c r="L465" s="27" t="n">
        <v>44</v>
      </c>
      <c r="M465" t="inlineStr">
        <is>
          <t>Discharged</t>
        </is>
      </c>
    </row>
    <row r="466">
      <c r="A466" t="inlineStr">
        <is>
          <t>ED209208</t>
        </is>
      </c>
      <c r="B466" t="inlineStr">
        <is>
          <t>PT11348</t>
        </is>
      </c>
      <c r="C466" s="26" t="n">
        <v>45835.66805555556</v>
      </c>
      <c r="D466" t="inlineStr">
        <is>
          <t>Fri</t>
        </is>
      </c>
      <c r="E466" s="27" t="n">
        <v>16</v>
      </c>
      <c r="F466" t="inlineStr">
        <is>
          <t>Ambulance</t>
        </is>
      </c>
      <c r="G466" s="27" t="n">
        <v>1</v>
      </c>
      <c r="H466" t="inlineStr">
        <is>
          <t>Fever / Altered Mental Status</t>
        </is>
      </c>
      <c r="I466" t="n">
        <v>109</v>
      </c>
      <c r="J466" t="n">
        <v>91</v>
      </c>
      <c r="K466" s="28">
        <f>I466/J466</f>
        <v/>
      </c>
      <c r="L466" s="27" t="n">
        <v>4</v>
      </c>
      <c r="M466" t="inlineStr">
        <is>
          <t>Admitted</t>
        </is>
      </c>
    </row>
    <row r="467">
      <c r="A467" t="inlineStr">
        <is>
          <t>ED209227</t>
        </is>
      </c>
      <c r="B467" t="inlineStr">
        <is>
          <t>PT13170</t>
        </is>
      </c>
      <c r="C467" s="26" t="n">
        <v>45836.31805555556</v>
      </c>
      <c r="D467" t="inlineStr">
        <is>
          <t>Sat</t>
        </is>
      </c>
      <c r="E467" s="27" t="n">
        <v>7</v>
      </c>
      <c r="F467" t="inlineStr">
        <is>
          <t>Walk-In</t>
        </is>
      </c>
      <c r="G467" s="27" t="n">
        <v>5</v>
      </c>
      <c r="H467" t="inlineStr">
        <is>
          <t>Headache</t>
        </is>
      </c>
      <c r="I467" t="n">
        <v>98</v>
      </c>
      <c r="J467" t="n">
        <v>129</v>
      </c>
      <c r="K467" s="28">
        <f>I467/J467</f>
        <v/>
      </c>
      <c r="L467" s="27" t="n">
        <v>18</v>
      </c>
      <c r="M467" t="inlineStr">
        <is>
          <t>Discharged</t>
        </is>
      </c>
    </row>
    <row r="468">
      <c r="A468" t="inlineStr">
        <is>
          <t>ED209235</t>
        </is>
      </c>
      <c r="B468" t="inlineStr">
        <is>
          <t>PT10663</t>
        </is>
      </c>
      <c r="C468" s="26" t="n">
        <v>45836.69722222222</v>
      </c>
      <c r="D468" t="inlineStr">
        <is>
          <t>Sat</t>
        </is>
      </c>
      <c r="E468" s="27" t="n">
        <v>16</v>
      </c>
      <c r="F468" t="inlineStr">
        <is>
          <t>Ambulance</t>
        </is>
      </c>
      <c r="G468" s="27" t="n">
        <v>3</v>
      </c>
      <c r="H468" t="inlineStr">
        <is>
          <t>Vomiting / Dizziness</t>
        </is>
      </c>
      <c r="I468" t="n">
        <v>101</v>
      </c>
      <c r="J468" t="n">
        <v>150</v>
      </c>
      <c r="K468" s="28">
        <f>I468/J468</f>
        <v/>
      </c>
      <c r="L468" s="27" t="n">
        <v>85</v>
      </c>
      <c r="M468" t="inlineStr">
        <is>
          <t>Admitted</t>
        </is>
      </c>
    </row>
    <row r="469">
      <c r="A469" t="inlineStr">
        <is>
          <t>ED209240</t>
        </is>
      </c>
      <c r="B469" t="inlineStr">
        <is>
          <t>PT12054</t>
        </is>
      </c>
      <c r="C469" s="26" t="n">
        <v>45836.77708333333</v>
      </c>
      <c r="D469" t="inlineStr">
        <is>
          <t>Sat</t>
        </is>
      </c>
      <c r="E469" s="27" t="n">
        <v>18</v>
      </c>
      <c r="F469" t="inlineStr">
        <is>
          <t>Walk-In</t>
        </is>
      </c>
      <c r="G469" s="27" t="n">
        <v>4</v>
      </c>
      <c r="H469" t="inlineStr">
        <is>
          <t>Shortness of Breath</t>
        </is>
      </c>
      <c r="I469" t="n">
        <v>91</v>
      </c>
      <c r="J469" t="n">
        <v>140</v>
      </c>
      <c r="K469" s="28">
        <f>I469/J469</f>
        <v/>
      </c>
      <c r="L469" s="27" t="n">
        <v>69</v>
      </c>
      <c r="M469" t="inlineStr">
        <is>
          <t>Discharged</t>
        </is>
      </c>
    </row>
    <row r="470">
      <c r="A470" t="inlineStr">
        <is>
          <t>ED209241</t>
        </is>
      </c>
      <c r="B470" t="inlineStr">
        <is>
          <t>PT10686</t>
        </is>
      </c>
      <c r="C470" s="26" t="n">
        <v>45836.77986111111</v>
      </c>
      <c r="D470" t="inlineStr">
        <is>
          <t>Sat</t>
        </is>
      </c>
      <c r="E470" s="27" t="n">
        <v>18</v>
      </c>
      <c r="F470" t="inlineStr">
        <is>
          <t>Walk-In</t>
        </is>
      </c>
      <c r="G470" s="27" t="n">
        <v>4</v>
      </c>
      <c r="H470" t="inlineStr">
        <is>
          <t>Vomiting / Dizziness</t>
        </is>
      </c>
      <c r="I470" t="n">
        <v>131</v>
      </c>
      <c r="J470" t="n">
        <v>148</v>
      </c>
      <c r="K470" s="28">
        <f>I470/J470</f>
        <v/>
      </c>
      <c r="L470" s="27" t="n">
        <v>46</v>
      </c>
      <c r="M470" t="inlineStr">
        <is>
          <t>Admitted</t>
        </is>
      </c>
    </row>
    <row r="471">
      <c r="A471" t="inlineStr">
        <is>
          <t>ED209245</t>
        </is>
      </c>
      <c r="B471" t="inlineStr">
        <is>
          <t>PT13522</t>
        </is>
      </c>
      <c r="C471" s="26" t="n">
        <v>45836.97847222222</v>
      </c>
      <c r="D471" t="inlineStr">
        <is>
          <t>Sat</t>
        </is>
      </c>
      <c r="E471" s="27" t="n">
        <v>23</v>
      </c>
      <c r="F471" t="inlineStr">
        <is>
          <t>Walk-In</t>
        </is>
      </c>
      <c r="G471" s="27" t="n">
        <v>5</v>
      </c>
      <c r="H471" t="inlineStr">
        <is>
          <t>Back Pain</t>
        </is>
      </c>
      <c r="I471" t="n">
        <v>66</v>
      </c>
      <c r="J471" t="n">
        <v>144</v>
      </c>
      <c r="K471" s="28">
        <f>I471/J471</f>
        <v/>
      </c>
      <c r="L471" s="27" t="n">
        <v>41</v>
      </c>
      <c r="M471" t="inlineStr">
        <is>
          <t>Discharged</t>
        </is>
      </c>
    </row>
    <row r="472">
      <c r="A472" t="inlineStr">
        <is>
          <t>ED209252</t>
        </is>
      </c>
      <c r="B472" t="inlineStr">
        <is>
          <t>PT11409</t>
        </is>
      </c>
      <c r="C472" s="26" t="n">
        <v>45837.47361111111</v>
      </c>
      <c r="D472" t="inlineStr">
        <is>
          <t>Sun</t>
        </is>
      </c>
      <c r="E472" s="27" t="n">
        <v>11</v>
      </c>
      <c r="F472" t="inlineStr">
        <is>
          <t>Walk-In</t>
        </is>
      </c>
      <c r="G472" s="27" t="n">
        <v>4</v>
      </c>
      <c r="H472" t="inlineStr">
        <is>
          <t>Head Injury</t>
        </is>
      </c>
      <c r="I472" t="n">
        <v>101</v>
      </c>
      <c r="J472" t="n">
        <v>140</v>
      </c>
      <c r="K472" s="28">
        <f>I472/J472</f>
        <v/>
      </c>
      <c r="L472" s="27" t="n">
        <v>24</v>
      </c>
      <c r="M472" t="inlineStr">
        <is>
          <t>Discharged</t>
        </is>
      </c>
    </row>
    <row r="473">
      <c r="A473" t="inlineStr">
        <is>
          <t>ED209253</t>
        </is>
      </c>
      <c r="B473" t="inlineStr">
        <is>
          <t>PT13090</t>
        </is>
      </c>
      <c r="C473" s="26" t="n">
        <v>45837.70694444444</v>
      </c>
      <c r="D473" t="inlineStr">
        <is>
          <t>Sun</t>
        </is>
      </c>
      <c r="E473" s="27" t="n">
        <v>16</v>
      </c>
      <c r="F473" t="inlineStr">
        <is>
          <t>Ambulance</t>
        </is>
      </c>
      <c r="G473" s="27" t="n">
        <v>2</v>
      </c>
      <c r="H473" t="inlineStr">
        <is>
          <t>Anxiety / Palpitations</t>
        </is>
      </c>
      <c r="I473" t="n">
        <v>75</v>
      </c>
      <c r="J473" t="n">
        <v>141</v>
      </c>
      <c r="K473" s="28">
        <f>I473/J473</f>
        <v/>
      </c>
      <c r="L473" s="27" t="n">
        <v>28</v>
      </c>
      <c r="M473" t="inlineStr">
        <is>
          <t>Observation</t>
        </is>
      </c>
    </row>
    <row r="474">
      <c r="A474" t="inlineStr">
        <is>
          <t>ED209264</t>
        </is>
      </c>
      <c r="B474" t="inlineStr">
        <is>
          <t>PT10891</t>
        </is>
      </c>
      <c r="C474" s="26" t="n">
        <v>45838.59861111111</v>
      </c>
      <c r="D474" t="inlineStr">
        <is>
          <t>Mon</t>
        </is>
      </c>
      <c r="E474" s="27" t="n">
        <v>14</v>
      </c>
      <c r="F474" t="inlineStr">
        <is>
          <t>Walk-In</t>
        </is>
      </c>
      <c r="G474" s="27" t="n">
        <v>4</v>
      </c>
      <c r="H474" t="inlineStr">
        <is>
          <t>Back Pain</t>
        </is>
      </c>
      <c r="I474" t="n">
        <v>88</v>
      </c>
      <c r="J474" t="n">
        <v>117</v>
      </c>
      <c r="K474" s="28">
        <f>I474/J474</f>
        <v/>
      </c>
      <c r="L474" s="27" t="n">
        <v>36</v>
      </c>
      <c r="M474" t="inlineStr">
        <is>
          <t>Discharged</t>
        </is>
      </c>
    </row>
    <row r="475">
      <c r="A475" t="inlineStr">
        <is>
          <t>ED209273</t>
        </is>
      </c>
      <c r="B475" t="inlineStr">
        <is>
          <t>PT11447</t>
        </is>
      </c>
      <c r="C475" s="26" t="n">
        <v>45839.3875</v>
      </c>
      <c r="D475" t="inlineStr">
        <is>
          <t>Tue</t>
        </is>
      </c>
      <c r="E475" s="27" t="n">
        <v>9</v>
      </c>
      <c r="F475" t="inlineStr">
        <is>
          <t>Ambulance</t>
        </is>
      </c>
      <c r="G475" s="27" t="n">
        <v>2</v>
      </c>
      <c r="H475" t="inlineStr">
        <is>
          <t>Chest Pain</t>
        </is>
      </c>
      <c r="I475" t="n">
        <v>79</v>
      </c>
      <c r="J475" t="n">
        <v>135</v>
      </c>
      <c r="K475" s="28">
        <f>I475/J475</f>
        <v/>
      </c>
      <c r="L475" s="27" t="n">
        <v>17</v>
      </c>
      <c r="M475" t="inlineStr">
        <is>
          <t>Observation</t>
        </is>
      </c>
    </row>
    <row r="476">
      <c r="A476" t="inlineStr">
        <is>
          <t>ED209279</t>
        </is>
      </c>
      <c r="B476" t="inlineStr">
        <is>
          <t>PT13801</t>
        </is>
      </c>
      <c r="C476" s="26" t="n">
        <v>45839.54375</v>
      </c>
      <c r="D476" t="inlineStr">
        <is>
          <t>Tue</t>
        </is>
      </c>
      <c r="E476" s="27" t="n">
        <v>13</v>
      </c>
      <c r="F476" t="inlineStr">
        <is>
          <t>Ambulance</t>
        </is>
      </c>
      <c r="G476" s="27" t="n">
        <v>3</v>
      </c>
      <c r="H476" t="inlineStr">
        <is>
          <t>Vomiting / Diarrhea</t>
        </is>
      </c>
      <c r="I476" t="n">
        <v>106</v>
      </c>
      <c r="J476" t="n">
        <v>109</v>
      </c>
      <c r="K476" s="28">
        <f>I476/J476</f>
        <v/>
      </c>
      <c r="L476" s="27" t="n">
        <v>19</v>
      </c>
      <c r="M476" t="inlineStr">
        <is>
          <t>Discharged</t>
        </is>
      </c>
    </row>
    <row r="477">
      <c r="A477" t="inlineStr">
        <is>
          <t>ED209282</t>
        </is>
      </c>
      <c r="B477" t="inlineStr">
        <is>
          <t>PT12732</t>
        </is>
      </c>
      <c r="C477" s="26" t="n">
        <v>45839.69652777778</v>
      </c>
      <c r="D477" t="inlineStr">
        <is>
          <t>Tue</t>
        </is>
      </c>
      <c r="E477" s="27" t="n">
        <v>16</v>
      </c>
      <c r="F477" t="inlineStr">
        <is>
          <t>Walk-In</t>
        </is>
      </c>
      <c r="G477" s="27" t="n">
        <v>3</v>
      </c>
      <c r="H477" t="inlineStr">
        <is>
          <t>Chest Pain</t>
        </is>
      </c>
      <c r="I477" t="n">
        <v>80</v>
      </c>
      <c r="J477" t="n">
        <v>138</v>
      </c>
      <c r="K477" s="28">
        <f>I477/J477</f>
        <v/>
      </c>
      <c r="L477" s="27" t="n">
        <v>37</v>
      </c>
      <c r="M477" t="inlineStr">
        <is>
          <t>Discharged</t>
        </is>
      </c>
    </row>
    <row r="478">
      <c r="A478" t="inlineStr">
        <is>
          <t>ED209287</t>
        </is>
      </c>
      <c r="B478" t="inlineStr">
        <is>
          <t>PT12059</t>
        </is>
      </c>
      <c r="C478" s="26" t="n">
        <v>45839.89444444444</v>
      </c>
      <c r="D478" t="inlineStr">
        <is>
          <t>Tue</t>
        </is>
      </c>
      <c r="E478" s="27" t="n">
        <v>21</v>
      </c>
      <c r="F478" t="inlineStr">
        <is>
          <t>Walk-In</t>
        </is>
      </c>
      <c r="G478" s="27" t="n">
        <v>3</v>
      </c>
      <c r="H478" t="inlineStr">
        <is>
          <t>Headache</t>
        </is>
      </c>
      <c r="I478" t="n">
        <v>85</v>
      </c>
      <c r="J478" t="n">
        <v>169</v>
      </c>
      <c r="K478" s="28">
        <f>I478/J478</f>
        <v/>
      </c>
      <c r="L478" s="27" t="n">
        <v>59</v>
      </c>
      <c r="M478" t="inlineStr">
        <is>
          <t>Discharged</t>
        </is>
      </c>
    </row>
    <row r="479">
      <c r="A479" t="inlineStr">
        <is>
          <t>ED209288</t>
        </is>
      </c>
      <c r="B479" t="inlineStr">
        <is>
          <t>PT10475</t>
        </is>
      </c>
      <c r="C479" s="26" t="n">
        <v>45839.92430555556</v>
      </c>
      <c r="D479" t="inlineStr">
        <is>
          <t>Tue</t>
        </is>
      </c>
      <c r="E479" s="27" t="n">
        <v>22</v>
      </c>
      <c r="F479" t="inlineStr">
        <is>
          <t>Walk-In</t>
        </is>
      </c>
      <c r="G479" s="27" t="n">
        <v>1</v>
      </c>
      <c r="H479" t="inlineStr">
        <is>
          <t>Shortness of Breath</t>
        </is>
      </c>
      <c r="I479" t="n">
        <v>96</v>
      </c>
      <c r="J479" t="n">
        <v>100</v>
      </c>
      <c r="K479" s="28">
        <f>I479/J479</f>
        <v/>
      </c>
      <c r="L479" s="27" t="n">
        <v>4</v>
      </c>
      <c r="M479" t="inlineStr">
        <is>
          <t>Admitted</t>
        </is>
      </c>
    </row>
    <row r="480">
      <c r="A480" s="29" t="inlineStr">
        <is>
          <t>ED209289</t>
        </is>
      </c>
      <c r="B480" s="29" t="inlineStr">
        <is>
          <t>PT13661</t>
        </is>
      </c>
      <c r="C480" s="30" t="n">
        <v>45839.99375</v>
      </c>
      <c r="D480" s="29" t="inlineStr">
        <is>
          <t>Tue</t>
        </is>
      </c>
      <c r="E480" s="31" t="n">
        <v>23</v>
      </c>
      <c r="F480" s="29" t="inlineStr">
        <is>
          <t>Walk-In</t>
        </is>
      </c>
      <c r="G480" s="31" t="n">
        <v>3</v>
      </c>
      <c r="H480" s="29" t="inlineStr">
        <is>
          <t>Cough / Fever</t>
        </is>
      </c>
      <c r="I480" s="29" t="n">
        <v>118</v>
      </c>
      <c r="J480" s="29" t="n">
        <v>112</v>
      </c>
      <c r="K480" s="32">
        <f>I480/J480</f>
        <v/>
      </c>
      <c r="L480" s="31" t="n">
        <v>12</v>
      </c>
      <c r="M480" s="29" t="inlineStr">
        <is>
          <t>Admitted</t>
        </is>
      </c>
    </row>
    <row r="481">
      <c r="A481" t="inlineStr">
        <is>
          <t>ED209292</t>
        </is>
      </c>
      <c r="B481" t="inlineStr">
        <is>
          <t>PT13116</t>
        </is>
      </c>
      <c r="C481" s="26" t="n">
        <v>45840.38819444444</v>
      </c>
      <c r="D481" t="inlineStr">
        <is>
          <t>Wed</t>
        </is>
      </c>
      <c r="E481" s="27" t="n">
        <v>9</v>
      </c>
      <c r="F481" t="inlineStr">
        <is>
          <t>Walk-In</t>
        </is>
      </c>
      <c r="G481" s="27" t="n">
        <v>2</v>
      </c>
      <c r="H481" t="inlineStr">
        <is>
          <t>Chest Pain</t>
        </is>
      </c>
      <c r="I481" t="n">
        <v>76</v>
      </c>
      <c r="J481" t="n">
        <v>137</v>
      </c>
      <c r="K481" s="28">
        <f>I481/J481</f>
        <v/>
      </c>
      <c r="L481" s="27" t="n">
        <v>18</v>
      </c>
      <c r="M481" t="inlineStr">
        <is>
          <t>Admitted</t>
        </is>
      </c>
    </row>
    <row r="482">
      <c r="A482" t="inlineStr">
        <is>
          <t>ED209293</t>
        </is>
      </c>
      <c r="B482" t="inlineStr">
        <is>
          <t>PT11122</t>
        </is>
      </c>
      <c r="C482" s="26" t="n">
        <v>45840.39236111111</v>
      </c>
      <c r="D482" t="inlineStr">
        <is>
          <t>Wed</t>
        </is>
      </c>
      <c r="E482" s="27" t="n">
        <v>9</v>
      </c>
      <c r="F482" t="inlineStr">
        <is>
          <t>Walk-In</t>
        </is>
      </c>
      <c r="G482" s="27" t="n">
        <v>3</v>
      </c>
      <c r="H482" t="inlineStr">
        <is>
          <t>Laceration</t>
        </is>
      </c>
      <c r="I482" t="n">
        <v>92</v>
      </c>
      <c r="J482" t="n">
        <v>137</v>
      </c>
      <c r="K482" s="28">
        <f>I482/J482</f>
        <v/>
      </c>
      <c r="L482" s="27" t="n">
        <v>25</v>
      </c>
      <c r="M482" t="inlineStr">
        <is>
          <t>Discharged</t>
        </is>
      </c>
    </row>
    <row r="483">
      <c r="A483" t="inlineStr">
        <is>
          <t>ED209296</t>
        </is>
      </c>
      <c r="B483" t="inlineStr">
        <is>
          <t>PT12279</t>
        </is>
      </c>
      <c r="C483" s="26" t="n">
        <v>45840.60625</v>
      </c>
      <c r="D483" t="inlineStr">
        <is>
          <t>Wed</t>
        </is>
      </c>
      <c r="E483" s="27" t="n">
        <v>14</v>
      </c>
      <c r="F483" t="inlineStr">
        <is>
          <t>Ambulance</t>
        </is>
      </c>
      <c r="G483" s="27" t="n">
        <v>1</v>
      </c>
      <c r="H483" t="inlineStr">
        <is>
          <t>Confusion</t>
        </is>
      </c>
      <c r="I483" t="n">
        <v>77</v>
      </c>
      <c r="J483" t="n">
        <v>136</v>
      </c>
      <c r="K483" s="28">
        <f>I483/J483</f>
        <v/>
      </c>
      <c r="L483" s="27" t="n">
        <v>4</v>
      </c>
      <c r="M483" t="inlineStr">
        <is>
          <t>Admitted</t>
        </is>
      </c>
    </row>
    <row r="484">
      <c r="A484" t="inlineStr">
        <is>
          <t>ED209304</t>
        </is>
      </c>
      <c r="B484" t="inlineStr">
        <is>
          <t>PT12355</t>
        </is>
      </c>
      <c r="C484" s="26" t="n">
        <v>45840.96458333333</v>
      </c>
      <c r="D484" t="inlineStr">
        <is>
          <t>Wed</t>
        </is>
      </c>
      <c r="E484" s="27" t="n">
        <v>23</v>
      </c>
      <c r="F484" t="inlineStr">
        <is>
          <t>Ambulance</t>
        </is>
      </c>
      <c r="G484" s="27" t="n">
        <v>2</v>
      </c>
      <c r="H484" t="inlineStr">
        <is>
          <t>Fall</t>
        </is>
      </c>
      <c r="I484" t="n">
        <v>93</v>
      </c>
      <c r="J484" t="n">
        <v>123</v>
      </c>
      <c r="K484" s="28">
        <f>I484/J484</f>
        <v/>
      </c>
      <c r="L484" s="27" t="n">
        <v>19</v>
      </c>
      <c r="M484" t="inlineStr">
        <is>
          <t>Admitted</t>
        </is>
      </c>
    </row>
    <row r="485">
      <c r="A485" t="inlineStr">
        <is>
          <t>ED209305</t>
        </is>
      </c>
      <c r="B485" t="inlineStr">
        <is>
          <t>PT12444</t>
        </is>
      </c>
      <c r="C485" s="26" t="n">
        <v>45841.33958333333</v>
      </c>
      <c r="D485" t="inlineStr">
        <is>
          <t>Thu</t>
        </is>
      </c>
      <c r="E485" s="27" t="n">
        <v>8</v>
      </c>
      <c r="F485" t="inlineStr">
        <is>
          <t>Walk-In</t>
        </is>
      </c>
      <c r="G485" s="27" t="n">
        <v>3</v>
      </c>
      <c r="H485" t="inlineStr">
        <is>
          <t>Shortness of Breath</t>
        </is>
      </c>
      <c r="I485" t="n">
        <v>108</v>
      </c>
      <c r="J485" t="n">
        <v>127</v>
      </c>
      <c r="K485" s="28">
        <f>I485/J485</f>
        <v/>
      </c>
      <c r="L485" s="27" t="n">
        <v>23</v>
      </c>
      <c r="M485" t="inlineStr">
        <is>
          <t>Discharged</t>
        </is>
      </c>
    </row>
    <row r="486">
      <c r="A486" t="inlineStr">
        <is>
          <t>ED209311</t>
        </is>
      </c>
      <c r="B486" t="inlineStr">
        <is>
          <t>PT12277</t>
        </is>
      </c>
      <c r="C486" s="26" t="n">
        <v>45841.53263888889</v>
      </c>
      <c r="D486" t="inlineStr">
        <is>
          <t>Thu</t>
        </is>
      </c>
      <c r="E486" s="27" t="n">
        <v>12</v>
      </c>
      <c r="F486" t="inlineStr">
        <is>
          <t>Walk-In</t>
        </is>
      </c>
      <c r="G486" s="27" t="n">
        <v>3</v>
      </c>
      <c r="H486" t="inlineStr">
        <is>
          <t>Chest Pain</t>
        </is>
      </c>
      <c r="I486" t="n">
        <v>82</v>
      </c>
      <c r="J486" t="n">
        <v>147</v>
      </c>
      <c r="K486" s="28">
        <f>I486/J486</f>
        <v/>
      </c>
      <c r="L486" s="27" t="n">
        <v>41</v>
      </c>
      <c r="M486" t="inlineStr">
        <is>
          <t>Discharged</t>
        </is>
      </c>
    </row>
    <row r="487">
      <c r="A487" t="inlineStr">
        <is>
          <t>ED209322</t>
        </is>
      </c>
      <c r="B487" t="inlineStr">
        <is>
          <t>PT13168</t>
        </is>
      </c>
      <c r="C487" s="26" t="n">
        <v>45842.45486111111</v>
      </c>
      <c r="D487" t="inlineStr">
        <is>
          <t>Fri</t>
        </is>
      </c>
      <c r="E487" s="27" t="n">
        <v>10</v>
      </c>
      <c r="F487" t="inlineStr">
        <is>
          <t>Walk-In</t>
        </is>
      </c>
      <c r="G487" s="27" t="n">
        <v>3</v>
      </c>
      <c r="H487" t="inlineStr">
        <is>
          <t>High Blood Sugar</t>
        </is>
      </c>
      <c r="I487" t="n">
        <v>96</v>
      </c>
      <c r="J487" t="n">
        <v>120</v>
      </c>
      <c r="K487" s="28">
        <f>I487/J487</f>
        <v/>
      </c>
      <c r="L487" s="27" t="n">
        <v>61</v>
      </c>
      <c r="M487" t="inlineStr">
        <is>
          <t>Admitted</t>
        </is>
      </c>
    </row>
    <row r="488">
      <c r="A488" t="inlineStr">
        <is>
          <t>ED209329</t>
        </is>
      </c>
      <c r="B488" t="inlineStr">
        <is>
          <t>PT12247</t>
        </is>
      </c>
      <c r="C488" s="26" t="n">
        <v>45842.90069444444</v>
      </c>
      <c r="D488" t="inlineStr">
        <is>
          <t>Fri</t>
        </is>
      </c>
      <c r="E488" s="27" t="n">
        <v>21</v>
      </c>
      <c r="F488" t="inlineStr">
        <is>
          <t>Walk-In</t>
        </is>
      </c>
      <c r="G488" s="27" t="n">
        <v>5</v>
      </c>
      <c r="H488" t="inlineStr">
        <is>
          <t>Rash</t>
        </is>
      </c>
      <c r="I488" t="n">
        <v>98</v>
      </c>
      <c r="J488" t="n">
        <v>134</v>
      </c>
      <c r="K488" s="28">
        <f>I488/J488</f>
        <v/>
      </c>
      <c r="L488" s="27" t="n">
        <v>16</v>
      </c>
      <c r="M488" t="inlineStr">
        <is>
          <t>Discharged</t>
        </is>
      </c>
    </row>
    <row r="489">
      <c r="A489" t="inlineStr">
        <is>
          <t>ED209333</t>
        </is>
      </c>
      <c r="B489" t="inlineStr">
        <is>
          <t>PT11200</t>
        </is>
      </c>
      <c r="C489" s="26" t="n">
        <v>45843.025</v>
      </c>
      <c r="D489" t="inlineStr">
        <is>
          <t>Sat</t>
        </is>
      </c>
      <c r="E489" s="27" t="n">
        <v>0</v>
      </c>
      <c r="F489" t="inlineStr">
        <is>
          <t>Walk-In</t>
        </is>
      </c>
      <c r="G489" s="27" t="n">
        <v>5</v>
      </c>
      <c r="H489" t="inlineStr">
        <is>
          <t>Laceration</t>
        </is>
      </c>
      <c r="I489" t="n">
        <v>95</v>
      </c>
      <c r="J489" t="n">
        <v>149</v>
      </c>
      <c r="K489" s="28">
        <f>I489/J489</f>
        <v/>
      </c>
      <c r="L489" s="27" t="n">
        <v>34</v>
      </c>
      <c r="M489" t="inlineStr">
        <is>
          <t>Discharged</t>
        </is>
      </c>
    </row>
    <row r="490">
      <c r="A490" t="inlineStr">
        <is>
          <t>ED209341</t>
        </is>
      </c>
      <c r="B490" t="inlineStr">
        <is>
          <t>PT12299</t>
        </is>
      </c>
      <c r="C490" s="26" t="n">
        <v>45843.74861111111</v>
      </c>
      <c r="D490" t="inlineStr">
        <is>
          <t>Sat</t>
        </is>
      </c>
      <c r="E490" s="27" t="n">
        <v>17</v>
      </c>
      <c r="F490" t="inlineStr">
        <is>
          <t>Ambulance</t>
        </is>
      </c>
      <c r="G490" s="27" t="n">
        <v>2</v>
      </c>
      <c r="H490" t="inlineStr">
        <is>
          <t>Rash</t>
        </is>
      </c>
      <c r="I490" t="n">
        <v>119</v>
      </c>
      <c r="J490" t="n">
        <v>100</v>
      </c>
      <c r="K490" s="28">
        <f>I490/J490</f>
        <v/>
      </c>
      <c r="L490" s="27" t="n">
        <v>7</v>
      </c>
      <c r="M490" t="inlineStr">
        <is>
          <t>Admitted</t>
        </is>
      </c>
    </row>
    <row r="491">
      <c r="A491" t="inlineStr">
        <is>
          <t>ED209344</t>
        </is>
      </c>
      <c r="B491" t="inlineStr">
        <is>
          <t>PT11603</t>
        </is>
      </c>
      <c r="C491" s="26" t="n">
        <v>45844.13333333333</v>
      </c>
      <c r="D491" t="inlineStr">
        <is>
          <t>Sun</t>
        </is>
      </c>
      <c r="E491" s="27" t="n">
        <v>3</v>
      </c>
      <c r="F491" t="inlineStr">
        <is>
          <t>Ambulance</t>
        </is>
      </c>
      <c r="G491" s="27" t="n">
        <v>2</v>
      </c>
      <c r="H491" t="inlineStr">
        <is>
          <t>Headache</t>
        </is>
      </c>
      <c r="I491" t="n">
        <v>69</v>
      </c>
      <c r="J491" t="n">
        <v>166</v>
      </c>
      <c r="K491" s="28">
        <f>I491/J491</f>
        <v/>
      </c>
      <c r="L491" s="27" t="n">
        <v>10</v>
      </c>
      <c r="M491" t="inlineStr">
        <is>
          <t>Discharged</t>
        </is>
      </c>
    </row>
    <row r="492">
      <c r="A492" t="inlineStr">
        <is>
          <t>ED209345</t>
        </is>
      </c>
      <c r="B492" t="inlineStr">
        <is>
          <t>PT12910</t>
        </is>
      </c>
      <c r="C492" s="26" t="n">
        <v>45844.38541666666</v>
      </c>
      <c r="D492" t="inlineStr">
        <is>
          <t>Sun</t>
        </is>
      </c>
      <c r="E492" s="27" t="n">
        <v>9</v>
      </c>
      <c r="F492" t="inlineStr">
        <is>
          <t>Ambulance</t>
        </is>
      </c>
      <c r="G492" s="27" t="n">
        <v>3</v>
      </c>
      <c r="H492" t="inlineStr">
        <is>
          <t>Abdominal Pain</t>
        </is>
      </c>
      <c r="I492" t="n">
        <v>89</v>
      </c>
      <c r="J492" t="n">
        <v>135</v>
      </c>
      <c r="K492" s="28">
        <f>I492/J492</f>
        <v/>
      </c>
      <c r="L492" s="27" t="n">
        <v>21</v>
      </c>
      <c r="M492" t="inlineStr">
        <is>
          <t>Observation</t>
        </is>
      </c>
    </row>
    <row r="493">
      <c r="A493" t="inlineStr">
        <is>
          <t>ED209346</t>
        </is>
      </c>
      <c r="B493" t="inlineStr">
        <is>
          <t>PT11753</t>
        </is>
      </c>
      <c r="C493" s="26" t="n">
        <v>45844.48888888889</v>
      </c>
      <c r="D493" t="inlineStr">
        <is>
          <t>Sun</t>
        </is>
      </c>
      <c r="E493" s="27" t="n">
        <v>11</v>
      </c>
      <c r="F493" t="inlineStr">
        <is>
          <t>Ambulance</t>
        </is>
      </c>
      <c r="G493" s="27" t="n">
        <v>3</v>
      </c>
      <c r="H493" t="inlineStr">
        <is>
          <t>Fainting</t>
        </is>
      </c>
      <c r="I493" t="n">
        <v>79</v>
      </c>
      <c r="J493" t="n">
        <v>148</v>
      </c>
      <c r="K493" s="28">
        <f>I493/J493</f>
        <v/>
      </c>
      <c r="L493" s="27" t="n">
        <v>45</v>
      </c>
      <c r="M493" t="inlineStr">
        <is>
          <t>Discharged</t>
        </is>
      </c>
    </row>
    <row r="494">
      <c r="A494" t="inlineStr">
        <is>
          <t>ED209372</t>
        </is>
      </c>
      <c r="B494" t="inlineStr">
        <is>
          <t>PT11138</t>
        </is>
      </c>
      <c r="C494" s="26" t="n">
        <v>45845.70486111111</v>
      </c>
      <c r="D494" t="inlineStr">
        <is>
          <t>Mon</t>
        </is>
      </c>
      <c r="E494" s="27" t="n">
        <v>16</v>
      </c>
      <c r="F494" t="inlineStr">
        <is>
          <t>Walk-In</t>
        </is>
      </c>
      <c r="G494" s="27" t="n">
        <v>4</v>
      </c>
      <c r="H494" t="inlineStr">
        <is>
          <t>Head Injury</t>
        </is>
      </c>
      <c r="I494" t="n">
        <v>80</v>
      </c>
      <c r="K494" s="28">
        <f>I494/J494</f>
        <v/>
      </c>
      <c r="L494" s="27" t="n"/>
      <c r="M494" t="inlineStr">
        <is>
          <t>LWBS</t>
        </is>
      </c>
    </row>
    <row r="495">
      <c r="A495" t="inlineStr">
        <is>
          <t>ED209374</t>
        </is>
      </c>
      <c r="B495" t="inlineStr">
        <is>
          <t>PT10659</t>
        </is>
      </c>
      <c r="C495" s="26" t="n">
        <v>45845.79583333333</v>
      </c>
      <c r="D495" t="inlineStr">
        <is>
          <t>Mon</t>
        </is>
      </c>
      <c r="E495" s="27" t="n">
        <v>19</v>
      </c>
      <c r="F495" t="inlineStr">
        <is>
          <t>Walk-In</t>
        </is>
      </c>
      <c r="G495" s="27" t="n">
        <v>2</v>
      </c>
      <c r="H495" t="inlineStr">
        <is>
          <t>Bloody Stool / Vomiting Blood</t>
        </is>
      </c>
      <c r="I495" t="n">
        <v>104</v>
      </c>
      <c r="J495" t="n">
        <v>120</v>
      </c>
      <c r="K495" s="28">
        <f>I495/J495</f>
        <v/>
      </c>
      <c r="L495" s="27" t="n">
        <v>26</v>
      </c>
      <c r="M495" t="inlineStr">
        <is>
          <t>Admitted</t>
        </is>
      </c>
    </row>
    <row r="496">
      <c r="A496" t="inlineStr">
        <is>
          <t>ED209380</t>
        </is>
      </c>
      <c r="B496" t="inlineStr">
        <is>
          <t>PT10804</t>
        </is>
      </c>
      <c r="C496" s="26" t="n">
        <v>45846.00069444445</v>
      </c>
      <c r="D496" t="inlineStr">
        <is>
          <t>Tue</t>
        </is>
      </c>
      <c r="E496" s="27" t="n">
        <v>0</v>
      </c>
      <c r="F496" t="inlineStr">
        <is>
          <t>Walk-In</t>
        </is>
      </c>
      <c r="G496" s="27" t="n">
        <v>4</v>
      </c>
      <c r="H496" t="inlineStr">
        <is>
          <t>Cough / Fever</t>
        </is>
      </c>
      <c r="I496" t="n">
        <v>88</v>
      </c>
      <c r="J496" t="n">
        <v>141</v>
      </c>
      <c r="K496" s="28">
        <f>I496/J496</f>
        <v/>
      </c>
      <c r="L496" s="27" t="n">
        <v>74</v>
      </c>
      <c r="M496" t="inlineStr">
        <is>
          <t>Discharged</t>
        </is>
      </c>
    </row>
    <row r="497">
      <c r="A497" t="inlineStr">
        <is>
          <t>ED209410</t>
        </is>
      </c>
      <c r="B497" t="inlineStr">
        <is>
          <t>PT10840</t>
        </is>
      </c>
      <c r="C497" s="26" t="n">
        <v>45847.68194444444</v>
      </c>
      <c r="D497" t="inlineStr">
        <is>
          <t>Wed</t>
        </is>
      </c>
      <c r="E497" s="27" t="n">
        <v>16</v>
      </c>
      <c r="F497" t="inlineStr">
        <is>
          <t>Walk-In</t>
        </is>
      </c>
      <c r="G497" s="27" t="n">
        <v>5</v>
      </c>
      <c r="H497" t="inlineStr">
        <is>
          <t>Anxiety / Palpitations</t>
        </is>
      </c>
      <c r="I497" t="n">
        <v>70</v>
      </c>
      <c r="J497" t="n">
        <v>120</v>
      </c>
      <c r="K497" s="28">
        <f>I497/J497</f>
        <v/>
      </c>
      <c r="L497" s="27" t="n">
        <v>39</v>
      </c>
      <c r="M497" t="inlineStr">
        <is>
          <t>Discharged</t>
        </is>
      </c>
    </row>
    <row r="498">
      <c r="A498" t="inlineStr">
        <is>
          <t>ED209419</t>
        </is>
      </c>
      <c r="B498" t="inlineStr">
        <is>
          <t>PT12955</t>
        </is>
      </c>
      <c r="C498" s="26" t="n">
        <v>45847.87430555555</v>
      </c>
      <c r="D498" t="inlineStr">
        <is>
          <t>Wed</t>
        </is>
      </c>
      <c r="E498" s="27" t="n">
        <v>20</v>
      </c>
      <c r="F498" t="inlineStr">
        <is>
          <t>Ambulance</t>
        </is>
      </c>
      <c r="G498" s="27" t="n">
        <v>2</v>
      </c>
      <c r="H498" t="inlineStr">
        <is>
          <t>Chest Pain</t>
        </is>
      </c>
      <c r="I498" t="n">
        <v>83</v>
      </c>
      <c r="J498" t="n">
        <v>172</v>
      </c>
      <c r="K498" s="28">
        <f>I498/J498</f>
        <v/>
      </c>
      <c r="L498" s="27" t="n">
        <v>24</v>
      </c>
      <c r="M498" t="inlineStr">
        <is>
          <t>Admitted</t>
        </is>
      </c>
    </row>
    <row r="499">
      <c r="A499" t="inlineStr">
        <is>
          <t>ED209420</t>
        </is>
      </c>
      <c r="B499" t="inlineStr">
        <is>
          <t>PT13245</t>
        </is>
      </c>
      <c r="C499" s="26" t="n">
        <v>45848.07916666667</v>
      </c>
      <c r="D499" t="inlineStr">
        <is>
          <t>Thu</t>
        </is>
      </c>
      <c r="E499" s="27" t="n">
        <v>1</v>
      </c>
      <c r="F499" t="inlineStr">
        <is>
          <t>Ambulance</t>
        </is>
      </c>
      <c r="G499" s="27" t="n">
        <v>1</v>
      </c>
      <c r="H499" t="inlineStr">
        <is>
          <t>Shortness of Breath</t>
        </is>
      </c>
      <c r="I499" t="n">
        <v>73</v>
      </c>
      <c r="J499" t="n">
        <v>134</v>
      </c>
      <c r="K499" s="28">
        <f>I499/J499</f>
        <v/>
      </c>
      <c r="L499" s="27" t="n">
        <v>3</v>
      </c>
      <c r="M499" t="inlineStr">
        <is>
          <t>Admitted</t>
        </is>
      </c>
    </row>
    <row r="500">
      <c r="A500" t="inlineStr">
        <is>
          <t>ED209429</t>
        </is>
      </c>
      <c r="B500" t="inlineStr">
        <is>
          <t>PT11774</t>
        </is>
      </c>
      <c r="C500" s="26" t="n">
        <v>45848.57222222222</v>
      </c>
      <c r="D500" t="inlineStr">
        <is>
          <t>Thu</t>
        </is>
      </c>
      <c r="E500" s="27" t="n">
        <v>13</v>
      </c>
      <c r="F500" t="inlineStr">
        <is>
          <t>Walk-In</t>
        </is>
      </c>
      <c r="G500" s="27" t="n">
        <v>3</v>
      </c>
      <c r="H500" t="inlineStr">
        <is>
          <t>Fall</t>
        </is>
      </c>
      <c r="I500" t="n">
        <v>109</v>
      </c>
      <c r="J500" t="n">
        <v>168</v>
      </c>
      <c r="K500" s="28">
        <f>I500/J500</f>
        <v/>
      </c>
      <c r="L500" s="27" t="n">
        <v>32</v>
      </c>
      <c r="M500" t="inlineStr">
        <is>
          <t>Discharged</t>
        </is>
      </c>
    </row>
    <row r="501">
      <c r="A501" t="inlineStr">
        <is>
          <t>ED209433</t>
        </is>
      </c>
      <c r="B501" t="inlineStr">
        <is>
          <t>PT13619</t>
        </is>
      </c>
      <c r="C501" s="26" t="n">
        <v>45848.68055555555</v>
      </c>
      <c r="D501" t="inlineStr">
        <is>
          <t>Thu</t>
        </is>
      </c>
      <c r="E501" s="27" t="n">
        <v>16</v>
      </c>
      <c r="F501" t="inlineStr">
        <is>
          <t>Walk-In</t>
        </is>
      </c>
      <c r="G501" s="27" t="n">
        <v>3</v>
      </c>
      <c r="H501" t="inlineStr">
        <is>
          <t>Painful Urination / Fever</t>
        </is>
      </c>
      <c r="I501" t="n">
        <v>89</v>
      </c>
      <c r="J501" t="n">
        <v>125</v>
      </c>
      <c r="K501" s="28">
        <f>I501/J501</f>
        <v/>
      </c>
      <c r="L501" s="27" t="n">
        <v>63</v>
      </c>
      <c r="M501" t="inlineStr">
        <is>
          <t>Admitted</t>
        </is>
      </c>
    </row>
    <row r="502">
      <c r="A502" t="inlineStr">
        <is>
          <t>ED209438</t>
        </is>
      </c>
      <c r="B502" t="inlineStr">
        <is>
          <t>PT13821</t>
        </is>
      </c>
      <c r="C502" s="26" t="n">
        <v>45848.95555555556</v>
      </c>
      <c r="D502" t="inlineStr">
        <is>
          <t>Thu</t>
        </is>
      </c>
      <c r="E502" s="27" t="n">
        <v>22</v>
      </c>
      <c r="F502" t="inlineStr">
        <is>
          <t>Walk-In</t>
        </is>
      </c>
      <c r="G502" s="27" t="n">
        <v>4</v>
      </c>
      <c r="H502" t="inlineStr">
        <is>
          <t>Ankle Injury</t>
        </is>
      </c>
      <c r="I502" t="n">
        <v>106</v>
      </c>
      <c r="J502" t="n">
        <v>117</v>
      </c>
      <c r="K502" s="28">
        <f>I502/J502</f>
        <v/>
      </c>
      <c r="L502" s="27" t="n">
        <v>24</v>
      </c>
      <c r="M502" t="inlineStr">
        <is>
          <t>Discharged</t>
        </is>
      </c>
    </row>
    <row r="503">
      <c r="A503" t="inlineStr">
        <is>
          <t>ED209441</t>
        </is>
      </c>
      <c r="B503" t="inlineStr">
        <is>
          <t>PT10736</t>
        </is>
      </c>
      <c r="C503" s="26" t="n">
        <v>45849.20833333334</v>
      </c>
      <c r="D503" t="inlineStr">
        <is>
          <t>Fri</t>
        </is>
      </c>
      <c r="E503" s="27" t="n">
        <v>5</v>
      </c>
      <c r="F503" t="inlineStr">
        <is>
          <t>Walk-In</t>
        </is>
      </c>
      <c r="G503" s="27" t="n">
        <v>4</v>
      </c>
      <c r="H503" t="inlineStr">
        <is>
          <t>Back Pain</t>
        </is>
      </c>
      <c r="I503" t="n">
        <v>82</v>
      </c>
      <c r="J503" t="n">
        <v>150</v>
      </c>
      <c r="K503" s="28">
        <f>I503/J503</f>
        <v/>
      </c>
      <c r="L503" s="27" t="n">
        <v>30</v>
      </c>
      <c r="M503" t="inlineStr">
        <is>
          <t>Discharged</t>
        </is>
      </c>
    </row>
    <row r="504">
      <c r="A504" s="29" t="inlineStr">
        <is>
          <t>ED209446</t>
        </is>
      </c>
      <c r="B504" s="29" t="inlineStr">
        <is>
          <t>PT12891</t>
        </is>
      </c>
      <c r="C504" s="30" t="n">
        <v>45849.65763888889</v>
      </c>
      <c r="D504" s="29" t="inlineStr">
        <is>
          <t>Fri</t>
        </is>
      </c>
      <c r="E504" s="31" t="n">
        <v>15</v>
      </c>
      <c r="F504" s="29" t="inlineStr">
        <is>
          <t>Walk-In</t>
        </is>
      </c>
      <c r="G504" s="31" t="n">
        <v>3</v>
      </c>
      <c r="H504" s="29" t="inlineStr">
        <is>
          <t>Cough / Fever</t>
        </is>
      </c>
      <c r="I504" s="29" t="n">
        <v>115</v>
      </c>
      <c r="J504" s="29" t="n">
        <v>113</v>
      </c>
      <c r="K504" s="32">
        <f>I504/J504</f>
        <v/>
      </c>
      <c r="L504" s="31" t="n">
        <v>56</v>
      </c>
      <c r="M504" s="29" t="inlineStr">
        <is>
          <t>Admitted</t>
        </is>
      </c>
    </row>
    <row r="505">
      <c r="A505" t="inlineStr">
        <is>
          <t>ED209447</t>
        </is>
      </c>
      <c r="B505" t="inlineStr">
        <is>
          <t>PT13042</t>
        </is>
      </c>
      <c r="C505" s="26" t="n">
        <v>45849.67291666667</v>
      </c>
      <c r="D505" t="inlineStr">
        <is>
          <t>Fri</t>
        </is>
      </c>
      <c r="E505" s="27" t="n">
        <v>16</v>
      </c>
      <c r="F505" t="inlineStr">
        <is>
          <t>Walk-In</t>
        </is>
      </c>
      <c r="G505" s="27" t="n">
        <v>3</v>
      </c>
      <c r="H505" t="inlineStr">
        <is>
          <t>Vomiting / Dizziness</t>
        </is>
      </c>
      <c r="I505" t="n">
        <v>76</v>
      </c>
      <c r="J505" t="n">
        <v>142</v>
      </c>
      <c r="K505" s="28">
        <f>I505/J505</f>
        <v/>
      </c>
      <c r="L505" s="27" t="n">
        <v>21</v>
      </c>
      <c r="M505" t="inlineStr">
        <is>
          <t>Discharged</t>
        </is>
      </c>
    </row>
    <row r="506">
      <c r="A506" t="inlineStr">
        <is>
          <t>ED209450</t>
        </is>
      </c>
      <c r="B506" t="inlineStr">
        <is>
          <t>PT13889</t>
        </is>
      </c>
      <c r="C506" s="26" t="n">
        <v>45849.81527777778</v>
      </c>
      <c r="D506" t="inlineStr">
        <is>
          <t>Fri</t>
        </is>
      </c>
      <c r="E506" s="27" t="n">
        <v>19</v>
      </c>
      <c r="F506" t="inlineStr">
        <is>
          <t>Walk-In</t>
        </is>
      </c>
      <c r="G506" s="27" t="n">
        <v>3</v>
      </c>
      <c r="H506" t="inlineStr">
        <is>
          <t>Painful Urination / Fever</t>
        </is>
      </c>
      <c r="I506" t="n">
        <v>84</v>
      </c>
      <c r="J506" t="n">
        <v>171</v>
      </c>
      <c r="K506" s="28">
        <f>I506/J506</f>
        <v/>
      </c>
      <c r="L506" s="27" t="n">
        <v>33</v>
      </c>
      <c r="M506" t="inlineStr">
        <is>
          <t>Discharged</t>
        </is>
      </c>
    </row>
    <row r="507">
      <c r="A507" t="inlineStr">
        <is>
          <t>ED209464</t>
        </is>
      </c>
      <c r="B507" t="inlineStr">
        <is>
          <t>PT10306</t>
        </is>
      </c>
      <c r="C507" s="26" t="n">
        <v>45850.7125</v>
      </c>
      <c r="D507" t="inlineStr">
        <is>
          <t>Sat</t>
        </is>
      </c>
      <c r="E507" s="27" t="n">
        <v>17</v>
      </c>
      <c r="F507" t="inlineStr">
        <is>
          <t>Walk-In</t>
        </is>
      </c>
      <c r="G507" s="27" t="n">
        <v>4</v>
      </c>
      <c r="H507" t="inlineStr">
        <is>
          <t>Anxiety / Palpitations</t>
        </is>
      </c>
      <c r="I507" t="n">
        <v>97</v>
      </c>
      <c r="J507" t="n">
        <v>107</v>
      </c>
      <c r="K507" s="28">
        <f>I507/J507</f>
        <v/>
      </c>
      <c r="L507" s="27" t="n">
        <v>51</v>
      </c>
      <c r="M507" t="inlineStr">
        <is>
          <t>Discharged</t>
        </is>
      </c>
    </row>
    <row r="508">
      <c r="A508" t="inlineStr">
        <is>
          <t>ED209473</t>
        </is>
      </c>
      <c r="B508" t="inlineStr">
        <is>
          <t>PT10328</t>
        </is>
      </c>
      <c r="C508" s="26" t="n">
        <v>45851.09791666667</v>
      </c>
      <c r="D508" t="inlineStr">
        <is>
          <t>Sun</t>
        </is>
      </c>
      <c r="E508" s="27" t="n">
        <v>2</v>
      </c>
      <c r="F508" t="inlineStr">
        <is>
          <t>Walk-In</t>
        </is>
      </c>
      <c r="G508" s="27" t="n">
        <v>4</v>
      </c>
      <c r="H508" t="inlineStr">
        <is>
          <t>Fainting</t>
        </is>
      </c>
      <c r="I508" t="n">
        <v>82</v>
      </c>
      <c r="J508" t="n">
        <v>138</v>
      </c>
      <c r="K508" s="28">
        <f>I508/J508</f>
        <v/>
      </c>
      <c r="L508" s="27" t="n">
        <v>78</v>
      </c>
      <c r="M508" t="inlineStr">
        <is>
          <t>Discharged</t>
        </is>
      </c>
    </row>
    <row r="509">
      <c r="A509" t="inlineStr">
        <is>
          <t>ED209501</t>
        </is>
      </c>
      <c r="B509" t="inlineStr">
        <is>
          <t>PT13306</t>
        </is>
      </c>
      <c r="C509" s="26" t="n">
        <v>45853.17361111111</v>
      </c>
      <c r="D509" t="inlineStr">
        <is>
          <t>Tue</t>
        </is>
      </c>
      <c r="E509" s="27" t="n">
        <v>4</v>
      </c>
      <c r="F509" t="inlineStr">
        <is>
          <t>Walk-In</t>
        </is>
      </c>
      <c r="G509" s="27" t="n">
        <v>2</v>
      </c>
      <c r="H509" t="inlineStr">
        <is>
          <t>Shortness of Breath</t>
        </is>
      </c>
      <c r="I509" t="n">
        <v>67</v>
      </c>
      <c r="J509" t="n">
        <v>113</v>
      </c>
      <c r="K509" s="28">
        <f>I509/J509</f>
        <v/>
      </c>
      <c r="L509" s="27" t="n">
        <v>28</v>
      </c>
      <c r="M509" t="inlineStr">
        <is>
          <t>Admitted</t>
        </is>
      </c>
    </row>
    <row r="510">
      <c r="A510" t="inlineStr">
        <is>
          <t>ED209526</t>
        </is>
      </c>
      <c r="B510" t="inlineStr">
        <is>
          <t>PT11128</t>
        </is>
      </c>
      <c r="C510" s="26" t="n">
        <v>45854.81111111111</v>
      </c>
      <c r="D510" t="inlineStr">
        <is>
          <t>Wed</t>
        </is>
      </c>
      <c r="E510" s="27" t="n">
        <v>19</v>
      </c>
      <c r="F510" t="inlineStr">
        <is>
          <t>Ambulance</t>
        </is>
      </c>
      <c r="G510" s="27" t="n">
        <v>3</v>
      </c>
      <c r="H510" t="inlineStr">
        <is>
          <t>Painful Urination / Fever</t>
        </is>
      </c>
      <c r="I510" t="n">
        <v>89</v>
      </c>
      <c r="J510" t="n">
        <v>120</v>
      </c>
      <c r="K510" s="28">
        <f>I510/J510</f>
        <v/>
      </c>
      <c r="L510" s="27" t="n">
        <v>31</v>
      </c>
      <c r="M510" t="inlineStr">
        <is>
          <t>Discharged</t>
        </is>
      </c>
    </row>
    <row r="511">
      <c r="A511" t="inlineStr">
        <is>
          <t>ED209528</t>
        </is>
      </c>
      <c r="B511" t="inlineStr">
        <is>
          <t>PT10864</t>
        </is>
      </c>
      <c r="C511" s="26" t="n">
        <v>45854.83888888889</v>
      </c>
      <c r="D511" t="inlineStr">
        <is>
          <t>Wed</t>
        </is>
      </c>
      <c r="E511" s="27" t="n">
        <v>20</v>
      </c>
      <c r="F511" t="inlineStr">
        <is>
          <t>Ambulance</t>
        </is>
      </c>
      <c r="G511" s="27" t="n">
        <v>2</v>
      </c>
      <c r="H511" t="inlineStr">
        <is>
          <t>Chest Pain</t>
        </is>
      </c>
      <c r="I511" t="n">
        <v>95</v>
      </c>
      <c r="J511" t="n">
        <v>220</v>
      </c>
      <c r="K511" s="28">
        <f>I511/J511</f>
        <v/>
      </c>
      <c r="L511" s="27" t="n">
        <v>39</v>
      </c>
      <c r="M511" t="inlineStr">
        <is>
          <t>Observation</t>
        </is>
      </c>
    </row>
    <row r="512">
      <c r="A512" t="inlineStr">
        <is>
          <t>ED209529</t>
        </is>
      </c>
      <c r="B512" t="inlineStr">
        <is>
          <t>PT12328</t>
        </is>
      </c>
      <c r="C512" s="26" t="n">
        <v>45855.15486111111</v>
      </c>
      <c r="D512" t="inlineStr">
        <is>
          <t>Thu</t>
        </is>
      </c>
      <c r="E512" s="27" t="n">
        <v>3</v>
      </c>
      <c r="F512" t="inlineStr">
        <is>
          <t>Ambulance</t>
        </is>
      </c>
      <c r="G512" s="27" t="n">
        <v>2</v>
      </c>
      <c r="H512" t="inlineStr">
        <is>
          <t>Tremors / Alcohol Withdrawal</t>
        </is>
      </c>
      <c r="I512" t="n">
        <v>80</v>
      </c>
      <c r="J512" t="n">
        <v>123</v>
      </c>
      <c r="K512" s="28">
        <f>I512/J512</f>
        <v/>
      </c>
      <c r="L512" s="27" t="n">
        <v>10</v>
      </c>
      <c r="M512" t="inlineStr">
        <is>
          <t>Discharged</t>
        </is>
      </c>
    </row>
    <row r="513">
      <c r="A513" t="inlineStr">
        <is>
          <t>ED209531</t>
        </is>
      </c>
      <c r="B513" t="inlineStr">
        <is>
          <t>PT11529</t>
        </is>
      </c>
      <c r="C513" s="26" t="n">
        <v>45855.26666666667</v>
      </c>
      <c r="D513" t="inlineStr">
        <is>
          <t>Thu</t>
        </is>
      </c>
      <c r="E513" s="27" t="n">
        <v>6</v>
      </c>
      <c r="F513" t="inlineStr">
        <is>
          <t>Walk-In</t>
        </is>
      </c>
      <c r="G513" s="27" t="n">
        <v>3</v>
      </c>
      <c r="H513" t="inlineStr">
        <is>
          <t>Abdominal Pain</t>
        </is>
      </c>
      <c r="I513" t="n">
        <v>89</v>
      </c>
      <c r="J513" t="n">
        <v>119</v>
      </c>
      <c r="K513" s="28">
        <f>I513/J513</f>
        <v/>
      </c>
      <c r="L513" s="27" t="n">
        <v>60</v>
      </c>
      <c r="M513" t="inlineStr">
        <is>
          <t>Discharged</t>
        </is>
      </c>
    </row>
    <row r="514">
      <c r="A514" t="inlineStr">
        <is>
          <t>ED209547</t>
        </is>
      </c>
      <c r="B514" t="inlineStr">
        <is>
          <t>PT11265</t>
        </is>
      </c>
      <c r="C514" s="26" t="n">
        <v>45856.42222222222</v>
      </c>
      <c r="D514" t="inlineStr">
        <is>
          <t>Fri</t>
        </is>
      </c>
      <c r="E514" s="27" t="n">
        <v>10</v>
      </c>
      <c r="F514" t="inlineStr">
        <is>
          <t>Walk-In</t>
        </is>
      </c>
      <c r="G514" s="27" t="n">
        <v>4</v>
      </c>
      <c r="H514" t="inlineStr">
        <is>
          <t>Painful Urination / Fever</t>
        </is>
      </c>
      <c r="I514" t="n">
        <v>78</v>
      </c>
      <c r="J514" t="n">
        <v>118</v>
      </c>
      <c r="K514" s="28">
        <f>I514/J514</f>
        <v/>
      </c>
      <c r="L514" s="27" t="n">
        <v>169</v>
      </c>
      <c r="M514" t="inlineStr">
        <is>
          <t>Admitted</t>
        </is>
      </c>
    </row>
    <row r="515">
      <c r="A515" t="inlineStr">
        <is>
          <t>ED209551</t>
        </is>
      </c>
      <c r="B515" t="inlineStr">
        <is>
          <t>PT13760</t>
        </is>
      </c>
      <c r="C515" s="26" t="n">
        <v>45856.7125</v>
      </c>
      <c r="D515" t="inlineStr">
        <is>
          <t>Fri</t>
        </is>
      </c>
      <c r="E515" s="27" t="n">
        <v>17</v>
      </c>
      <c r="F515" t="inlineStr">
        <is>
          <t>Walk-In</t>
        </is>
      </c>
      <c r="G515" s="27" t="n">
        <v>3</v>
      </c>
      <c r="H515" t="inlineStr">
        <is>
          <t>Painful Urination / Fever</t>
        </is>
      </c>
      <c r="I515" t="n">
        <v>72</v>
      </c>
      <c r="J515" t="n">
        <v>124</v>
      </c>
      <c r="K515" s="28">
        <f>I515/J515</f>
        <v/>
      </c>
      <c r="L515" s="27" t="n">
        <v>69</v>
      </c>
      <c r="M515" t="inlineStr">
        <is>
          <t>Discharged</t>
        </is>
      </c>
    </row>
    <row r="516">
      <c r="A516" s="29" t="inlineStr">
        <is>
          <t>ED209552</t>
        </is>
      </c>
      <c r="B516" s="29" t="inlineStr">
        <is>
          <t>PT12822</t>
        </is>
      </c>
      <c r="C516" s="30" t="n">
        <v>45856.75069444445</v>
      </c>
      <c r="D516" s="29" t="inlineStr">
        <is>
          <t>Fri</t>
        </is>
      </c>
      <c r="E516" s="31" t="n">
        <v>18</v>
      </c>
      <c r="F516" s="29" t="inlineStr">
        <is>
          <t>Ambulance</t>
        </is>
      </c>
      <c r="G516" s="31" t="n">
        <v>1</v>
      </c>
      <c r="H516" s="29" t="inlineStr">
        <is>
          <t>Fever / Altered Mental Status</t>
        </is>
      </c>
      <c r="I516" s="29" t="n">
        <v>134</v>
      </c>
      <c r="J516" s="29" t="n">
        <v>96</v>
      </c>
      <c r="K516" s="32">
        <f>I516/J516</f>
        <v/>
      </c>
      <c r="L516" s="31" t="n">
        <v>4</v>
      </c>
      <c r="M516" s="29" t="inlineStr">
        <is>
          <t>Admitted</t>
        </is>
      </c>
    </row>
    <row r="517">
      <c r="A517" t="inlineStr">
        <is>
          <t>ED209556</t>
        </is>
      </c>
      <c r="B517" t="inlineStr">
        <is>
          <t>PT10219</t>
        </is>
      </c>
      <c r="C517" s="26" t="n">
        <v>45856.86180555556</v>
      </c>
      <c r="D517" t="inlineStr">
        <is>
          <t>Fri</t>
        </is>
      </c>
      <c r="E517" s="27" t="n">
        <v>20</v>
      </c>
      <c r="F517" t="inlineStr">
        <is>
          <t>Walk-In</t>
        </is>
      </c>
      <c r="G517" s="27" t="n">
        <v>3</v>
      </c>
      <c r="H517" t="inlineStr">
        <is>
          <t>Abdominal Pain</t>
        </is>
      </c>
      <c r="I517" t="n">
        <v>78</v>
      </c>
      <c r="J517" t="n">
        <v>126</v>
      </c>
      <c r="K517" s="28">
        <f>I517/J517</f>
        <v/>
      </c>
      <c r="L517" s="27" t="n">
        <v>94</v>
      </c>
      <c r="M517" t="inlineStr">
        <is>
          <t>Discharged</t>
        </is>
      </c>
    </row>
    <row r="518">
      <c r="A518" t="inlineStr">
        <is>
          <t>ED209565</t>
        </is>
      </c>
      <c r="B518" t="inlineStr">
        <is>
          <t>PT13940</t>
        </is>
      </c>
      <c r="C518" s="26" t="n">
        <v>45857.65208333333</v>
      </c>
      <c r="D518" t="inlineStr">
        <is>
          <t>Sat</t>
        </is>
      </c>
      <c r="E518" s="27" t="n">
        <v>15</v>
      </c>
      <c r="F518" t="inlineStr">
        <is>
          <t>Walk-In</t>
        </is>
      </c>
      <c r="G518" s="27" t="n">
        <v>3</v>
      </c>
      <c r="H518" t="inlineStr">
        <is>
          <t>Vomiting / Dizziness</t>
        </is>
      </c>
      <c r="I518" t="n">
        <v>101</v>
      </c>
      <c r="K518" s="28">
        <f>I518/J518</f>
        <v/>
      </c>
      <c r="L518" s="27" t="n"/>
      <c r="M518" t="inlineStr">
        <is>
          <t>LWBS</t>
        </is>
      </c>
    </row>
    <row r="519">
      <c r="A519" s="29" t="inlineStr">
        <is>
          <t>ED209582</t>
        </is>
      </c>
      <c r="B519" s="29" t="inlineStr">
        <is>
          <t>PT11110</t>
        </is>
      </c>
      <c r="C519" s="30" t="n">
        <v>45858.51597222222</v>
      </c>
      <c r="D519" s="29" t="inlineStr">
        <is>
          <t>Sun</t>
        </is>
      </c>
      <c r="E519" s="31" t="n">
        <v>12</v>
      </c>
      <c r="F519" s="29" t="inlineStr">
        <is>
          <t>Walk-In</t>
        </is>
      </c>
      <c r="G519" s="31" t="n">
        <v>4</v>
      </c>
      <c r="H519" s="29" t="inlineStr">
        <is>
          <t>Cough / Fever</t>
        </is>
      </c>
      <c r="I519" s="29" t="n">
        <v>124</v>
      </c>
      <c r="J519" s="29" t="n">
        <v>152</v>
      </c>
      <c r="K519" s="32">
        <f>I519/J519</f>
        <v/>
      </c>
      <c r="L519" s="31" t="n">
        <v>19</v>
      </c>
      <c r="M519" s="29" t="inlineStr">
        <is>
          <t>Discharged</t>
        </is>
      </c>
    </row>
    <row r="520">
      <c r="A520" t="inlineStr">
        <is>
          <t>ED209589</t>
        </is>
      </c>
      <c r="B520" t="inlineStr">
        <is>
          <t>PT11582</t>
        </is>
      </c>
      <c r="C520" s="26" t="n">
        <v>45858.70972222222</v>
      </c>
      <c r="D520" t="inlineStr">
        <is>
          <t>Sun</t>
        </is>
      </c>
      <c r="E520" s="27" t="n">
        <v>17</v>
      </c>
      <c r="F520" t="inlineStr">
        <is>
          <t>Walk-In</t>
        </is>
      </c>
      <c r="G520" s="27" t="n">
        <v>2</v>
      </c>
      <c r="H520" t="inlineStr">
        <is>
          <t>Shortness of Breath</t>
        </is>
      </c>
      <c r="I520" t="n">
        <v>96</v>
      </c>
      <c r="J520" t="n">
        <v>163</v>
      </c>
      <c r="K520" s="28">
        <f>I520/J520</f>
        <v/>
      </c>
      <c r="L520" s="27" t="n">
        <v>29</v>
      </c>
      <c r="M520" t="inlineStr">
        <is>
          <t>Admitted</t>
        </is>
      </c>
    </row>
    <row r="521">
      <c r="A521" t="inlineStr">
        <is>
          <t>ED209592</t>
        </is>
      </c>
      <c r="B521" t="inlineStr">
        <is>
          <t>PT10225</t>
        </is>
      </c>
      <c r="C521" s="26" t="n">
        <v>45858.83541666667</v>
      </c>
      <c r="D521" t="inlineStr">
        <is>
          <t>Sun</t>
        </is>
      </c>
      <c r="E521" s="27" t="n">
        <v>20</v>
      </c>
      <c r="F521" t="inlineStr">
        <is>
          <t>Walk-In</t>
        </is>
      </c>
      <c r="G521" s="27" t="n">
        <v>3</v>
      </c>
      <c r="H521" t="inlineStr">
        <is>
          <t>Shortness of Breath</t>
        </is>
      </c>
      <c r="I521" t="n">
        <v>103</v>
      </c>
      <c r="J521" t="n">
        <v>150</v>
      </c>
      <c r="K521" s="28">
        <f>I521/J521</f>
        <v/>
      </c>
      <c r="L521" s="27" t="n">
        <v>40</v>
      </c>
      <c r="M521" t="inlineStr">
        <is>
          <t>Discharged</t>
        </is>
      </c>
    </row>
    <row r="522">
      <c r="A522" t="inlineStr">
        <is>
          <t>ED209596</t>
        </is>
      </c>
      <c r="B522" t="inlineStr">
        <is>
          <t>PT12508</t>
        </is>
      </c>
      <c r="C522" s="26" t="n">
        <v>45859.47361111111</v>
      </c>
      <c r="D522" t="inlineStr">
        <is>
          <t>Mon</t>
        </is>
      </c>
      <c r="E522" s="27" t="n">
        <v>11</v>
      </c>
      <c r="F522" t="inlineStr">
        <is>
          <t>Walk-In</t>
        </is>
      </c>
      <c r="G522" s="27" t="n">
        <v>4</v>
      </c>
      <c r="H522" t="inlineStr">
        <is>
          <t>Tremors / Alcohol Withdrawal</t>
        </is>
      </c>
      <c r="I522" t="n">
        <v>78</v>
      </c>
      <c r="J522" t="n">
        <v>113</v>
      </c>
      <c r="K522" s="28">
        <f>I522/J522</f>
        <v/>
      </c>
      <c r="L522" s="27" t="n">
        <v>64</v>
      </c>
      <c r="M522" t="inlineStr">
        <is>
          <t>Admitted</t>
        </is>
      </c>
    </row>
    <row r="523">
      <c r="A523" t="inlineStr">
        <is>
          <t>ED209610</t>
        </is>
      </c>
      <c r="B523" t="inlineStr">
        <is>
          <t>PT12316</t>
        </is>
      </c>
      <c r="C523" s="26" t="n">
        <v>45859.83402777778</v>
      </c>
      <c r="D523" t="inlineStr">
        <is>
          <t>Mon</t>
        </is>
      </c>
      <c r="E523" s="27" t="n">
        <v>20</v>
      </c>
      <c r="F523" t="inlineStr">
        <is>
          <t>Walk-In</t>
        </is>
      </c>
      <c r="G523" s="27" t="n">
        <v>4</v>
      </c>
      <c r="H523" t="inlineStr">
        <is>
          <t>Cough / Fever</t>
        </is>
      </c>
      <c r="I523" t="n">
        <v>84</v>
      </c>
      <c r="J523" t="n">
        <v>129</v>
      </c>
      <c r="K523" s="28">
        <f>I523/J523</f>
        <v/>
      </c>
      <c r="L523" s="27" t="n">
        <v>105</v>
      </c>
      <c r="M523" t="inlineStr">
        <is>
          <t>Discharged</t>
        </is>
      </c>
    </row>
    <row r="524">
      <c r="A524" t="inlineStr">
        <is>
          <t>ED209626</t>
        </is>
      </c>
      <c r="B524" t="inlineStr">
        <is>
          <t>PT12575</t>
        </is>
      </c>
      <c r="C524" s="26" t="n">
        <v>45860.65347222222</v>
      </c>
      <c r="D524" t="inlineStr">
        <is>
          <t>Tue</t>
        </is>
      </c>
      <c r="E524" s="27" t="n">
        <v>15</v>
      </c>
      <c r="F524" t="inlineStr">
        <is>
          <t>Walk-In</t>
        </is>
      </c>
      <c r="G524" s="27" t="n">
        <v>5</v>
      </c>
      <c r="H524" t="inlineStr">
        <is>
          <t>Ankle Injury</t>
        </is>
      </c>
      <c r="I524" t="n">
        <v>93</v>
      </c>
      <c r="J524" t="n">
        <v>146</v>
      </c>
      <c r="K524" s="28">
        <f>I524/J524</f>
        <v/>
      </c>
      <c r="L524" s="27" t="n">
        <v>56</v>
      </c>
      <c r="M524" t="inlineStr">
        <is>
          <t>Discharged</t>
        </is>
      </c>
    </row>
    <row r="525">
      <c r="A525" t="inlineStr">
        <is>
          <t>ED209632</t>
        </is>
      </c>
      <c r="B525" t="inlineStr">
        <is>
          <t>PT12387</t>
        </is>
      </c>
      <c r="C525" s="26" t="n">
        <v>45860.8125</v>
      </c>
      <c r="D525" t="inlineStr">
        <is>
          <t>Tue</t>
        </is>
      </c>
      <c r="E525" s="27" t="n">
        <v>19</v>
      </c>
      <c r="F525" t="inlineStr">
        <is>
          <t>Walk-In</t>
        </is>
      </c>
      <c r="G525" s="27" t="n">
        <v>4</v>
      </c>
      <c r="H525" t="inlineStr">
        <is>
          <t>Head Injury</t>
        </is>
      </c>
      <c r="I525" t="n">
        <v>84</v>
      </c>
      <c r="J525" t="n">
        <v>155</v>
      </c>
      <c r="K525" s="28">
        <f>I525/J525</f>
        <v/>
      </c>
      <c r="L525" s="27" t="n">
        <v>82</v>
      </c>
      <c r="M525" t="inlineStr">
        <is>
          <t>Discharged</t>
        </is>
      </c>
    </row>
    <row r="526">
      <c r="A526" t="inlineStr">
        <is>
          <t>ED209635</t>
        </is>
      </c>
      <c r="B526" t="inlineStr">
        <is>
          <t>PT13889</t>
        </is>
      </c>
      <c r="C526" s="26" t="n">
        <v>45861.16111111111</v>
      </c>
      <c r="D526" t="inlineStr">
        <is>
          <t>Wed</t>
        </is>
      </c>
      <c r="E526" s="27" t="n">
        <v>3</v>
      </c>
      <c r="F526" t="inlineStr">
        <is>
          <t>Ambulance</t>
        </is>
      </c>
      <c r="G526" s="27" t="n">
        <v>2</v>
      </c>
      <c r="H526" t="inlineStr">
        <is>
          <t>Shortness of Breath</t>
        </is>
      </c>
      <c r="I526" t="n">
        <v>66</v>
      </c>
      <c r="J526" t="n">
        <v>161</v>
      </c>
      <c r="K526" s="28">
        <f>I526/J526</f>
        <v/>
      </c>
      <c r="L526" s="27" t="n">
        <v>11</v>
      </c>
      <c r="M526" t="inlineStr">
        <is>
          <t>Observation</t>
        </is>
      </c>
    </row>
    <row r="527">
      <c r="A527" t="inlineStr">
        <is>
          <t>ED209643</t>
        </is>
      </c>
      <c r="B527" t="inlineStr">
        <is>
          <t>PT11755</t>
        </is>
      </c>
      <c r="C527" s="26" t="n">
        <v>45861.4625</v>
      </c>
      <c r="D527" t="inlineStr">
        <is>
          <t>Wed</t>
        </is>
      </c>
      <c r="E527" s="27" t="n">
        <v>11</v>
      </c>
      <c r="F527" t="inlineStr">
        <is>
          <t>Walk-In</t>
        </is>
      </c>
      <c r="G527" s="27" t="n">
        <v>4</v>
      </c>
      <c r="H527" t="inlineStr">
        <is>
          <t>Shortness of Breath</t>
        </is>
      </c>
      <c r="I527" t="n">
        <v>88</v>
      </c>
      <c r="J527" t="n">
        <v>135</v>
      </c>
      <c r="K527" s="28">
        <f>I527/J527</f>
        <v/>
      </c>
      <c r="L527" s="27" t="n">
        <v>99</v>
      </c>
      <c r="M527" t="inlineStr">
        <is>
          <t>Discharged</t>
        </is>
      </c>
    </row>
    <row r="528">
      <c r="A528" t="inlineStr">
        <is>
          <t>ED209645</t>
        </is>
      </c>
      <c r="B528" t="inlineStr">
        <is>
          <t>PT11518</t>
        </is>
      </c>
      <c r="C528" s="26" t="n">
        <v>45861.65763888889</v>
      </c>
      <c r="D528" t="inlineStr">
        <is>
          <t>Wed</t>
        </is>
      </c>
      <c r="E528" s="27" t="n">
        <v>15</v>
      </c>
      <c r="F528" t="inlineStr">
        <is>
          <t>Walk-In</t>
        </is>
      </c>
      <c r="G528" s="27" t="n">
        <v>5</v>
      </c>
      <c r="H528" t="inlineStr">
        <is>
          <t>Painful Urination / Fever</t>
        </is>
      </c>
      <c r="I528" t="n">
        <v>84</v>
      </c>
      <c r="J528" t="n">
        <v>131</v>
      </c>
      <c r="K528" s="28">
        <f>I528/J528</f>
        <v/>
      </c>
      <c r="L528" s="27" t="n">
        <v>76</v>
      </c>
      <c r="M528" t="inlineStr">
        <is>
          <t>Transferred</t>
        </is>
      </c>
    </row>
    <row r="529">
      <c r="A529" s="29" t="inlineStr">
        <is>
          <t>ED209651</t>
        </is>
      </c>
      <c r="B529" s="29" t="inlineStr">
        <is>
          <t>PT10698</t>
        </is>
      </c>
      <c r="C529" s="30" t="n">
        <v>45862.48333333333</v>
      </c>
      <c r="D529" s="29" t="inlineStr">
        <is>
          <t>Thu</t>
        </is>
      </c>
      <c r="E529" s="31" t="n">
        <v>11</v>
      </c>
      <c r="F529" s="29" t="inlineStr">
        <is>
          <t>Walk-In</t>
        </is>
      </c>
      <c r="G529" s="31" t="n">
        <v>3</v>
      </c>
      <c r="H529" s="29" t="inlineStr">
        <is>
          <t>Cough / Fever</t>
        </is>
      </c>
      <c r="I529" s="29" t="n">
        <v>100</v>
      </c>
      <c r="J529" s="29" t="n">
        <v>148</v>
      </c>
      <c r="K529" s="32">
        <f>I529/J529</f>
        <v/>
      </c>
      <c r="L529" s="31" t="n">
        <v>20</v>
      </c>
      <c r="M529" s="29" t="inlineStr">
        <is>
          <t>Admitted</t>
        </is>
      </c>
    </row>
    <row r="530">
      <c r="A530" t="inlineStr">
        <is>
          <t>ED209659</t>
        </is>
      </c>
      <c r="B530" t="inlineStr">
        <is>
          <t>PT12554</t>
        </is>
      </c>
      <c r="C530" s="26" t="n">
        <v>45862.775</v>
      </c>
      <c r="D530" t="inlineStr">
        <is>
          <t>Thu</t>
        </is>
      </c>
      <c r="E530" s="27" t="n">
        <v>18</v>
      </c>
      <c r="F530" t="inlineStr">
        <is>
          <t>Ambulance</t>
        </is>
      </c>
      <c r="G530" s="27" t="n">
        <v>1</v>
      </c>
      <c r="H530" t="inlineStr">
        <is>
          <t>Shortness of Breath</t>
        </is>
      </c>
      <c r="I530" t="n">
        <v>103</v>
      </c>
      <c r="J530" t="n">
        <v>112</v>
      </c>
      <c r="K530" s="28">
        <f>I530/J530</f>
        <v/>
      </c>
      <c r="L530" s="27" t="n">
        <v>1</v>
      </c>
      <c r="M530" t="inlineStr">
        <is>
          <t>Admitted</t>
        </is>
      </c>
    </row>
    <row r="531">
      <c r="A531" t="inlineStr">
        <is>
          <t>ED209668</t>
        </is>
      </c>
      <c r="B531" t="inlineStr">
        <is>
          <t>PT13530</t>
        </is>
      </c>
      <c r="C531" s="26" t="n">
        <v>45863.50069444445</v>
      </c>
      <c r="D531" t="inlineStr">
        <is>
          <t>Fri</t>
        </is>
      </c>
      <c r="E531" s="27" t="n">
        <v>12</v>
      </c>
      <c r="F531" t="inlineStr">
        <is>
          <t>Ambulance</t>
        </is>
      </c>
      <c r="G531" s="27" t="n">
        <v>3</v>
      </c>
      <c r="H531" t="inlineStr">
        <is>
          <t>Abdominal Pain</t>
        </is>
      </c>
      <c r="I531" t="n">
        <v>77</v>
      </c>
      <c r="J531" t="n">
        <v>125</v>
      </c>
      <c r="K531" s="28">
        <f>I531/J531</f>
        <v/>
      </c>
      <c r="L531" s="27" t="n">
        <v>77</v>
      </c>
      <c r="M531" t="inlineStr">
        <is>
          <t>Discharged</t>
        </is>
      </c>
    </row>
    <row r="532">
      <c r="A532" t="inlineStr">
        <is>
          <t>ED209671</t>
        </is>
      </c>
      <c r="B532" t="inlineStr">
        <is>
          <t>PT10471</t>
        </is>
      </c>
      <c r="C532" s="26" t="n">
        <v>45863.66666666666</v>
      </c>
      <c r="D532" t="inlineStr">
        <is>
          <t>Fri</t>
        </is>
      </c>
      <c r="E532" s="27" t="n">
        <v>16</v>
      </c>
      <c r="F532" t="inlineStr">
        <is>
          <t>Walk-In</t>
        </is>
      </c>
      <c r="G532" s="27" t="n">
        <v>3</v>
      </c>
      <c r="H532" t="inlineStr">
        <is>
          <t>Abdominal Pain</t>
        </is>
      </c>
      <c r="I532" t="n">
        <v>79</v>
      </c>
      <c r="J532" t="n">
        <v>106</v>
      </c>
      <c r="K532" s="28">
        <f>I532/J532</f>
        <v/>
      </c>
      <c r="L532" s="27" t="n">
        <v>32</v>
      </c>
      <c r="M532" t="inlineStr">
        <is>
          <t>Discharged</t>
        </is>
      </c>
    </row>
    <row r="533">
      <c r="A533" t="inlineStr">
        <is>
          <t>ED209677</t>
        </is>
      </c>
      <c r="B533" t="inlineStr">
        <is>
          <t>PT10299</t>
        </is>
      </c>
      <c r="C533" s="26" t="n">
        <v>45863.85486111111</v>
      </c>
      <c r="D533" t="inlineStr">
        <is>
          <t>Fri</t>
        </is>
      </c>
      <c r="E533" s="27" t="n">
        <v>20</v>
      </c>
      <c r="F533" t="inlineStr">
        <is>
          <t>Walk-In</t>
        </is>
      </c>
      <c r="G533" s="27" t="n">
        <v>4</v>
      </c>
      <c r="H533" t="inlineStr">
        <is>
          <t>Abdominal Pain</t>
        </is>
      </c>
      <c r="I533" t="n">
        <v>85</v>
      </c>
      <c r="J533" t="n">
        <v>92</v>
      </c>
      <c r="K533" s="28">
        <f>I533/J533</f>
        <v/>
      </c>
      <c r="L533" s="27" t="n">
        <v>76</v>
      </c>
      <c r="M533" t="inlineStr">
        <is>
          <t>Discharged</t>
        </is>
      </c>
    </row>
    <row r="534">
      <c r="A534" t="inlineStr">
        <is>
          <t>ED209680</t>
        </is>
      </c>
      <c r="B534" t="inlineStr">
        <is>
          <t>PT11903</t>
        </is>
      </c>
      <c r="C534" s="26" t="n">
        <v>45864.35555555556</v>
      </c>
      <c r="D534" t="inlineStr">
        <is>
          <t>Sat</t>
        </is>
      </c>
      <c r="E534" s="27" t="n">
        <v>8</v>
      </c>
      <c r="F534" t="inlineStr">
        <is>
          <t>Walk-In</t>
        </is>
      </c>
      <c r="G534" s="27" t="n">
        <v>3</v>
      </c>
      <c r="H534" t="inlineStr">
        <is>
          <t>Painful Urination / Fever</t>
        </is>
      </c>
      <c r="I534" t="n">
        <v>76</v>
      </c>
      <c r="J534" t="n">
        <v>148</v>
      </c>
      <c r="K534" s="28">
        <f>I534/J534</f>
        <v/>
      </c>
      <c r="L534" s="27" t="n">
        <v>51</v>
      </c>
      <c r="M534" t="inlineStr">
        <is>
          <t>Discharged</t>
        </is>
      </c>
    </row>
    <row r="535">
      <c r="A535" t="inlineStr">
        <is>
          <t>ED209687</t>
        </is>
      </c>
      <c r="B535" t="inlineStr">
        <is>
          <t>PT10460</t>
        </is>
      </c>
      <c r="C535" s="26" t="n">
        <v>45864.67430555556</v>
      </c>
      <c r="D535" t="inlineStr">
        <is>
          <t>Sat</t>
        </is>
      </c>
      <c r="E535" s="27" t="n">
        <v>16</v>
      </c>
      <c r="F535" t="inlineStr">
        <is>
          <t>Walk-In</t>
        </is>
      </c>
      <c r="G535" s="27" t="n">
        <v>3</v>
      </c>
      <c r="H535" t="inlineStr">
        <is>
          <t>Head Injury</t>
        </is>
      </c>
      <c r="I535" t="n">
        <v>83</v>
      </c>
      <c r="J535" t="n">
        <v>124</v>
      </c>
      <c r="K535" s="28">
        <f>I535/J535</f>
        <v/>
      </c>
      <c r="L535" s="27" t="n">
        <v>62</v>
      </c>
      <c r="M535" t="inlineStr">
        <is>
          <t>Discharged</t>
        </is>
      </c>
    </row>
    <row r="536">
      <c r="A536" t="inlineStr">
        <is>
          <t>ED209693</t>
        </is>
      </c>
      <c r="B536" t="inlineStr">
        <is>
          <t>PT12346</t>
        </is>
      </c>
      <c r="C536" s="26" t="n">
        <v>45865.34930555556</v>
      </c>
      <c r="D536" t="inlineStr">
        <is>
          <t>Sun</t>
        </is>
      </c>
      <c r="E536" s="27" t="n">
        <v>8</v>
      </c>
      <c r="F536" t="inlineStr">
        <is>
          <t>Walk-In</t>
        </is>
      </c>
      <c r="G536" s="27" t="n">
        <v>4</v>
      </c>
      <c r="H536" t="inlineStr">
        <is>
          <t>Head Injury</t>
        </is>
      </c>
      <c r="I536" t="n">
        <v>112</v>
      </c>
      <c r="J536" t="n">
        <v>147</v>
      </c>
      <c r="K536" s="28">
        <f>I536/J536</f>
        <v/>
      </c>
      <c r="L536" s="27" t="n">
        <v>21</v>
      </c>
      <c r="M536" t="inlineStr">
        <is>
          <t>Discharged</t>
        </is>
      </c>
    </row>
    <row r="537">
      <c r="A537" t="inlineStr">
        <is>
          <t>ED209714</t>
        </is>
      </c>
      <c r="B537" t="inlineStr">
        <is>
          <t>PT12212</t>
        </is>
      </c>
      <c r="C537" s="26" t="n">
        <v>45866.53125</v>
      </c>
      <c r="D537" t="inlineStr">
        <is>
          <t>Mon</t>
        </is>
      </c>
      <c r="E537" s="27" t="n">
        <v>12</v>
      </c>
      <c r="F537" t="inlineStr">
        <is>
          <t>Walk-In</t>
        </is>
      </c>
      <c r="G537" s="27" t="n">
        <v>3</v>
      </c>
      <c r="H537" t="inlineStr">
        <is>
          <t>Fainting</t>
        </is>
      </c>
      <c r="I537" t="n">
        <v>80</v>
      </c>
      <c r="J537" t="n">
        <v>155</v>
      </c>
      <c r="K537" s="28">
        <f>I537/J537</f>
        <v/>
      </c>
      <c r="L537" s="27" t="n">
        <v>45</v>
      </c>
      <c r="M537" t="inlineStr">
        <is>
          <t>Discharged</t>
        </is>
      </c>
    </row>
    <row r="538">
      <c r="A538" t="inlineStr">
        <is>
          <t>ED209717</t>
        </is>
      </c>
      <c r="B538" t="inlineStr">
        <is>
          <t>PT10398</t>
        </is>
      </c>
      <c r="C538" s="26" t="n">
        <v>45866.59166666667</v>
      </c>
      <c r="D538" t="inlineStr">
        <is>
          <t>Mon</t>
        </is>
      </c>
      <c r="E538" s="27" t="n">
        <v>14</v>
      </c>
      <c r="F538" t="inlineStr">
        <is>
          <t>Walk-In</t>
        </is>
      </c>
      <c r="G538" s="27" t="n">
        <v>3</v>
      </c>
      <c r="H538" t="inlineStr">
        <is>
          <t>Painful Urination / Fever</t>
        </is>
      </c>
      <c r="I538" t="n">
        <v>88</v>
      </c>
      <c r="J538" t="n">
        <v>113</v>
      </c>
      <c r="K538" s="28">
        <f>I538/J538</f>
        <v/>
      </c>
      <c r="L538" s="27" t="n">
        <v>42</v>
      </c>
      <c r="M538" t="inlineStr">
        <is>
          <t>Discharged</t>
        </is>
      </c>
    </row>
    <row r="539">
      <c r="A539" t="inlineStr">
        <is>
          <t>ED209721</t>
        </is>
      </c>
      <c r="B539" t="inlineStr">
        <is>
          <t>PT13889</t>
        </is>
      </c>
      <c r="C539" s="26" t="n">
        <v>45866.69791666666</v>
      </c>
      <c r="D539" t="inlineStr">
        <is>
          <t>Mon</t>
        </is>
      </c>
      <c r="E539" s="27" t="n">
        <v>16</v>
      </c>
      <c r="F539" t="inlineStr">
        <is>
          <t>Ambulance</t>
        </is>
      </c>
      <c r="G539" s="27" t="n">
        <v>4</v>
      </c>
      <c r="H539" t="inlineStr">
        <is>
          <t>Back Pain</t>
        </is>
      </c>
      <c r="I539" t="n">
        <v>75</v>
      </c>
      <c r="J539" t="n">
        <v>139</v>
      </c>
      <c r="K539" s="28">
        <f>I539/J539</f>
        <v/>
      </c>
      <c r="L539" s="27" t="n">
        <v>38</v>
      </c>
      <c r="M539" t="inlineStr">
        <is>
          <t>Discharged</t>
        </is>
      </c>
    </row>
    <row r="540">
      <c r="A540" t="inlineStr">
        <is>
          <t>ED209727</t>
        </is>
      </c>
      <c r="B540" t="inlineStr">
        <is>
          <t>PT11712</t>
        </is>
      </c>
      <c r="C540" s="26" t="n">
        <v>45866.83333333334</v>
      </c>
      <c r="D540" t="inlineStr">
        <is>
          <t>Mon</t>
        </is>
      </c>
      <c r="E540" s="27" t="n">
        <v>20</v>
      </c>
      <c r="F540" t="inlineStr">
        <is>
          <t>Ambulance</t>
        </is>
      </c>
      <c r="G540" s="27" t="n">
        <v>3</v>
      </c>
      <c r="H540" t="inlineStr">
        <is>
          <t>Fall / Hip Pain</t>
        </is>
      </c>
      <c r="I540" t="n">
        <v>82</v>
      </c>
      <c r="J540" t="n">
        <v>95</v>
      </c>
      <c r="K540" s="28">
        <f>I540/J540</f>
        <v/>
      </c>
      <c r="L540" s="27" t="n">
        <v>32</v>
      </c>
      <c r="M540" t="inlineStr">
        <is>
          <t>Admitted</t>
        </is>
      </c>
    </row>
    <row r="541">
      <c r="A541" t="inlineStr">
        <is>
          <t>ED209732</t>
        </is>
      </c>
      <c r="B541" t="inlineStr">
        <is>
          <t>PT13116</t>
        </is>
      </c>
      <c r="C541" s="26" t="n">
        <v>45867.36597222222</v>
      </c>
      <c r="D541" t="inlineStr">
        <is>
          <t>Tue</t>
        </is>
      </c>
      <c r="E541" s="27" t="n">
        <v>8</v>
      </c>
      <c r="F541" t="inlineStr">
        <is>
          <t>Walk-In</t>
        </is>
      </c>
      <c r="G541" s="27" t="n">
        <v>4</v>
      </c>
      <c r="H541" t="inlineStr">
        <is>
          <t>Anxiety / Palpitations</t>
        </is>
      </c>
      <c r="I541" t="n">
        <v>84</v>
      </c>
      <c r="J541" t="n">
        <v>141</v>
      </c>
      <c r="K541" s="28">
        <f>I541/J541</f>
        <v/>
      </c>
      <c r="L541" s="27" t="n">
        <v>124</v>
      </c>
      <c r="M541" t="inlineStr">
        <is>
          <t>Discharged</t>
        </is>
      </c>
    </row>
    <row r="542">
      <c r="A542" t="inlineStr">
        <is>
          <t>ED209749</t>
        </is>
      </c>
      <c r="B542" t="inlineStr">
        <is>
          <t>PT10750</t>
        </is>
      </c>
      <c r="C542" s="26" t="n">
        <v>45867.90694444445</v>
      </c>
      <c r="D542" t="inlineStr">
        <is>
          <t>Tue</t>
        </is>
      </c>
      <c r="E542" s="27" t="n">
        <v>21</v>
      </c>
      <c r="F542" t="inlineStr">
        <is>
          <t>Walk-In</t>
        </is>
      </c>
      <c r="G542" s="27" t="n">
        <v>3</v>
      </c>
      <c r="H542" t="inlineStr">
        <is>
          <t>Head Injury</t>
        </is>
      </c>
      <c r="I542" t="n">
        <v>72</v>
      </c>
      <c r="J542" t="n">
        <v>139</v>
      </c>
      <c r="K542" s="28">
        <f>I542/J542</f>
        <v/>
      </c>
      <c r="L542" s="27" t="n">
        <v>11</v>
      </c>
      <c r="M542" t="inlineStr">
        <is>
          <t>Discharged</t>
        </is>
      </c>
    </row>
    <row r="543">
      <c r="A543" t="inlineStr">
        <is>
          <t>ED209755</t>
        </is>
      </c>
      <c r="B543" t="inlineStr">
        <is>
          <t>PT12513</t>
        </is>
      </c>
      <c r="C543" s="26" t="n">
        <v>45868.62430555555</v>
      </c>
      <c r="D543" t="inlineStr">
        <is>
          <t>Wed</t>
        </is>
      </c>
      <c r="E543" s="27" t="n">
        <v>14</v>
      </c>
      <c r="F543" t="inlineStr">
        <is>
          <t>Walk-In</t>
        </is>
      </c>
      <c r="G543" s="27" t="n">
        <v>3</v>
      </c>
      <c r="H543" t="inlineStr">
        <is>
          <t>Back Pain</t>
        </is>
      </c>
      <c r="I543" t="n">
        <v>67</v>
      </c>
      <c r="J543" t="n">
        <v>122</v>
      </c>
      <c r="K543" s="28">
        <f>I543/J543</f>
        <v/>
      </c>
      <c r="L543" s="27" t="n">
        <v>62</v>
      </c>
      <c r="M543" t="inlineStr">
        <is>
          <t>Discharged</t>
        </is>
      </c>
    </row>
    <row r="544">
      <c r="A544" t="inlineStr">
        <is>
          <t>ED209759</t>
        </is>
      </c>
      <c r="B544" t="inlineStr">
        <is>
          <t>PT13853</t>
        </is>
      </c>
      <c r="C544" s="26" t="n">
        <v>45869.31666666667</v>
      </c>
      <c r="D544" t="inlineStr">
        <is>
          <t>Thu</t>
        </is>
      </c>
      <c r="E544" s="27" t="n">
        <v>7</v>
      </c>
      <c r="F544" t="inlineStr">
        <is>
          <t>Ambulance</t>
        </is>
      </c>
      <c r="G544" s="27" t="n">
        <v>2</v>
      </c>
      <c r="H544" t="inlineStr">
        <is>
          <t>Chest Pain</t>
        </is>
      </c>
      <c r="I544" t="n">
        <v>106</v>
      </c>
      <c r="J544" t="n">
        <v>135</v>
      </c>
      <c r="K544" s="28">
        <f>I544/J544</f>
        <v/>
      </c>
      <c r="L544" s="27" t="n">
        <v>5</v>
      </c>
      <c r="M544" t="inlineStr">
        <is>
          <t>Discharged</t>
        </is>
      </c>
    </row>
    <row r="545">
      <c r="A545" t="inlineStr">
        <is>
          <t>ED209763</t>
        </is>
      </c>
      <c r="B545" t="inlineStr">
        <is>
          <t>PT10947</t>
        </is>
      </c>
      <c r="C545" s="26" t="n">
        <v>45869.56458333333</v>
      </c>
      <c r="D545" t="inlineStr">
        <is>
          <t>Thu</t>
        </is>
      </c>
      <c r="E545" s="27" t="n">
        <v>13</v>
      </c>
      <c r="F545" t="inlineStr">
        <is>
          <t>Ambulance</t>
        </is>
      </c>
      <c r="G545" s="27" t="n">
        <v>3</v>
      </c>
      <c r="H545" t="inlineStr">
        <is>
          <t>Cough / Fever</t>
        </is>
      </c>
      <c r="I545" t="n">
        <v>105</v>
      </c>
      <c r="J545" t="n">
        <v>134</v>
      </c>
      <c r="K545" s="28">
        <f>I545/J545</f>
        <v/>
      </c>
      <c r="L545" s="27" t="n">
        <v>66</v>
      </c>
      <c r="M545" t="inlineStr">
        <is>
          <t>Left AMA</t>
        </is>
      </c>
    </row>
    <row r="546">
      <c r="A546" t="inlineStr">
        <is>
          <t>ED209765</t>
        </is>
      </c>
      <c r="B546" t="inlineStr">
        <is>
          <t>PT12162</t>
        </is>
      </c>
      <c r="C546" s="26" t="n">
        <v>45869.64583333334</v>
      </c>
      <c r="D546" t="inlineStr">
        <is>
          <t>Thu</t>
        </is>
      </c>
      <c r="E546" s="27" t="n">
        <v>15</v>
      </c>
      <c r="F546" t="inlineStr">
        <is>
          <t>Ambulance</t>
        </is>
      </c>
      <c r="G546" s="27" t="n">
        <v>3</v>
      </c>
      <c r="H546" t="inlineStr">
        <is>
          <t>Skin Redness / Swelling</t>
        </is>
      </c>
      <c r="I546" t="n">
        <v>98</v>
      </c>
      <c r="J546" t="n">
        <v>123</v>
      </c>
      <c r="K546" s="28">
        <f>I546/J546</f>
        <v/>
      </c>
      <c r="L546" s="27" t="n">
        <v>17</v>
      </c>
      <c r="M546" t="inlineStr">
        <is>
          <t>Admitted</t>
        </is>
      </c>
    </row>
    <row r="547">
      <c r="A547" t="inlineStr">
        <is>
          <t>ED209781</t>
        </is>
      </c>
      <c r="B547" t="inlineStr">
        <is>
          <t>PT11832</t>
        </is>
      </c>
      <c r="C547" s="26" t="n">
        <v>45870.77222222222</v>
      </c>
      <c r="D547" t="inlineStr">
        <is>
          <t>Fri</t>
        </is>
      </c>
      <c r="E547" s="27" t="n">
        <v>18</v>
      </c>
      <c r="F547" t="inlineStr">
        <is>
          <t>Walk-In</t>
        </is>
      </c>
      <c r="G547" s="27" t="n">
        <v>4</v>
      </c>
      <c r="H547" t="inlineStr">
        <is>
          <t>Palpitations</t>
        </is>
      </c>
      <c r="I547" t="n">
        <v>149</v>
      </c>
      <c r="J547" t="n">
        <v>161</v>
      </c>
      <c r="K547" s="28">
        <f>I547/J547</f>
        <v/>
      </c>
      <c r="L547" s="27" t="n">
        <v>133</v>
      </c>
      <c r="M547" t="inlineStr">
        <is>
          <t>Discharged</t>
        </is>
      </c>
    </row>
    <row r="548">
      <c r="A548" t="inlineStr">
        <is>
          <t>ED209782</t>
        </is>
      </c>
      <c r="B548" t="inlineStr">
        <is>
          <t>PT10547</t>
        </is>
      </c>
      <c r="C548" s="26" t="n">
        <v>45870.87916666667</v>
      </c>
      <c r="D548" t="inlineStr">
        <is>
          <t>Fri</t>
        </is>
      </c>
      <c r="E548" s="27" t="n">
        <v>21</v>
      </c>
      <c r="F548" t="inlineStr">
        <is>
          <t>Walk-In</t>
        </is>
      </c>
      <c r="G548" s="27" t="n">
        <v>3</v>
      </c>
      <c r="H548" t="inlineStr">
        <is>
          <t>Headache</t>
        </is>
      </c>
      <c r="I548" t="n">
        <v>85</v>
      </c>
      <c r="J548" t="n">
        <v>136</v>
      </c>
      <c r="K548" s="28">
        <f>I548/J548</f>
        <v/>
      </c>
      <c r="L548" s="27" t="n">
        <v>92</v>
      </c>
      <c r="M548" t="inlineStr">
        <is>
          <t>Discharged</t>
        </is>
      </c>
    </row>
    <row r="549">
      <c r="A549" t="inlineStr">
        <is>
          <t>ED209788</t>
        </is>
      </c>
      <c r="B549" t="inlineStr">
        <is>
          <t>PT12554</t>
        </is>
      </c>
      <c r="C549" s="26" t="n">
        <v>45871.40763888889</v>
      </c>
      <c r="D549" t="inlineStr">
        <is>
          <t>Sat</t>
        </is>
      </c>
      <c r="E549" s="27" t="n">
        <v>9</v>
      </c>
      <c r="F549" t="inlineStr">
        <is>
          <t>Walk-In</t>
        </is>
      </c>
      <c r="G549" s="27" t="n">
        <v>3</v>
      </c>
      <c r="H549" t="inlineStr">
        <is>
          <t>Confusion</t>
        </is>
      </c>
      <c r="I549" t="n">
        <v>70</v>
      </c>
      <c r="J549" t="n">
        <v>142</v>
      </c>
      <c r="K549" s="28">
        <f>I549/J549</f>
        <v/>
      </c>
      <c r="L549" s="27" t="n">
        <v>45</v>
      </c>
      <c r="M549" t="inlineStr">
        <is>
          <t>Admitted</t>
        </is>
      </c>
    </row>
    <row r="550">
      <c r="A550" t="inlineStr">
        <is>
          <t>ED209792</t>
        </is>
      </c>
      <c r="B550" t="inlineStr">
        <is>
          <t>PT11688</t>
        </is>
      </c>
      <c r="C550" s="26" t="n">
        <v>45871.84027777778</v>
      </c>
      <c r="D550" t="inlineStr">
        <is>
          <t>Sat</t>
        </is>
      </c>
      <c r="E550" s="27" t="n">
        <v>20</v>
      </c>
      <c r="F550" t="inlineStr">
        <is>
          <t>Walk-In</t>
        </is>
      </c>
      <c r="G550" s="27" t="n">
        <v>4</v>
      </c>
      <c r="H550" t="inlineStr">
        <is>
          <t>Back Pain</t>
        </is>
      </c>
      <c r="I550" t="n">
        <v>101</v>
      </c>
      <c r="J550" t="n">
        <v>142</v>
      </c>
      <c r="K550" s="28">
        <f>I550/J550</f>
        <v/>
      </c>
      <c r="L550" s="27" t="n">
        <v>55</v>
      </c>
      <c r="M550" t="inlineStr">
        <is>
          <t>Discharged</t>
        </is>
      </c>
    </row>
    <row r="551">
      <c r="A551" t="inlineStr">
        <is>
          <t>ED209794</t>
        </is>
      </c>
      <c r="B551" t="inlineStr">
        <is>
          <t>PT11534</t>
        </is>
      </c>
      <c r="C551" s="26" t="n">
        <v>45872.25069444445</v>
      </c>
      <c r="D551" t="inlineStr">
        <is>
          <t>Sun</t>
        </is>
      </c>
      <c r="E551" s="27" t="n">
        <v>6</v>
      </c>
      <c r="F551" t="inlineStr">
        <is>
          <t>Walk-In</t>
        </is>
      </c>
      <c r="G551" s="27" t="n">
        <v>2</v>
      </c>
      <c r="H551" t="inlineStr">
        <is>
          <t>Chest Pain</t>
        </is>
      </c>
      <c r="I551" t="n">
        <v>74</v>
      </c>
      <c r="J551" t="n">
        <v>135</v>
      </c>
      <c r="K551" s="28">
        <f>I551/J551</f>
        <v/>
      </c>
      <c r="L551" s="27" t="n">
        <v>15</v>
      </c>
      <c r="M551" t="inlineStr">
        <is>
          <t>Observation</t>
        </is>
      </c>
    </row>
    <row r="552">
      <c r="A552" t="inlineStr">
        <is>
          <t>ED209795</t>
        </is>
      </c>
      <c r="B552" t="inlineStr">
        <is>
          <t>PT12201</t>
        </is>
      </c>
      <c r="C552" s="26" t="n">
        <v>45872.32847222222</v>
      </c>
      <c r="D552" t="inlineStr">
        <is>
          <t>Sun</t>
        </is>
      </c>
      <c r="E552" s="27" t="n">
        <v>7</v>
      </c>
      <c r="F552" t="inlineStr">
        <is>
          <t>Walk-In</t>
        </is>
      </c>
      <c r="G552" s="27" t="n">
        <v>3</v>
      </c>
      <c r="H552" t="inlineStr">
        <is>
          <t>Abdominal Pain</t>
        </is>
      </c>
      <c r="I552" t="n">
        <v>91</v>
      </c>
      <c r="J552" t="n">
        <v>141</v>
      </c>
      <c r="K552" s="28">
        <f>I552/J552</f>
        <v/>
      </c>
      <c r="L552" s="27" t="n">
        <v>41</v>
      </c>
      <c r="M552" t="inlineStr">
        <is>
          <t>Discharged</t>
        </is>
      </c>
    </row>
    <row r="553">
      <c r="A553" t="inlineStr">
        <is>
          <t>ED209796</t>
        </is>
      </c>
      <c r="B553" t="inlineStr">
        <is>
          <t>PT11611</t>
        </is>
      </c>
      <c r="C553" s="26" t="n">
        <v>45872.37291666667</v>
      </c>
      <c r="D553" t="inlineStr">
        <is>
          <t>Sun</t>
        </is>
      </c>
      <c r="E553" s="27" t="n">
        <v>8</v>
      </c>
      <c r="F553" t="inlineStr">
        <is>
          <t>Walk-In</t>
        </is>
      </c>
      <c r="G553" s="27" t="n">
        <v>3</v>
      </c>
      <c r="H553" t="inlineStr">
        <is>
          <t>Abdominal Pain</t>
        </is>
      </c>
      <c r="I553" t="n">
        <v>61</v>
      </c>
      <c r="J553" t="n">
        <v>134</v>
      </c>
      <c r="K553" s="28">
        <f>I553/J553</f>
        <v/>
      </c>
      <c r="L553" s="27" t="n">
        <v>33</v>
      </c>
      <c r="M553" t="inlineStr">
        <is>
          <t>Admitted</t>
        </is>
      </c>
    </row>
    <row r="554">
      <c r="A554" t="inlineStr">
        <is>
          <t>ED209803</t>
        </is>
      </c>
      <c r="B554" t="inlineStr">
        <is>
          <t>PT11902</t>
        </is>
      </c>
      <c r="C554" s="26" t="n">
        <v>45872.69583333333</v>
      </c>
      <c r="D554" t="inlineStr">
        <is>
          <t>Sun</t>
        </is>
      </c>
      <c r="E554" s="27" t="n">
        <v>16</v>
      </c>
      <c r="F554" t="inlineStr">
        <is>
          <t>Ambulance</t>
        </is>
      </c>
      <c r="G554" s="27" t="n">
        <v>3</v>
      </c>
      <c r="H554" t="inlineStr">
        <is>
          <t>Head Injury</t>
        </is>
      </c>
      <c r="I554" t="n">
        <v>75</v>
      </c>
      <c r="J554" t="n">
        <v>135</v>
      </c>
      <c r="K554" s="28">
        <f>I554/J554</f>
        <v/>
      </c>
      <c r="L554" s="27" t="n">
        <v>77</v>
      </c>
      <c r="M554" t="inlineStr">
        <is>
          <t>Discharged</t>
        </is>
      </c>
    </row>
    <row r="555">
      <c r="A555" t="inlineStr">
        <is>
          <t>ED209825</t>
        </is>
      </c>
      <c r="B555" t="inlineStr">
        <is>
          <t>PT10475</t>
        </is>
      </c>
      <c r="C555" s="26" t="n">
        <v>45874.41736111111</v>
      </c>
      <c r="D555" t="inlineStr">
        <is>
          <t>Tue</t>
        </is>
      </c>
      <c r="E555" s="27" t="n">
        <v>10</v>
      </c>
      <c r="F555" t="inlineStr">
        <is>
          <t>Walk-In</t>
        </is>
      </c>
      <c r="G555" s="27" t="n">
        <v>5</v>
      </c>
      <c r="H555" t="inlineStr">
        <is>
          <t>Ankle Injury</t>
        </is>
      </c>
      <c r="I555" t="n">
        <v>73</v>
      </c>
      <c r="J555" t="n">
        <v>116</v>
      </c>
      <c r="K555" s="28">
        <f>I555/J555</f>
        <v/>
      </c>
      <c r="L555" s="27" t="n">
        <v>71</v>
      </c>
      <c r="M555" t="inlineStr">
        <is>
          <t>Discharged</t>
        </is>
      </c>
    </row>
    <row r="556">
      <c r="A556" t="inlineStr">
        <is>
          <t>ED209834</t>
        </is>
      </c>
      <c r="B556" t="inlineStr">
        <is>
          <t>PT13323</t>
        </is>
      </c>
      <c r="C556" s="26" t="n">
        <v>45874.54444444444</v>
      </c>
      <c r="D556" t="inlineStr">
        <is>
          <t>Tue</t>
        </is>
      </c>
      <c r="E556" s="27" t="n">
        <v>13</v>
      </c>
      <c r="F556" t="inlineStr">
        <is>
          <t>Walk-In</t>
        </is>
      </c>
      <c r="G556" s="27" t="n">
        <v>3</v>
      </c>
      <c r="H556" t="inlineStr">
        <is>
          <t>Shortness of Breath</t>
        </is>
      </c>
      <c r="I556" t="n">
        <v>73</v>
      </c>
      <c r="J556" t="n">
        <v>102</v>
      </c>
      <c r="K556" s="28">
        <f>I556/J556</f>
        <v/>
      </c>
      <c r="L556" s="27" t="n">
        <v>35</v>
      </c>
      <c r="M556" t="inlineStr">
        <is>
          <t>Discharged</t>
        </is>
      </c>
    </row>
    <row r="557">
      <c r="A557" t="inlineStr">
        <is>
          <t>ED209843</t>
        </is>
      </c>
      <c r="B557" t="inlineStr">
        <is>
          <t>PT11231</t>
        </is>
      </c>
      <c r="C557" s="26" t="n">
        <v>45874.90972222222</v>
      </c>
      <c r="D557" t="inlineStr">
        <is>
          <t>Tue</t>
        </is>
      </c>
      <c r="E557" s="27" t="n">
        <v>21</v>
      </c>
      <c r="F557" t="inlineStr">
        <is>
          <t>Walk-In</t>
        </is>
      </c>
      <c r="G557" s="27" t="n">
        <v>4</v>
      </c>
      <c r="H557" t="inlineStr">
        <is>
          <t>Headache</t>
        </is>
      </c>
      <c r="I557" t="n">
        <v>72</v>
      </c>
      <c r="J557" t="n">
        <v>127</v>
      </c>
      <c r="K557" s="28">
        <f>I557/J557</f>
        <v/>
      </c>
      <c r="L557" s="27" t="n">
        <v>36</v>
      </c>
      <c r="M557" t="inlineStr">
        <is>
          <t>Discharged</t>
        </is>
      </c>
    </row>
    <row r="558">
      <c r="A558" t="inlineStr">
        <is>
          <t>ED209850</t>
        </is>
      </c>
      <c r="B558" t="inlineStr">
        <is>
          <t>PT12203</t>
        </is>
      </c>
      <c r="C558" s="26" t="n">
        <v>45875.65138888889</v>
      </c>
      <c r="D558" t="inlineStr">
        <is>
          <t>Wed</t>
        </is>
      </c>
      <c r="E558" s="27" t="n">
        <v>15</v>
      </c>
      <c r="F558" t="inlineStr">
        <is>
          <t>Walk-In</t>
        </is>
      </c>
      <c r="G558" s="27" t="n">
        <v>3</v>
      </c>
      <c r="H558" t="inlineStr">
        <is>
          <t>Skin Redness / Swelling</t>
        </is>
      </c>
      <c r="I558" t="n">
        <v>69</v>
      </c>
      <c r="J558" t="n">
        <v>119</v>
      </c>
      <c r="K558" s="28">
        <f>I558/J558</f>
        <v/>
      </c>
      <c r="L558" s="27" t="n">
        <v>33</v>
      </c>
      <c r="M558" t="inlineStr">
        <is>
          <t>Observation</t>
        </is>
      </c>
    </row>
    <row r="559">
      <c r="A559" t="inlineStr">
        <is>
          <t>ED209853</t>
        </is>
      </c>
      <c r="B559" t="inlineStr">
        <is>
          <t>PT10886</t>
        </is>
      </c>
      <c r="C559" s="26" t="n">
        <v>45875.7625</v>
      </c>
      <c r="D559" t="inlineStr">
        <is>
          <t>Wed</t>
        </is>
      </c>
      <c r="E559" s="27" t="n">
        <v>18</v>
      </c>
      <c r="F559" t="inlineStr">
        <is>
          <t>Walk-In</t>
        </is>
      </c>
      <c r="G559" s="27" t="n">
        <v>3</v>
      </c>
      <c r="H559" t="inlineStr">
        <is>
          <t>Laceration</t>
        </is>
      </c>
      <c r="I559" t="n">
        <v>83</v>
      </c>
      <c r="J559" t="n">
        <v>126</v>
      </c>
      <c r="K559" s="28">
        <f>I559/J559</f>
        <v/>
      </c>
      <c r="L559" s="27" t="n">
        <v>64</v>
      </c>
      <c r="M559" t="inlineStr">
        <is>
          <t>Discharged</t>
        </is>
      </c>
    </row>
    <row r="560">
      <c r="A560" t="inlineStr">
        <is>
          <t>ED209854</t>
        </is>
      </c>
      <c r="B560" t="inlineStr">
        <is>
          <t>PT13311</t>
        </is>
      </c>
      <c r="C560" s="26" t="n">
        <v>45875.88611111111</v>
      </c>
      <c r="D560" t="inlineStr">
        <is>
          <t>Wed</t>
        </is>
      </c>
      <c r="E560" s="27" t="n">
        <v>21</v>
      </c>
      <c r="F560" t="inlineStr">
        <is>
          <t>Walk-In</t>
        </is>
      </c>
      <c r="G560" s="27" t="n">
        <v>4</v>
      </c>
      <c r="H560" t="inlineStr">
        <is>
          <t>Chest Pain</t>
        </is>
      </c>
      <c r="I560" t="n">
        <v>82</v>
      </c>
      <c r="J560" t="n">
        <v>104</v>
      </c>
      <c r="K560" s="28">
        <f>I560/J560</f>
        <v/>
      </c>
      <c r="L560" s="27" t="n">
        <v>143</v>
      </c>
      <c r="M560" t="inlineStr">
        <is>
          <t>Discharged</t>
        </is>
      </c>
    </row>
    <row r="561">
      <c r="A561" t="inlineStr">
        <is>
          <t>ED209858</t>
        </is>
      </c>
      <c r="B561" t="inlineStr">
        <is>
          <t>PT11242</t>
        </is>
      </c>
      <c r="C561" s="26" t="n">
        <v>45876.29236111111</v>
      </c>
      <c r="D561" t="inlineStr">
        <is>
          <t>Thu</t>
        </is>
      </c>
      <c r="E561" s="27" t="n">
        <v>7</v>
      </c>
      <c r="F561" t="inlineStr">
        <is>
          <t>Walk-In</t>
        </is>
      </c>
      <c r="G561" s="27" t="n">
        <v>4</v>
      </c>
      <c r="H561" t="inlineStr">
        <is>
          <t>Back Pain</t>
        </is>
      </c>
      <c r="I561" t="n">
        <v>74</v>
      </c>
      <c r="J561" t="n">
        <v>143</v>
      </c>
      <c r="K561" s="28">
        <f>I561/J561</f>
        <v/>
      </c>
      <c r="L561" s="27" t="n">
        <v>41</v>
      </c>
      <c r="M561" t="inlineStr">
        <is>
          <t>Discharged</t>
        </is>
      </c>
    </row>
    <row r="562">
      <c r="A562" t="inlineStr">
        <is>
          <t>ED209865</t>
        </is>
      </c>
      <c r="B562" t="inlineStr">
        <is>
          <t>PT11138</t>
        </is>
      </c>
      <c r="C562" s="26" t="n">
        <v>45877.08263888889</v>
      </c>
      <c r="D562" t="inlineStr">
        <is>
          <t>Fri</t>
        </is>
      </c>
      <c r="E562" s="27" t="n">
        <v>1</v>
      </c>
      <c r="F562" t="inlineStr">
        <is>
          <t>Ambulance</t>
        </is>
      </c>
      <c r="G562" s="27" t="n">
        <v>2</v>
      </c>
      <c r="H562" t="inlineStr">
        <is>
          <t>Laceration</t>
        </is>
      </c>
      <c r="I562" t="n">
        <v>94</v>
      </c>
      <c r="J562" t="n">
        <v>122</v>
      </c>
      <c r="K562" s="28">
        <f>I562/J562</f>
        <v/>
      </c>
      <c r="L562" s="27" t="n">
        <v>15</v>
      </c>
      <c r="M562" t="inlineStr">
        <is>
          <t>Admitted</t>
        </is>
      </c>
    </row>
    <row r="563">
      <c r="A563" t="inlineStr">
        <is>
          <t>ED209868</t>
        </is>
      </c>
      <c r="B563" t="inlineStr">
        <is>
          <t>PT12703</t>
        </is>
      </c>
      <c r="C563" s="26" t="n">
        <v>45877.45902777778</v>
      </c>
      <c r="D563" t="inlineStr">
        <is>
          <t>Fri</t>
        </is>
      </c>
      <c r="E563" s="27" t="n">
        <v>11</v>
      </c>
      <c r="F563" t="inlineStr">
        <is>
          <t>Ambulance</t>
        </is>
      </c>
      <c r="G563" s="27" t="n">
        <v>3</v>
      </c>
      <c r="H563" t="inlineStr">
        <is>
          <t>Confusion</t>
        </is>
      </c>
      <c r="I563" t="n">
        <v>96</v>
      </c>
      <c r="J563" t="n">
        <v>105</v>
      </c>
      <c r="K563" s="28">
        <f>I563/J563</f>
        <v/>
      </c>
      <c r="L563" s="27" t="n">
        <v>35</v>
      </c>
      <c r="M563" t="inlineStr">
        <is>
          <t>Admitted</t>
        </is>
      </c>
    </row>
    <row r="564">
      <c r="A564" t="inlineStr">
        <is>
          <t>ED209874</t>
        </is>
      </c>
      <c r="B564" t="inlineStr">
        <is>
          <t>PT13853</t>
        </is>
      </c>
      <c r="C564" s="26" t="n">
        <v>45877.61319444444</v>
      </c>
      <c r="D564" t="inlineStr">
        <is>
          <t>Fri</t>
        </is>
      </c>
      <c r="E564" s="27" t="n">
        <v>14</v>
      </c>
      <c r="F564" t="inlineStr">
        <is>
          <t>Walk-In</t>
        </is>
      </c>
      <c r="G564" s="27" t="n">
        <v>4</v>
      </c>
      <c r="H564" t="inlineStr">
        <is>
          <t>Skin Redness / Swelling</t>
        </is>
      </c>
      <c r="I564" t="n">
        <v>89</v>
      </c>
      <c r="J564" t="n">
        <v>126</v>
      </c>
      <c r="K564" s="28">
        <f>I564/J564</f>
        <v/>
      </c>
      <c r="L564" s="27" t="n">
        <v>60</v>
      </c>
      <c r="M564" t="inlineStr">
        <is>
          <t>Discharged</t>
        </is>
      </c>
    </row>
    <row r="565">
      <c r="A565" t="inlineStr">
        <is>
          <t>ED209881</t>
        </is>
      </c>
      <c r="B565" t="inlineStr">
        <is>
          <t>PT10067</t>
        </is>
      </c>
      <c r="C565" s="26" t="n">
        <v>45877.84722222222</v>
      </c>
      <c r="D565" t="inlineStr">
        <is>
          <t>Fri</t>
        </is>
      </c>
      <c r="E565" s="27" t="n">
        <v>20</v>
      </c>
      <c r="F565" t="inlineStr">
        <is>
          <t>Ambulance</t>
        </is>
      </c>
      <c r="G565" s="27" t="n">
        <v>2</v>
      </c>
      <c r="H565" t="inlineStr">
        <is>
          <t>Fall / Hip Pain</t>
        </is>
      </c>
      <c r="I565" t="n">
        <v>68</v>
      </c>
      <c r="J565" t="n">
        <v>141</v>
      </c>
      <c r="K565" s="28">
        <f>I565/J565</f>
        <v/>
      </c>
      <c r="L565" s="27" t="n">
        <v>13</v>
      </c>
      <c r="M565" t="inlineStr">
        <is>
          <t>Admitted</t>
        </is>
      </c>
    </row>
    <row r="566">
      <c r="A566" t="inlineStr">
        <is>
          <t>ED209898</t>
        </is>
      </c>
      <c r="B566" t="inlineStr">
        <is>
          <t>PT11386</t>
        </is>
      </c>
      <c r="C566" s="26" t="n">
        <v>45879.02430555555</v>
      </c>
      <c r="D566" t="inlineStr">
        <is>
          <t>Sun</t>
        </is>
      </c>
      <c r="E566" s="27" t="n">
        <v>0</v>
      </c>
      <c r="F566" t="inlineStr">
        <is>
          <t>Walk-In</t>
        </is>
      </c>
      <c r="G566" s="27" t="n">
        <v>4</v>
      </c>
      <c r="H566" t="inlineStr">
        <is>
          <t>Vomiting / Dizziness</t>
        </is>
      </c>
      <c r="I566" t="n">
        <v>128</v>
      </c>
      <c r="J566" t="n">
        <v>144</v>
      </c>
      <c r="K566" s="28">
        <f>I566/J566</f>
        <v/>
      </c>
      <c r="L566" s="27" t="n">
        <v>46</v>
      </c>
      <c r="M566" t="inlineStr">
        <is>
          <t>Discharged</t>
        </is>
      </c>
    </row>
    <row r="567">
      <c r="A567" t="inlineStr">
        <is>
          <t>ED209907</t>
        </is>
      </c>
      <c r="B567" t="inlineStr">
        <is>
          <t>PT12449</t>
        </is>
      </c>
      <c r="C567" s="26" t="n">
        <v>45879.88402777778</v>
      </c>
      <c r="D567" t="inlineStr">
        <is>
          <t>Sun</t>
        </is>
      </c>
      <c r="E567" s="27" t="n">
        <v>21</v>
      </c>
      <c r="F567" t="inlineStr">
        <is>
          <t>Walk-In</t>
        </is>
      </c>
      <c r="G567" s="27" t="n">
        <v>2</v>
      </c>
      <c r="H567" t="inlineStr">
        <is>
          <t>Fever / Altered Mental Status</t>
        </is>
      </c>
      <c r="I567" t="n">
        <v>127</v>
      </c>
      <c r="J567" t="n">
        <v>95</v>
      </c>
      <c r="K567" s="28">
        <f>I567/J567</f>
        <v/>
      </c>
      <c r="L567" s="27" t="n">
        <v>17</v>
      </c>
      <c r="M567" t="inlineStr">
        <is>
          <t>Admitted</t>
        </is>
      </c>
    </row>
    <row r="568">
      <c r="A568" t="inlineStr">
        <is>
          <t>ED209908</t>
        </is>
      </c>
      <c r="B568" t="inlineStr">
        <is>
          <t>PT12774</t>
        </is>
      </c>
      <c r="C568" s="26" t="n">
        <v>45879.96041666667</v>
      </c>
      <c r="D568" t="inlineStr">
        <is>
          <t>Sun</t>
        </is>
      </c>
      <c r="E568" s="27" t="n">
        <v>23</v>
      </c>
      <c r="F568" t="inlineStr">
        <is>
          <t>Walk-In</t>
        </is>
      </c>
      <c r="G568" s="27" t="n">
        <v>4</v>
      </c>
      <c r="H568" t="inlineStr">
        <is>
          <t>Shortness of Breath</t>
        </is>
      </c>
      <c r="I568" t="n">
        <v>108</v>
      </c>
      <c r="J568" t="n">
        <v>106</v>
      </c>
      <c r="K568" s="28">
        <f>I568/J568</f>
        <v/>
      </c>
      <c r="L568" s="27" t="n">
        <v>45</v>
      </c>
      <c r="M568" t="inlineStr">
        <is>
          <t>Admitted</t>
        </is>
      </c>
    </row>
    <row r="569">
      <c r="A569" t="inlineStr">
        <is>
          <t>ED209909</t>
        </is>
      </c>
      <c r="B569" t="inlineStr">
        <is>
          <t>PT10607</t>
        </is>
      </c>
      <c r="C569" s="26" t="n">
        <v>45880.27430555555</v>
      </c>
      <c r="D569" t="inlineStr">
        <is>
          <t>Mon</t>
        </is>
      </c>
      <c r="E569" s="27" t="n">
        <v>6</v>
      </c>
      <c r="F569" t="inlineStr">
        <is>
          <t>Walk-In</t>
        </is>
      </c>
      <c r="G569" s="27" t="n">
        <v>4</v>
      </c>
      <c r="H569" t="inlineStr">
        <is>
          <t>Ankle Injury</t>
        </is>
      </c>
      <c r="I569" t="n">
        <v>71</v>
      </c>
      <c r="J569" t="n">
        <v>162</v>
      </c>
      <c r="K569" s="28">
        <f>I569/J569</f>
        <v/>
      </c>
      <c r="L569" s="27" t="n">
        <v>72</v>
      </c>
      <c r="M569" t="inlineStr">
        <is>
          <t>Discharged</t>
        </is>
      </c>
    </row>
    <row r="570">
      <c r="A570" t="inlineStr">
        <is>
          <t>ED209916</t>
        </is>
      </c>
      <c r="B570" t="inlineStr">
        <is>
          <t>PT11727</t>
        </is>
      </c>
      <c r="C570" s="26" t="n">
        <v>45880.61944444444</v>
      </c>
      <c r="D570" t="inlineStr">
        <is>
          <t>Mon</t>
        </is>
      </c>
      <c r="E570" s="27" t="n">
        <v>14</v>
      </c>
      <c r="F570" t="inlineStr">
        <is>
          <t>Walk-In</t>
        </is>
      </c>
      <c r="G570" s="27" t="n">
        <v>3</v>
      </c>
      <c r="H570" t="inlineStr">
        <is>
          <t>Painful Urination / Fever</t>
        </is>
      </c>
      <c r="I570" t="n">
        <v>80</v>
      </c>
      <c r="J570" t="n">
        <v>116</v>
      </c>
      <c r="K570" s="28">
        <f>I570/J570</f>
        <v/>
      </c>
      <c r="L570" s="27" t="n">
        <v>25</v>
      </c>
      <c r="M570" t="inlineStr">
        <is>
          <t>Discharged</t>
        </is>
      </c>
    </row>
    <row r="571">
      <c r="A571" t="inlineStr">
        <is>
          <t>ED209917</t>
        </is>
      </c>
      <c r="B571" t="inlineStr">
        <is>
          <t>PT10676</t>
        </is>
      </c>
      <c r="C571" s="26" t="n">
        <v>45880.62569444445</v>
      </c>
      <c r="D571" t="inlineStr">
        <is>
          <t>Mon</t>
        </is>
      </c>
      <c r="E571" s="27" t="n">
        <v>15</v>
      </c>
      <c r="F571" t="inlineStr">
        <is>
          <t>Ambulance</t>
        </is>
      </c>
      <c r="G571" s="27" t="n">
        <v>4</v>
      </c>
      <c r="H571" t="inlineStr">
        <is>
          <t>Painful Urination / Fever</t>
        </is>
      </c>
      <c r="I571" t="n">
        <v>92</v>
      </c>
      <c r="J571" t="n">
        <v>136</v>
      </c>
      <c r="K571" s="28">
        <f>I571/J571</f>
        <v/>
      </c>
      <c r="L571" s="27" t="n">
        <v>90</v>
      </c>
      <c r="M571" t="inlineStr">
        <is>
          <t>Admitted</t>
        </is>
      </c>
    </row>
    <row r="572">
      <c r="A572" t="inlineStr">
        <is>
          <t>ED209919</t>
        </is>
      </c>
      <c r="B572" t="inlineStr">
        <is>
          <t>PT12725</t>
        </is>
      </c>
      <c r="C572" s="26" t="n">
        <v>45880.70972222222</v>
      </c>
      <c r="D572" t="inlineStr">
        <is>
          <t>Mon</t>
        </is>
      </c>
      <c r="E572" s="27" t="n">
        <v>17</v>
      </c>
      <c r="F572" t="inlineStr">
        <is>
          <t>Ambulance</t>
        </is>
      </c>
      <c r="G572" s="27" t="n">
        <v>2</v>
      </c>
      <c r="H572" t="inlineStr">
        <is>
          <t>Palpitations</t>
        </is>
      </c>
      <c r="I572" t="n">
        <v>156</v>
      </c>
      <c r="J572" t="n">
        <v>107</v>
      </c>
      <c r="K572" s="28">
        <f>I572/J572</f>
        <v/>
      </c>
      <c r="L572" s="27" t="n">
        <v>24</v>
      </c>
      <c r="M572" t="inlineStr">
        <is>
          <t>Admitted</t>
        </is>
      </c>
    </row>
    <row r="573">
      <c r="A573" t="inlineStr">
        <is>
          <t>ED209920</t>
        </is>
      </c>
      <c r="B573" t="inlineStr">
        <is>
          <t>PT12316</t>
        </is>
      </c>
      <c r="C573" s="26" t="n">
        <v>45880.86875</v>
      </c>
      <c r="D573" t="inlineStr">
        <is>
          <t>Mon</t>
        </is>
      </c>
      <c r="E573" s="27" t="n">
        <v>20</v>
      </c>
      <c r="F573" t="inlineStr">
        <is>
          <t>Walk-In</t>
        </is>
      </c>
      <c r="G573" s="27" t="n">
        <v>5</v>
      </c>
      <c r="H573" t="inlineStr">
        <is>
          <t>Ankle Injury</t>
        </is>
      </c>
      <c r="I573" t="n">
        <v>73</v>
      </c>
      <c r="J573" t="n">
        <v>121</v>
      </c>
      <c r="K573" s="28">
        <f>I573/J573</f>
        <v/>
      </c>
      <c r="L573" s="27" t="n">
        <v>52</v>
      </c>
      <c r="M573" t="inlineStr">
        <is>
          <t>Discharged</t>
        </is>
      </c>
    </row>
    <row r="574">
      <c r="A574" t="inlineStr">
        <is>
          <t>ED209922</t>
        </is>
      </c>
      <c r="B574" t="inlineStr">
        <is>
          <t>PT11303</t>
        </is>
      </c>
      <c r="C574" s="26" t="n">
        <v>45881.08402777778</v>
      </c>
      <c r="D574" t="inlineStr">
        <is>
          <t>Tue</t>
        </is>
      </c>
      <c r="E574" s="27" t="n">
        <v>2</v>
      </c>
      <c r="F574" t="inlineStr">
        <is>
          <t>Walk-In</t>
        </is>
      </c>
      <c r="G574" s="27" t="n">
        <v>3</v>
      </c>
      <c r="H574" t="inlineStr">
        <is>
          <t>Shortness of Breath</t>
        </is>
      </c>
      <c r="I574" t="n">
        <v>104</v>
      </c>
      <c r="J574" t="n">
        <v>142</v>
      </c>
      <c r="K574" s="28">
        <f>I574/J574</f>
        <v/>
      </c>
      <c r="L574" s="27" t="n">
        <v>28</v>
      </c>
      <c r="M574" t="inlineStr">
        <is>
          <t>Discharged</t>
        </is>
      </c>
    </row>
    <row r="575">
      <c r="A575" t="inlineStr">
        <is>
          <t>ED209927</t>
        </is>
      </c>
      <c r="B575" t="inlineStr">
        <is>
          <t>PT11712</t>
        </is>
      </c>
      <c r="C575" s="26" t="n">
        <v>45881.40763888889</v>
      </c>
      <c r="D575" t="inlineStr">
        <is>
          <t>Tue</t>
        </is>
      </c>
      <c r="E575" s="27" t="n">
        <v>9</v>
      </c>
      <c r="F575" t="inlineStr">
        <is>
          <t>Walk-In</t>
        </is>
      </c>
      <c r="G575" s="27" t="n">
        <v>4</v>
      </c>
      <c r="H575" t="inlineStr">
        <is>
          <t>Head Injury</t>
        </is>
      </c>
      <c r="I575" t="n">
        <v>104</v>
      </c>
      <c r="J575" t="n">
        <v>125</v>
      </c>
      <c r="K575" s="28">
        <f>I575/J575</f>
        <v/>
      </c>
      <c r="L575" s="27" t="n">
        <v>68</v>
      </c>
      <c r="M575" t="inlineStr">
        <is>
          <t>Discharged</t>
        </is>
      </c>
    </row>
    <row r="576">
      <c r="A576" t="inlineStr">
        <is>
          <t>ED209932</t>
        </is>
      </c>
      <c r="B576" t="inlineStr">
        <is>
          <t>PT10409</t>
        </is>
      </c>
      <c r="C576" s="26" t="n">
        <v>45881.78888888889</v>
      </c>
      <c r="D576" t="inlineStr">
        <is>
          <t>Tue</t>
        </is>
      </c>
      <c r="E576" s="27" t="n">
        <v>18</v>
      </c>
      <c r="F576" t="inlineStr">
        <is>
          <t>Ambulance</t>
        </is>
      </c>
      <c r="G576" s="27" t="n">
        <v>2</v>
      </c>
      <c r="H576" t="inlineStr">
        <is>
          <t>Palpitations</t>
        </is>
      </c>
      <c r="I576" t="n">
        <v>116</v>
      </c>
      <c r="J576" t="n">
        <v>161</v>
      </c>
      <c r="K576" s="28">
        <f>I576/J576</f>
        <v/>
      </c>
      <c r="L576" s="27" t="n">
        <v>31</v>
      </c>
      <c r="M576" t="inlineStr">
        <is>
          <t>Discharged</t>
        </is>
      </c>
    </row>
    <row r="577">
      <c r="A577" t="inlineStr">
        <is>
          <t>ED209933</t>
        </is>
      </c>
      <c r="B577" t="inlineStr">
        <is>
          <t>PT12588</t>
        </is>
      </c>
      <c r="C577" s="26" t="n">
        <v>45881.79861111111</v>
      </c>
      <c r="D577" t="inlineStr">
        <is>
          <t>Tue</t>
        </is>
      </c>
      <c r="E577" s="27" t="n">
        <v>19</v>
      </c>
      <c r="F577" t="inlineStr">
        <is>
          <t>Walk-In</t>
        </is>
      </c>
      <c r="G577" s="27" t="n">
        <v>3</v>
      </c>
      <c r="H577" t="inlineStr">
        <is>
          <t>Painful Urination / Fever</t>
        </is>
      </c>
      <c r="I577" t="n">
        <v>88</v>
      </c>
      <c r="J577" t="n">
        <v>111</v>
      </c>
      <c r="K577" s="28">
        <f>I577/J577</f>
        <v/>
      </c>
      <c r="L577" s="27" t="n">
        <v>54</v>
      </c>
      <c r="M577" t="inlineStr">
        <is>
          <t>Discharged</t>
        </is>
      </c>
    </row>
    <row r="578">
      <c r="A578" t="inlineStr">
        <is>
          <t>ED209938</t>
        </is>
      </c>
      <c r="B578" t="inlineStr">
        <is>
          <t>PT11301</t>
        </is>
      </c>
      <c r="C578" s="26" t="n">
        <v>45882.36736111111</v>
      </c>
      <c r="D578" t="inlineStr">
        <is>
          <t>Wed</t>
        </is>
      </c>
      <c r="E578" s="27" t="n">
        <v>8</v>
      </c>
      <c r="F578" t="inlineStr">
        <is>
          <t>Walk-In</t>
        </is>
      </c>
      <c r="G578" s="27" t="n">
        <v>2</v>
      </c>
      <c r="H578" t="inlineStr">
        <is>
          <t>Chest Pain</t>
        </is>
      </c>
      <c r="I578" t="n">
        <v>90</v>
      </c>
      <c r="J578" t="n">
        <v>120</v>
      </c>
      <c r="K578" s="28">
        <f>I578/J578</f>
        <v/>
      </c>
      <c r="L578" s="27" t="n">
        <v>6</v>
      </c>
      <c r="M578" t="inlineStr">
        <is>
          <t>Admitted</t>
        </is>
      </c>
    </row>
    <row r="579">
      <c r="A579" t="inlineStr">
        <is>
          <t>ED209946</t>
        </is>
      </c>
      <c r="B579" t="inlineStr">
        <is>
          <t>PT13968</t>
        </is>
      </c>
      <c r="C579" s="26" t="n">
        <v>45882.66666666666</v>
      </c>
      <c r="D579" t="inlineStr">
        <is>
          <t>Wed</t>
        </is>
      </c>
      <c r="E579" s="27" t="n">
        <v>16</v>
      </c>
      <c r="F579" t="inlineStr">
        <is>
          <t>Ambulance</t>
        </is>
      </c>
      <c r="G579" s="27" t="n">
        <v>2</v>
      </c>
      <c r="H579" t="inlineStr">
        <is>
          <t>Chest Pain</t>
        </is>
      </c>
      <c r="I579" t="n">
        <v>81</v>
      </c>
      <c r="J579" t="n">
        <v>131</v>
      </c>
      <c r="K579" s="28">
        <f>I579/J579</f>
        <v/>
      </c>
      <c r="L579" s="27" t="n">
        <v>34</v>
      </c>
      <c r="M579" t="inlineStr">
        <is>
          <t>Admitted</t>
        </is>
      </c>
    </row>
    <row r="580">
      <c r="A580" t="inlineStr">
        <is>
          <t>ED209947</t>
        </is>
      </c>
      <c r="B580" t="inlineStr">
        <is>
          <t>PT11446</t>
        </is>
      </c>
      <c r="C580" s="26" t="n">
        <v>45882.76180555556</v>
      </c>
      <c r="D580" t="inlineStr">
        <is>
          <t>Wed</t>
        </is>
      </c>
      <c r="E580" s="27" t="n">
        <v>18</v>
      </c>
      <c r="F580" t="inlineStr">
        <is>
          <t>Walk-In</t>
        </is>
      </c>
      <c r="G580" s="27" t="n">
        <v>3</v>
      </c>
      <c r="H580" t="inlineStr">
        <is>
          <t>Dizziness</t>
        </is>
      </c>
      <c r="I580" t="n">
        <v>93</v>
      </c>
      <c r="J580" t="n">
        <v>118</v>
      </c>
      <c r="K580" s="28">
        <f>I580/J580</f>
        <v/>
      </c>
      <c r="L580" s="27" t="n">
        <v>22</v>
      </c>
      <c r="M580" t="inlineStr">
        <is>
          <t>Discharged</t>
        </is>
      </c>
    </row>
    <row r="581">
      <c r="A581" s="29" t="inlineStr">
        <is>
          <t>ED209951</t>
        </is>
      </c>
      <c r="B581" s="29" t="inlineStr">
        <is>
          <t>PT12101</t>
        </is>
      </c>
      <c r="C581" s="30" t="n">
        <v>45883.18402777778</v>
      </c>
      <c r="D581" s="29" t="inlineStr">
        <is>
          <t>Thu</t>
        </is>
      </c>
      <c r="E581" s="31" t="n">
        <v>4</v>
      </c>
      <c r="F581" s="29" t="inlineStr">
        <is>
          <t>Ambulance</t>
        </is>
      </c>
      <c r="G581" s="31" t="n">
        <v>2</v>
      </c>
      <c r="H581" s="29" t="inlineStr">
        <is>
          <t>Fever / Altered Mental Status</t>
        </is>
      </c>
      <c r="I581" s="29" t="n">
        <v>126</v>
      </c>
      <c r="J581" s="29" t="n">
        <v>105</v>
      </c>
      <c r="K581" s="32">
        <f>I581/J581</f>
        <v/>
      </c>
      <c r="L581" s="31" t="n">
        <v>7</v>
      </c>
      <c r="M581" s="29" t="inlineStr">
        <is>
          <t>Admitted</t>
        </is>
      </c>
    </row>
    <row r="582">
      <c r="A582" t="inlineStr">
        <is>
          <t>ED209956</t>
        </is>
      </c>
      <c r="B582" t="inlineStr">
        <is>
          <t>PT12059</t>
        </is>
      </c>
      <c r="C582" s="26" t="n">
        <v>45883.47708333333</v>
      </c>
      <c r="D582" t="inlineStr">
        <is>
          <t>Thu</t>
        </is>
      </c>
      <c r="E582" s="27" t="n">
        <v>11</v>
      </c>
      <c r="F582" t="inlineStr">
        <is>
          <t>Ambulance</t>
        </is>
      </c>
      <c r="G582" s="27" t="n">
        <v>3</v>
      </c>
      <c r="H582" t="inlineStr">
        <is>
          <t>Chest Pain</t>
        </is>
      </c>
      <c r="I582" t="n">
        <v>74</v>
      </c>
      <c r="J582" t="n">
        <v>160</v>
      </c>
      <c r="K582" s="28">
        <f>I582/J582</f>
        <v/>
      </c>
      <c r="L582" s="27" t="n">
        <v>123</v>
      </c>
      <c r="M582" t="inlineStr">
        <is>
          <t>Discharged</t>
        </is>
      </c>
    </row>
    <row r="583">
      <c r="A583" t="inlineStr">
        <is>
          <t>ED209961</t>
        </is>
      </c>
      <c r="B583" t="inlineStr">
        <is>
          <t>PT11138</t>
        </is>
      </c>
      <c r="C583" s="26" t="n">
        <v>45883.76458333333</v>
      </c>
      <c r="D583" t="inlineStr">
        <is>
          <t>Thu</t>
        </is>
      </c>
      <c r="E583" s="27" t="n">
        <v>18</v>
      </c>
      <c r="F583" t="inlineStr">
        <is>
          <t>Walk-In</t>
        </is>
      </c>
      <c r="G583" s="27" t="n">
        <v>3</v>
      </c>
      <c r="H583" t="inlineStr">
        <is>
          <t>Fall / Hip Pain</t>
        </is>
      </c>
      <c r="I583" t="n">
        <v>96</v>
      </c>
      <c r="J583" t="n">
        <v>118</v>
      </c>
      <c r="K583" s="28">
        <f>I583/J583</f>
        <v/>
      </c>
      <c r="L583" s="27" t="n">
        <v>44</v>
      </c>
      <c r="M583" t="inlineStr">
        <is>
          <t>Admitted</t>
        </is>
      </c>
    </row>
    <row r="584">
      <c r="A584" t="inlineStr">
        <is>
          <t>ED209966</t>
        </is>
      </c>
      <c r="B584" t="inlineStr">
        <is>
          <t>PT10658</t>
        </is>
      </c>
      <c r="C584" s="26" t="n">
        <v>45883.825</v>
      </c>
      <c r="D584" t="inlineStr">
        <is>
          <t>Thu</t>
        </is>
      </c>
      <c r="E584" s="27" t="n">
        <v>19</v>
      </c>
      <c r="F584" t="inlineStr">
        <is>
          <t>Ambulance</t>
        </is>
      </c>
      <c r="G584" s="27" t="n">
        <v>1</v>
      </c>
      <c r="H584" t="inlineStr">
        <is>
          <t>Bloody Stool / Vomiting Blood</t>
        </is>
      </c>
      <c r="I584" t="n">
        <v>91</v>
      </c>
      <c r="J584" t="n">
        <v>84</v>
      </c>
      <c r="K584" s="28">
        <f>I584/J584</f>
        <v/>
      </c>
      <c r="L584" s="27" t="n">
        <v>5</v>
      </c>
      <c r="M584" t="inlineStr">
        <is>
          <t>Admitted</t>
        </is>
      </c>
    </row>
    <row r="585">
      <c r="A585" t="inlineStr">
        <is>
          <t>ED209969</t>
        </is>
      </c>
      <c r="B585" t="inlineStr">
        <is>
          <t>PT13323</t>
        </is>
      </c>
      <c r="C585" s="26" t="n">
        <v>45884.14236111111</v>
      </c>
      <c r="D585" t="inlineStr">
        <is>
          <t>Fri</t>
        </is>
      </c>
      <c r="E585" s="27" t="n">
        <v>3</v>
      </c>
      <c r="F585" t="inlineStr">
        <is>
          <t>Walk-In</t>
        </is>
      </c>
      <c r="G585" s="27" t="n">
        <v>4</v>
      </c>
      <c r="H585" t="inlineStr">
        <is>
          <t>Ankle Injury</t>
        </is>
      </c>
      <c r="I585" t="n">
        <v>64</v>
      </c>
      <c r="J585" t="n">
        <v>130</v>
      </c>
      <c r="K585" s="28">
        <f>I585/J585</f>
        <v/>
      </c>
      <c r="L585" s="27" t="n">
        <v>60</v>
      </c>
      <c r="M585" t="inlineStr">
        <is>
          <t>Discharged</t>
        </is>
      </c>
    </row>
    <row r="586">
      <c r="A586" t="inlineStr">
        <is>
          <t>ED209977</t>
        </is>
      </c>
      <c r="B586" t="inlineStr">
        <is>
          <t>PT10681</t>
        </is>
      </c>
      <c r="C586" s="26" t="n">
        <v>45884.70486111111</v>
      </c>
      <c r="D586" t="inlineStr">
        <is>
          <t>Fri</t>
        </is>
      </c>
      <c r="E586" s="27" t="n">
        <v>16</v>
      </c>
      <c r="F586" t="inlineStr">
        <is>
          <t>Ambulance</t>
        </is>
      </c>
      <c r="G586" s="27" t="n">
        <v>3</v>
      </c>
      <c r="H586" t="inlineStr">
        <is>
          <t>Nausea</t>
        </is>
      </c>
      <c r="I586" t="n">
        <v>76</v>
      </c>
      <c r="J586" t="n">
        <v>142</v>
      </c>
      <c r="K586" s="28">
        <f>I586/J586</f>
        <v/>
      </c>
      <c r="L586" s="27" t="n">
        <v>74</v>
      </c>
      <c r="M586" t="inlineStr">
        <is>
          <t>Admitted</t>
        </is>
      </c>
    </row>
    <row r="587">
      <c r="A587" t="inlineStr">
        <is>
          <t>ED209981</t>
        </is>
      </c>
      <c r="B587" t="inlineStr">
        <is>
          <t>PT11308</t>
        </is>
      </c>
      <c r="C587" s="26" t="n">
        <v>45884.78819444445</v>
      </c>
      <c r="D587" t="inlineStr">
        <is>
          <t>Fri</t>
        </is>
      </c>
      <c r="E587" s="27" t="n">
        <v>18</v>
      </c>
      <c r="F587" t="inlineStr">
        <is>
          <t>Walk-In</t>
        </is>
      </c>
      <c r="G587" s="27" t="n">
        <v>3</v>
      </c>
      <c r="H587" t="inlineStr">
        <is>
          <t>Abdominal Pain</t>
        </is>
      </c>
      <c r="I587" t="n">
        <v>90</v>
      </c>
      <c r="J587" t="n">
        <v>154</v>
      </c>
      <c r="K587" s="28">
        <f>I587/J587</f>
        <v/>
      </c>
      <c r="L587" s="27" t="n">
        <v>24</v>
      </c>
      <c r="M587" t="inlineStr">
        <is>
          <t>Discharged</t>
        </is>
      </c>
    </row>
    <row r="588">
      <c r="A588" t="inlineStr">
        <is>
          <t>ED209988</t>
        </is>
      </c>
      <c r="B588" t="inlineStr">
        <is>
          <t>PT13726</t>
        </is>
      </c>
      <c r="C588" s="26" t="n">
        <v>45885.47569444445</v>
      </c>
      <c r="D588" t="inlineStr">
        <is>
          <t>Sat</t>
        </is>
      </c>
      <c r="E588" s="27" t="n">
        <v>11</v>
      </c>
      <c r="F588" t="inlineStr">
        <is>
          <t>Walk-In</t>
        </is>
      </c>
      <c r="G588" s="27" t="n">
        <v>3</v>
      </c>
      <c r="H588" t="inlineStr">
        <is>
          <t>Tremors / Alcohol Withdrawal</t>
        </is>
      </c>
      <c r="I588" t="n">
        <v>66</v>
      </c>
      <c r="J588" t="n">
        <v>97</v>
      </c>
      <c r="K588" s="28">
        <f>I588/J588</f>
        <v/>
      </c>
      <c r="L588" s="27" t="n">
        <v>60</v>
      </c>
      <c r="M588" t="inlineStr">
        <is>
          <t>Admitted</t>
        </is>
      </c>
    </row>
    <row r="589">
      <c r="A589" t="inlineStr">
        <is>
          <t>ED209994</t>
        </is>
      </c>
      <c r="B589" t="inlineStr">
        <is>
          <t>PT13259</t>
        </is>
      </c>
      <c r="C589" s="26" t="n">
        <v>45885.63541666666</v>
      </c>
      <c r="D589" t="inlineStr">
        <is>
          <t>Sat</t>
        </is>
      </c>
      <c r="E589" s="27" t="n">
        <v>15</v>
      </c>
      <c r="F589" t="inlineStr">
        <is>
          <t>Walk-In</t>
        </is>
      </c>
      <c r="G589" s="27" t="n">
        <v>5</v>
      </c>
      <c r="H589" t="inlineStr">
        <is>
          <t>Vomiting / Diarrhea</t>
        </is>
      </c>
      <c r="I589" t="n">
        <v>76</v>
      </c>
      <c r="J589" t="n">
        <v>168</v>
      </c>
      <c r="K589" s="28">
        <f>I589/J589</f>
        <v/>
      </c>
      <c r="L589" s="27" t="n">
        <v>64</v>
      </c>
      <c r="M589" t="inlineStr">
        <is>
          <t>Discharged</t>
        </is>
      </c>
    </row>
    <row r="590">
      <c r="A590" t="inlineStr">
        <is>
          <t>ED210000</t>
        </is>
      </c>
      <c r="B590" t="inlineStr">
        <is>
          <t>PT11124</t>
        </is>
      </c>
      <c r="C590" s="26" t="n">
        <v>45885.92638888889</v>
      </c>
      <c r="D590" t="inlineStr">
        <is>
          <t>Sat</t>
        </is>
      </c>
      <c r="E590" s="27" t="n">
        <v>22</v>
      </c>
      <c r="F590" t="inlineStr">
        <is>
          <t>Walk-In</t>
        </is>
      </c>
      <c r="G590" s="27" t="n">
        <v>5</v>
      </c>
      <c r="H590" t="inlineStr">
        <is>
          <t>Ankle Injury</t>
        </is>
      </c>
      <c r="I590" t="n">
        <v>88</v>
      </c>
      <c r="J590" t="n">
        <v>135</v>
      </c>
      <c r="K590" s="28">
        <f>I590/J590</f>
        <v/>
      </c>
      <c r="L590" s="27" t="n">
        <v>102</v>
      </c>
      <c r="M590" t="inlineStr">
        <is>
          <t>Discharged</t>
        </is>
      </c>
    </row>
    <row r="591">
      <c r="A591" t="inlineStr">
        <is>
          <t>ED210015</t>
        </is>
      </c>
      <c r="B591" t="inlineStr">
        <is>
          <t>PT12279</t>
        </is>
      </c>
      <c r="C591" s="26" t="n">
        <v>45887.37291666667</v>
      </c>
      <c r="D591" t="inlineStr">
        <is>
          <t>Mon</t>
        </is>
      </c>
      <c r="E591" s="27" t="n">
        <v>8</v>
      </c>
      <c r="F591" t="inlineStr">
        <is>
          <t>Police</t>
        </is>
      </c>
      <c r="G591" s="27" t="n">
        <v>3</v>
      </c>
      <c r="H591" t="inlineStr">
        <is>
          <t>Anxiety / Palpitations</t>
        </is>
      </c>
      <c r="I591" t="n">
        <v>83</v>
      </c>
      <c r="J591" t="n">
        <v>137</v>
      </c>
      <c r="K591" s="28">
        <f>I591/J591</f>
        <v/>
      </c>
      <c r="L591" s="27" t="n">
        <v>97</v>
      </c>
      <c r="M591" t="inlineStr">
        <is>
          <t>Discharged</t>
        </is>
      </c>
    </row>
    <row r="592">
      <c r="A592" t="inlineStr">
        <is>
          <t>ED210023</t>
        </is>
      </c>
      <c r="B592" t="inlineStr">
        <is>
          <t>PT12254</t>
        </is>
      </c>
      <c r="C592" s="26" t="n">
        <v>45887.86319444444</v>
      </c>
      <c r="D592" t="inlineStr">
        <is>
          <t>Mon</t>
        </is>
      </c>
      <c r="E592" s="27" t="n">
        <v>20</v>
      </c>
      <c r="F592" t="inlineStr">
        <is>
          <t>Walk-In</t>
        </is>
      </c>
      <c r="G592" s="27" t="n">
        <v>5</v>
      </c>
      <c r="H592" t="inlineStr">
        <is>
          <t>Ankle Injury</t>
        </is>
      </c>
      <c r="I592" t="n">
        <v>89</v>
      </c>
      <c r="J592" t="n">
        <v>115</v>
      </c>
      <c r="K592" s="28">
        <f>I592/J592</f>
        <v/>
      </c>
      <c r="L592" s="27" t="n">
        <v>42</v>
      </c>
      <c r="M592" t="inlineStr">
        <is>
          <t>Discharged</t>
        </is>
      </c>
    </row>
    <row r="593">
      <c r="A593" t="inlineStr">
        <is>
          <t>ED210031</t>
        </is>
      </c>
      <c r="B593" t="inlineStr">
        <is>
          <t>PT13090</t>
        </is>
      </c>
      <c r="C593" s="26" t="n">
        <v>45888.55</v>
      </c>
      <c r="D593" t="inlineStr">
        <is>
          <t>Tue</t>
        </is>
      </c>
      <c r="E593" s="27" t="n">
        <v>13</v>
      </c>
      <c r="F593" t="inlineStr">
        <is>
          <t>Walk-In</t>
        </is>
      </c>
      <c r="G593" s="27" t="n">
        <v>3</v>
      </c>
      <c r="H593" t="inlineStr">
        <is>
          <t>Shortness of Breath</t>
        </is>
      </c>
      <c r="I593" t="n">
        <v>101</v>
      </c>
      <c r="J593" t="n">
        <v>134</v>
      </c>
      <c r="K593" s="28">
        <f>I593/J593</f>
        <v/>
      </c>
      <c r="L593" s="27" t="n">
        <v>129</v>
      </c>
      <c r="M593" t="inlineStr">
        <is>
          <t>Admitted</t>
        </is>
      </c>
    </row>
    <row r="594">
      <c r="A594" t="inlineStr">
        <is>
          <t>ED210044</t>
        </is>
      </c>
      <c r="B594" t="inlineStr">
        <is>
          <t>PT11252</t>
        </is>
      </c>
      <c r="C594" s="26" t="n">
        <v>45889.06875</v>
      </c>
      <c r="D594" t="inlineStr">
        <is>
          <t>Wed</t>
        </is>
      </c>
      <c r="E594" s="27" t="n">
        <v>1</v>
      </c>
      <c r="F594" t="inlineStr">
        <is>
          <t>Walk-In</t>
        </is>
      </c>
      <c r="G594" s="27" t="n">
        <v>4</v>
      </c>
      <c r="H594" t="inlineStr">
        <is>
          <t>Painful Urination / Fever</t>
        </is>
      </c>
      <c r="I594" t="n">
        <v>58</v>
      </c>
      <c r="J594" t="n">
        <v>105</v>
      </c>
      <c r="K594" s="28">
        <f>I594/J594</f>
        <v/>
      </c>
      <c r="L594" s="27" t="n">
        <v>63</v>
      </c>
      <c r="M594" t="inlineStr">
        <is>
          <t>Admitted</t>
        </is>
      </c>
    </row>
    <row r="595">
      <c r="A595" t="inlineStr">
        <is>
          <t>ED210048</t>
        </is>
      </c>
      <c r="B595" t="inlineStr">
        <is>
          <t>PT11200</t>
        </is>
      </c>
      <c r="C595" s="26" t="n">
        <v>45889.48472222222</v>
      </c>
      <c r="D595" t="inlineStr">
        <is>
          <t>Wed</t>
        </is>
      </c>
      <c r="E595" s="27" t="n">
        <v>11</v>
      </c>
      <c r="F595" t="inlineStr">
        <is>
          <t>Walk-In</t>
        </is>
      </c>
      <c r="G595" s="27" t="n">
        <v>3</v>
      </c>
      <c r="H595" t="inlineStr">
        <is>
          <t>Head Injury</t>
        </is>
      </c>
      <c r="I595" t="n">
        <v>89</v>
      </c>
      <c r="J595" t="n">
        <v>127</v>
      </c>
      <c r="K595" s="28">
        <f>I595/J595</f>
        <v/>
      </c>
      <c r="L595" s="27" t="n">
        <v>51</v>
      </c>
      <c r="M595" t="inlineStr">
        <is>
          <t>Discharged</t>
        </is>
      </c>
    </row>
    <row r="596">
      <c r="A596" t="inlineStr">
        <is>
          <t>ED210050</t>
        </is>
      </c>
      <c r="B596" t="inlineStr">
        <is>
          <t>PT12595</t>
        </is>
      </c>
      <c r="C596" s="26" t="n">
        <v>45889.60416666666</v>
      </c>
      <c r="D596" t="inlineStr">
        <is>
          <t>Wed</t>
        </is>
      </c>
      <c r="E596" s="27" t="n">
        <v>14</v>
      </c>
      <c r="F596" t="inlineStr">
        <is>
          <t>Walk-In</t>
        </is>
      </c>
      <c r="G596" s="27" t="n">
        <v>5</v>
      </c>
      <c r="H596" t="inlineStr">
        <is>
          <t>Ankle Injury</t>
        </is>
      </c>
      <c r="I596" t="n">
        <v>74</v>
      </c>
      <c r="J596" t="n">
        <v>125</v>
      </c>
      <c r="K596" s="28">
        <f>I596/J596</f>
        <v/>
      </c>
      <c r="L596" s="27" t="n">
        <v>32</v>
      </c>
      <c r="M596" t="inlineStr">
        <is>
          <t>Discharged</t>
        </is>
      </c>
    </row>
    <row r="597">
      <c r="A597" t="inlineStr">
        <is>
          <t>ED210057</t>
        </is>
      </c>
      <c r="B597" t="inlineStr">
        <is>
          <t>PT11308</t>
        </is>
      </c>
      <c r="C597" s="26" t="n">
        <v>45889.78125</v>
      </c>
      <c r="D597" t="inlineStr">
        <is>
          <t>Wed</t>
        </is>
      </c>
      <c r="E597" s="27" t="n">
        <v>18</v>
      </c>
      <c r="F597" t="inlineStr">
        <is>
          <t>Walk-In</t>
        </is>
      </c>
      <c r="G597" s="27" t="n">
        <v>5</v>
      </c>
      <c r="H597" t="inlineStr">
        <is>
          <t>Headache</t>
        </is>
      </c>
      <c r="I597" t="n">
        <v>89</v>
      </c>
      <c r="J597" t="n">
        <v>105</v>
      </c>
      <c r="K597" s="28">
        <f>I597/J597</f>
        <v/>
      </c>
      <c r="L597" s="27" t="n">
        <v>32</v>
      </c>
      <c r="M597" t="inlineStr">
        <is>
          <t>Discharged</t>
        </is>
      </c>
    </row>
    <row r="598">
      <c r="A598" t="inlineStr">
        <is>
          <t>ED210065</t>
        </is>
      </c>
      <c r="B598" t="inlineStr">
        <is>
          <t>PT10253</t>
        </is>
      </c>
      <c r="C598" s="26" t="n">
        <v>45890.49583333333</v>
      </c>
      <c r="D598" t="inlineStr">
        <is>
          <t>Thu</t>
        </is>
      </c>
      <c r="E598" s="27" t="n">
        <v>11</v>
      </c>
      <c r="F598" t="inlineStr">
        <is>
          <t>Walk-In</t>
        </is>
      </c>
      <c r="G598" s="27" t="n">
        <v>4</v>
      </c>
      <c r="H598" t="inlineStr">
        <is>
          <t>Anxiety / Palpitations</t>
        </is>
      </c>
      <c r="I598" t="n">
        <v>95</v>
      </c>
      <c r="K598" s="28">
        <f>I598/J598</f>
        <v/>
      </c>
      <c r="L598" s="27" t="n"/>
      <c r="M598" t="inlineStr">
        <is>
          <t>LWBS</t>
        </is>
      </c>
    </row>
    <row r="599">
      <c r="A599" t="inlineStr">
        <is>
          <t>ED210069</t>
        </is>
      </c>
      <c r="B599" t="inlineStr">
        <is>
          <t>PT11443</t>
        </is>
      </c>
      <c r="C599" s="26" t="n">
        <v>45890.74513888889</v>
      </c>
      <c r="D599" t="inlineStr">
        <is>
          <t>Thu</t>
        </is>
      </c>
      <c r="E599" s="27" t="n">
        <v>17</v>
      </c>
      <c r="F599" t="inlineStr">
        <is>
          <t>Walk-In</t>
        </is>
      </c>
      <c r="G599" s="27" t="n">
        <v>3</v>
      </c>
      <c r="H599" t="inlineStr">
        <is>
          <t>Vomiting / Dizziness</t>
        </is>
      </c>
      <c r="I599" t="n">
        <v>90</v>
      </c>
      <c r="J599" t="n">
        <v>104</v>
      </c>
      <c r="K599" s="28">
        <f>I599/J599</f>
        <v/>
      </c>
      <c r="L599" s="27" t="n">
        <v>26</v>
      </c>
      <c r="M599" t="inlineStr">
        <is>
          <t>Discharged</t>
        </is>
      </c>
    </row>
    <row r="600">
      <c r="A600" s="29" t="inlineStr">
        <is>
          <t>ED210074</t>
        </is>
      </c>
      <c r="B600" s="29" t="inlineStr">
        <is>
          <t>PT11941</t>
        </is>
      </c>
      <c r="C600" s="30" t="n">
        <v>45890.90694444445</v>
      </c>
      <c r="D600" s="29" t="inlineStr">
        <is>
          <t>Thu</t>
        </is>
      </c>
      <c r="E600" s="31" t="n">
        <v>21</v>
      </c>
      <c r="F600" s="29" t="inlineStr">
        <is>
          <t>Walk-In</t>
        </is>
      </c>
      <c r="G600" s="31" t="n">
        <v>3</v>
      </c>
      <c r="H600" s="29" t="inlineStr">
        <is>
          <t>Cough / Fever</t>
        </is>
      </c>
      <c r="I600" s="29" t="n">
        <v>102</v>
      </c>
      <c r="J600" s="29" t="n">
        <v>138</v>
      </c>
      <c r="K600" s="32">
        <f>I600/J600</f>
        <v/>
      </c>
      <c r="L600" s="31" t="n">
        <v>13</v>
      </c>
      <c r="M600" s="29" t="inlineStr">
        <is>
          <t>Discharged</t>
        </is>
      </c>
    </row>
    <row r="601">
      <c r="A601" t="inlineStr">
        <is>
          <t>ED210080</t>
        </is>
      </c>
      <c r="B601" t="inlineStr">
        <is>
          <t>PT12963</t>
        </is>
      </c>
      <c r="C601" s="26" t="n">
        <v>45891.41180555556</v>
      </c>
      <c r="D601" t="inlineStr">
        <is>
          <t>Fri</t>
        </is>
      </c>
      <c r="E601" s="27" t="n">
        <v>9</v>
      </c>
      <c r="F601" t="inlineStr">
        <is>
          <t>Ambulance</t>
        </is>
      </c>
      <c r="G601" s="27" t="n">
        <v>4</v>
      </c>
      <c r="H601" t="inlineStr">
        <is>
          <t>Head Injury</t>
        </is>
      </c>
      <c r="I601" t="n">
        <v>73</v>
      </c>
      <c r="J601" t="n">
        <v>132</v>
      </c>
      <c r="K601" s="28">
        <f>I601/J601</f>
        <v/>
      </c>
      <c r="L601" s="27" t="n">
        <v>67</v>
      </c>
      <c r="M601" t="inlineStr">
        <is>
          <t>Discharged</t>
        </is>
      </c>
    </row>
    <row r="602">
      <c r="A602" t="inlineStr">
        <is>
          <t>ED210081</t>
        </is>
      </c>
      <c r="B602" t="inlineStr">
        <is>
          <t>PT13561</t>
        </is>
      </c>
      <c r="C602" s="26" t="n">
        <v>45891.50833333333</v>
      </c>
      <c r="D602" t="inlineStr">
        <is>
          <t>Fri</t>
        </is>
      </c>
      <c r="E602" s="27" t="n">
        <v>12</v>
      </c>
      <c r="F602" t="inlineStr">
        <is>
          <t>Walk-In</t>
        </is>
      </c>
      <c r="G602" s="27" t="n">
        <v>3</v>
      </c>
      <c r="H602" t="inlineStr">
        <is>
          <t>Cough / Fever</t>
        </is>
      </c>
      <c r="I602" t="n">
        <v>98</v>
      </c>
      <c r="J602" t="n">
        <v>104</v>
      </c>
      <c r="K602" s="28">
        <f>I602/J602</f>
        <v/>
      </c>
      <c r="L602" s="27" t="n">
        <v>26</v>
      </c>
      <c r="M602" t="inlineStr">
        <is>
          <t>Discharged</t>
        </is>
      </c>
    </row>
    <row r="603">
      <c r="A603" t="inlineStr">
        <is>
          <t>ED210093</t>
        </is>
      </c>
      <c r="B603" t="inlineStr">
        <is>
          <t>PT11194</t>
        </is>
      </c>
      <c r="C603" s="26" t="n">
        <v>45891.9</v>
      </c>
      <c r="D603" t="inlineStr">
        <is>
          <t>Fri</t>
        </is>
      </c>
      <c r="E603" s="27" t="n">
        <v>21</v>
      </c>
      <c r="F603" t="inlineStr">
        <is>
          <t>Walk-In</t>
        </is>
      </c>
      <c r="G603" s="27" t="n">
        <v>3</v>
      </c>
      <c r="H603" t="inlineStr">
        <is>
          <t>Abdominal Pain</t>
        </is>
      </c>
      <c r="I603" t="n">
        <v>86</v>
      </c>
      <c r="J603" t="n">
        <v>147</v>
      </c>
      <c r="K603" s="28">
        <f>I603/J603</f>
        <v/>
      </c>
      <c r="L603" s="27" t="n">
        <v>43</v>
      </c>
      <c r="M603" t="inlineStr">
        <is>
          <t>Discharged</t>
        </is>
      </c>
    </row>
    <row r="604">
      <c r="A604" t="inlineStr">
        <is>
          <t>ED210097</t>
        </is>
      </c>
      <c r="B604" t="inlineStr">
        <is>
          <t>PT13116</t>
        </is>
      </c>
      <c r="C604" s="26" t="n">
        <v>45892.30902777778</v>
      </c>
      <c r="D604" t="inlineStr">
        <is>
          <t>Sat</t>
        </is>
      </c>
      <c r="E604" s="27" t="n">
        <v>7</v>
      </c>
      <c r="F604" t="inlineStr">
        <is>
          <t>Ambulance</t>
        </is>
      </c>
      <c r="G604" s="27" t="n">
        <v>4</v>
      </c>
      <c r="H604" t="inlineStr">
        <is>
          <t>Back Pain</t>
        </is>
      </c>
      <c r="I604" t="n">
        <v>60</v>
      </c>
      <c r="J604" t="n">
        <v>141</v>
      </c>
      <c r="K604" s="28">
        <f>I604/J604</f>
        <v/>
      </c>
      <c r="L604" s="27" t="n">
        <v>36</v>
      </c>
      <c r="M604" t="inlineStr">
        <is>
          <t>Discharged</t>
        </is>
      </c>
    </row>
    <row r="605">
      <c r="A605" t="inlineStr">
        <is>
          <t>ED210105</t>
        </is>
      </c>
      <c r="B605" t="inlineStr">
        <is>
          <t>PT12952</t>
        </is>
      </c>
      <c r="C605" s="26" t="n">
        <v>45892.70625</v>
      </c>
      <c r="D605" t="inlineStr">
        <is>
          <t>Sat</t>
        </is>
      </c>
      <c r="E605" s="27" t="n">
        <v>16</v>
      </c>
      <c r="F605" t="inlineStr">
        <is>
          <t>Walk-In</t>
        </is>
      </c>
      <c r="G605" s="27" t="n">
        <v>3</v>
      </c>
      <c r="H605" t="inlineStr">
        <is>
          <t>Abdominal Pain</t>
        </is>
      </c>
      <c r="I605" t="n">
        <v>70</v>
      </c>
      <c r="J605" t="n">
        <v>120</v>
      </c>
      <c r="K605" s="28">
        <f>I605/J605</f>
        <v/>
      </c>
      <c r="L605" s="27" t="n">
        <v>66</v>
      </c>
      <c r="M605" t="inlineStr">
        <is>
          <t>Observation</t>
        </is>
      </c>
    </row>
    <row r="606">
      <c r="A606" t="inlineStr">
        <is>
          <t>ED210107</t>
        </is>
      </c>
      <c r="B606" t="inlineStr">
        <is>
          <t>PT12387</t>
        </is>
      </c>
      <c r="C606" s="26" t="n">
        <v>45892.73263888889</v>
      </c>
      <c r="D606" t="inlineStr">
        <is>
          <t>Sat</t>
        </is>
      </c>
      <c r="E606" s="27" t="n">
        <v>17</v>
      </c>
      <c r="F606" t="inlineStr">
        <is>
          <t>Walk-In</t>
        </is>
      </c>
      <c r="G606" s="27" t="n">
        <v>3</v>
      </c>
      <c r="H606" t="inlineStr">
        <is>
          <t>Painful Urination / Fever</t>
        </is>
      </c>
      <c r="I606" t="n">
        <v>89</v>
      </c>
      <c r="J606" t="n">
        <v>124</v>
      </c>
      <c r="K606" s="28">
        <f>I606/J606</f>
        <v/>
      </c>
      <c r="L606" s="27" t="n">
        <v>99</v>
      </c>
      <c r="M606" t="inlineStr">
        <is>
          <t>Discharged</t>
        </is>
      </c>
    </row>
    <row r="607">
      <c r="A607" t="inlineStr">
        <is>
          <t>ED210127</t>
        </is>
      </c>
      <c r="B607" t="inlineStr">
        <is>
          <t>PT12381</t>
        </is>
      </c>
      <c r="C607" s="26" t="n">
        <v>45894.36944444444</v>
      </c>
      <c r="D607" t="inlineStr">
        <is>
          <t>Mon</t>
        </is>
      </c>
      <c r="E607" s="27" t="n">
        <v>8</v>
      </c>
      <c r="F607" t="inlineStr">
        <is>
          <t>Walk-In</t>
        </is>
      </c>
      <c r="G607" s="27" t="n">
        <v>5</v>
      </c>
      <c r="H607" t="inlineStr">
        <is>
          <t>Cough / Fever</t>
        </is>
      </c>
      <c r="I607" t="n">
        <v>69</v>
      </c>
      <c r="J607" t="n">
        <v>135</v>
      </c>
      <c r="K607" s="28">
        <f>I607/J607</f>
        <v/>
      </c>
      <c r="L607" s="27" t="n">
        <v>122</v>
      </c>
      <c r="M607" t="inlineStr">
        <is>
          <t>Discharged</t>
        </is>
      </c>
    </row>
    <row r="608">
      <c r="A608" s="29" t="inlineStr">
        <is>
          <t>ED210138</t>
        </is>
      </c>
      <c r="B608" s="29" t="inlineStr">
        <is>
          <t>PT11204</t>
        </is>
      </c>
      <c r="C608" s="30" t="n">
        <v>45894.65694444445</v>
      </c>
      <c r="D608" s="29" t="inlineStr">
        <is>
          <t>Mon</t>
        </is>
      </c>
      <c r="E608" s="31" t="n">
        <v>15</v>
      </c>
      <c r="F608" s="29" t="inlineStr">
        <is>
          <t>Walk-In</t>
        </is>
      </c>
      <c r="G608" s="31" t="n">
        <v>3</v>
      </c>
      <c r="H608" s="29" t="inlineStr">
        <is>
          <t>Cough / Fever</t>
        </is>
      </c>
      <c r="I608" s="29" t="n">
        <v>102</v>
      </c>
      <c r="J608" s="29" t="n">
        <v>136</v>
      </c>
      <c r="K608" s="32">
        <f>I608/J608</f>
        <v/>
      </c>
      <c r="L608" s="31" t="n">
        <v>43</v>
      </c>
      <c r="M608" s="29" t="inlineStr">
        <is>
          <t>Discharged</t>
        </is>
      </c>
    </row>
    <row r="609">
      <c r="A609" t="inlineStr">
        <is>
          <t>ED210145</t>
        </is>
      </c>
      <c r="B609" t="inlineStr">
        <is>
          <t>PT11902</t>
        </is>
      </c>
      <c r="C609" s="26" t="n">
        <v>45894.95347222222</v>
      </c>
      <c r="D609" t="inlineStr">
        <is>
          <t>Mon</t>
        </is>
      </c>
      <c r="E609" s="27" t="n">
        <v>22</v>
      </c>
      <c r="F609" t="inlineStr">
        <is>
          <t>Ambulance</t>
        </is>
      </c>
      <c r="G609" s="27" t="n">
        <v>2</v>
      </c>
      <c r="H609" t="inlineStr">
        <is>
          <t>Palpitations</t>
        </is>
      </c>
      <c r="I609" t="n">
        <v>147</v>
      </c>
      <c r="J609" t="n">
        <v>141</v>
      </c>
      <c r="K609" s="28">
        <f>I609/J609</f>
        <v/>
      </c>
      <c r="L609" s="27" t="n">
        <v>14</v>
      </c>
      <c r="M609" t="inlineStr">
        <is>
          <t>Discharged</t>
        </is>
      </c>
    </row>
    <row r="610">
      <c r="A610" t="inlineStr">
        <is>
          <t>ED210148</t>
        </is>
      </c>
      <c r="B610" t="inlineStr">
        <is>
          <t>PT10968</t>
        </is>
      </c>
      <c r="C610" s="26" t="n">
        <v>45895.43125</v>
      </c>
      <c r="D610" t="inlineStr">
        <is>
          <t>Tue</t>
        </is>
      </c>
      <c r="E610" s="27" t="n">
        <v>10</v>
      </c>
      <c r="F610" t="inlineStr">
        <is>
          <t>Ambulance</t>
        </is>
      </c>
      <c r="G610" s="27" t="n">
        <v>1</v>
      </c>
      <c r="H610" t="inlineStr">
        <is>
          <t>Rash</t>
        </is>
      </c>
      <c r="I610" t="n">
        <v>92</v>
      </c>
      <c r="J610" t="n">
        <v>148</v>
      </c>
      <c r="K610" s="28">
        <f>I610/J610</f>
        <v/>
      </c>
      <c r="L610" s="27" t="n">
        <v>3</v>
      </c>
      <c r="M610" t="inlineStr">
        <is>
          <t>Admitted</t>
        </is>
      </c>
    </row>
    <row r="611">
      <c r="A611" t="inlineStr">
        <is>
          <t>ED210150</t>
        </is>
      </c>
      <c r="B611" t="inlineStr">
        <is>
          <t>PT10471</t>
        </is>
      </c>
      <c r="C611" s="26" t="n">
        <v>45895.48611111111</v>
      </c>
      <c r="D611" t="inlineStr">
        <is>
          <t>Tue</t>
        </is>
      </c>
      <c r="E611" s="27" t="n">
        <v>11</v>
      </c>
      <c r="F611" t="inlineStr">
        <is>
          <t>Walk-In</t>
        </is>
      </c>
      <c r="G611" s="27" t="n">
        <v>3</v>
      </c>
      <c r="H611" t="inlineStr">
        <is>
          <t>Shortness of Breath</t>
        </is>
      </c>
      <c r="I611" t="n">
        <v>102</v>
      </c>
      <c r="J611" t="n">
        <v>147</v>
      </c>
      <c r="K611" s="28">
        <f>I611/J611</f>
        <v/>
      </c>
      <c r="L611" s="27" t="n">
        <v>34</v>
      </c>
      <c r="M611" t="inlineStr">
        <is>
          <t>Admitted</t>
        </is>
      </c>
    </row>
    <row r="612">
      <c r="A612" t="inlineStr">
        <is>
          <t>ED210163</t>
        </is>
      </c>
      <c r="B612" t="inlineStr">
        <is>
          <t>PT11253</t>
        </is>
      </c>
      <c r="C612" s="26" t="n">
        <v>45896.50694444445</v>
      </c>
      <c r="D612" t="inlineStr">
        <is>
          <t>Wed</t>
        </is>
      </c>
      <c r="E612" s="27" t="n">
        <v>12</v>
      </c>
      <c r="F612" t="inlineStr">
        <is>
          <t>Walk-In</t>
        </is>
      </c>
      <c r="G612" s="27" t="n">
        <v>3</v>
      </c>
      <c r="H612" t="inlineStr">
        <is>
          <t>High Blood Sugar</t>
        </is>
      </c>
      <c r="I612" t="n">
        <v>89</v>
      </c>
      <c r="J612" t="n">
        <v>125</v>
      </c>
      <c r="K612" s="28">
        <f>I612/J612</f>
        <v/>
      </c>
      <c r="L612" s="27" t="n">
        <v>34</v>
      </c>
      <c r="M612" t="inlineStr">
        <is>
          <t>Admitted</t>
        </is>
      </c>
    </row>
    <row r="613">
      <c r="A613" t="inlineStr">
        <is>
          <t>ED210166</t>
        </is>
      </c>
      <c r="B613" t="inlineStr">
        <is>
          <t>PT11752</t>
        </is>
      </c>
      <c r="C613" s="26" t="n">
        <v>45896.62569444445</v>
      </c>
      <c r="D613" t="inlineStr">
        <is>
          <t>Wed</t>
        </is>
      </c>
      <c r="E613" s="27" t="n">
        <v>15</v>
      </c>
      <c r="F613" t="inlineStr">
        <is>
          <t>Walk-In</t>
        </is>
      </c>
      <c r="G613" s="27" t="n">
        <v>3</v>
      </c>
      <c r="H613" t="inlineStr">
        <is>
          <t>Headache</t>
        </is>
      </c>
      <c r="I613" t="n">
        <v>77</v>
      </c>
      <c r="J613" t="n">
        <v>99</v>
      </c>
      <c r="K613" s="28">
        <f>I613/J613</f>
        <v/>
      </c>
      <c r="L613" s="27" t="n">
        <v>38</v>
      </c>
      <c r="M613" t="inlineStr">
        <is>
          <t>Discharged</t>
        </is>
      </c>
    </row>
    <row r="614">
      <c r="A614" t="inlineStr">
        <is>
          <t>ED210167</t>
        </is>
      </c>
      <c r="B614" t="inlineStr">
        <is>
          <t>PT12254</t>
        </is>
      </c>
      <c r="C614" s="26" t="n">
        <v>45896.62708333333</v>
      </c>
      <c r="D614" t="inlineStr">
        <is>
          <t>Wed</t>
        </is>
      </c>
      <c r="E614" s="27" t="n">
        <v>15</v>
      </c>
      <c r="F614" t="inlineStr">
        <is>
          <t>Ambulance</t>
        </is>
      </c>
      <c r="G614" s="27" t="n">
        <v>3</v>
      </c>
      <c r="H614" t="inlineStr">
        <is>
          <t>Shortness of Breath</t>
        </is>
      </c>
      <c r="I614" t="n">
        <v>101</v>
      </c>
      <c r="J614" t="n">
        <v>134</v>
      </c>
      <c r="K614" s="28">
        <f>I614/J614</f>
        <v/>
      </c>
      <c r="L614" s="27" t="n">
        <v>81</v>
      </c>
      <c r="M614" t="inlineStr">
        <is>
          <t>Discharged</t>
        </is>
      </c>
    </row>
    <row r="615">
      <c r="A615" t="inlineStr">
        <is>
          <t>ED210170</t>
        </is>
      </c>
      <c r="B615" t="inlineStr">
        <is>
          <t>PT12787</t>
        </is>
      </c>
      <c r="C615" s="26" t="n">
        <v>45897.35208333333</v>
      </c>
      <c r="D615" t="inlineStr">
        <is>
          <t>Thu</t>
        </is>
      </c>
      <c r="E615" s="27" t="n">
        <v>8</v>
      </c>
      <c r="F615" t="inlineStr">
        <is>
          <t>Ambulance</t>
        </is>
      </c>
      <c r="G615" s="27" t="n">
        <v>3</v>
      </c>
      <c r="H615" t="inlineStr">
        <is>
          <t>Anxiety / Palpitations</t>
        </is>
      </c>
      <c r="I615" t="n">
        <v>100</v>
      </c>
      <c r="J615" t="n">
        <v>118</v>
      </c>
      <c r="K615" s="28">
        <f>I615/J615</f>
        <v/>
      </c>
      <c r="L615" s="27" t="n">
        <v>33</v>
      </c>
      <c r="M615" t="inlineStr">
        <is>
          <t>Discharged</t>
        </is>
      </c>
    </row>
    <row r="616">
      <c r="A616" t="inlineStr">
        <is>
          <t>ED210171</t>
        </is>
      </c>
      <c r="B616" t="inlineStr">
        <is>
          <t>PT10461</t>
        </is>
      </c>
      <c r="C616" s="26" t="n">
        <v>45897.39791666667</v>
      </c>
      <c r="D616" t="inlineStr">
        <is>
          <t>Thu</t>
        </is>
      </c>
      <c r="E616" s="27" t="n">
        <v>9</v>
      </c>
      <c r="F616" t="inlineStr">
        <is>
          <t>Walk-In</t>
        </is>
      </c>
      <c r="G616" s="27" t="n">
        <v>4</v>
      </c>
      <c r="H616" t="inlineStr">
        <is>
          <t>Dizziness</t>
        </is>
      </c>
      <c r="I616" t="n">
        <v>77</v>
      </c>
      <c r="J616" t="n">
        <v>157</v>
      </c>
      <c r="K616" s="28">
        <f>I616/J616</f>
        <v/>
      </c>
      <c r="L616" s="27" t="n">
        <v>13</v>
      </c>
      <c r="M616" t="inlineStr">
        <is>
          <t>Discharged</t>
        </is>
      </c>
    </row>
    <row r="617">
      <c r="A617" t="inlineStr">
        <is>
          <t>ED210176</t>
        </is>
      </c>
      <c r="B617" t="inlineStr">
        <is>
          <t>PT11254</t>
        </is>
      </c>
      <c r="C617" s="26" t="n">
        <v>45897.92013888889</v>
      </c>
      <c r="D617" t="inlineStr">
        <is>
          <t>Thu</t>
        </is>
      </c>
      <c r="E617" s="27" t="n">
        <v>22</v>
      </c>
      <c r="F617" t="inlineStr">
        <is>
          <t>Walk-In</t>
        </is>
      </c>
      <c r="G617" s="27" t="n">
        <v>3</v>
      </c>
      <c r="H617" t="inlineStr">
        <is>
          <t>Abdominal Pain</t>
        </is>
      </c>
      <c r="I617" t="n">
        <v>74</v>
      </c>
      <c r="J617" t="n">
        <v>140</v>
      </c>
      <c r="K617" s="28">
        <f>I617/J617</f>
        <v/>
      </c>
      <c r="L617" s="27" t="n">
        <v>20</v>
      </c>
      <c r="M617" t="inlineStr">
        <is>
          <t>Discharged</t>
        </is>
      </c>
    </row>
    <row r="618">
      <c r="A618" t="inlineStr">
        <is>
          <t>ED210180</t>
        </is>
      </c>
      <c r="B618" t="inlineStr">
        <is>
          <t>PT13461</t>
        </is>
      </c>
      <c r="C618" s="26" t="n">
        <v>45898.48958333334</v>
      </c>
      <c r="D618" t="inlineStr">
        <is>
          <t>Fri</t>
        </is>
      </c>
      <c r="E618" s="27" t="n">
        <v>11</v>
      </c>
      <c r="F618" t="inlineStr">
        <is>
          <t>Walk-In</t>
        </is>
      </c>
      <c r="G618" s="27" t="n">
        <v>4</v>
      </c>
      <c r="H618" t="inlineStr">
        <is>
          <t>Vomiting / Dizziness</t>
        </is>
      </c>
      <c r="I618" t="n">
        <v>112</v>
      </c>
      <c r="J618" t="n">
        <v>123</v>
      </c>
      <c r="K618" s="28">
        <f>I618/J618</f>
        <v/>
      </c>
      <c r="L618" s="27" t="n">
        <v>46</v>
      </c>
      <c r="M618" t="inlineStr">
        <is>
          <t>Discharged</t>
        </is>
      </c>
    </row>
    <row r="619">
      <c r="A619" t="inlineStr">
        <is>
          <t>ED210184</t>
        </is>
      </c>
      <c r="B619" t="inlineStr">
        <is>
          <t>PT13310</t>
        </is>
      </c>
      <c r="C619" s="26" t="n">
        <v>45898.64722222222</v>
      </c>
      <c r="D619" t="inlineStr">
        <is>
          <t>Fri</t>
        </is>
      </c>
      <c r="E619" s="27" t="n">
        <v>15</v>
      </c>
      <c r="F619" t="inlineStr">
        <is>
          <t>Walk-In</t>
        </is>
      </c>
      <c r="G619" s="27" t="n">
        <v>3</v>
      </c>
      <c r="H619" t="inlineStr">
        <is>
          <t>Laceration</t>
        </is>
      </c>
      <c r="I619" t="n">
        <v>81</v>
      </c>
      <c r="J619" t="n">
        <v>136</v>
      </c>
      <c r="K619" s="28">
        <f>I619/J619</f>
        <v/>
      </c>
      <c r="L619" s="27" t="n">
        <v>36</v>
      </c>
      <c r="M619" t="inlineStr">
        <is>
          <t>Observation</t>
        </is>
      </c>
    </row>
    <row r="620">
      <c r="A620" t="inlineStr">
        <is>
          <t>ED210189</t>
        </is>
      </c>
      <c r="B620" t="inlineStr">
        <is>
          <t>PT12007</t>
        </is>
      </c>
      <c r="C620" s="26" t="n">
        <v>45899.32083333333</v>
      </c>
      <c r="D620" t="inlineStr">
        <is>
          <t>Sat</t>
        </is>
      </c>
      <c r="E620" s="27" t="n">
        <v>7</v>
      </c>
      <c r="F620" t="inlineStr">
        <is>
          <t>Walk-In</t>
        </is>
      </c>
      <c r="G620" s="27" t="n">
        <v>4</v>
      </c>
      <c r="H620" t="inlineStr">
        <is>
          <t>Painful Urination / Fever</t>
        </is>
      </c>
      <c r="I620" t="n">
        <v>80</v>
      </c>
      <c r="J620" t="n">
        <v>116</v>
      </c>
      <c r="K620" s="28">
        <f>I620/J620</f>
        <v/>
      </c>
      <c r="L620" s="27" t="n">
        <v>12</v>
      </c>
      <c r="M620" t="inlineStr">
        <is>
          <t>Discharged</t>
        </is>
      </c>
    </row>
    <row r="621">
      <c r="A621" t="inlineStr">
        <is>
          <t>ED210190</t>
        </is>
      </c>
      <c r="B621" t="inlineStr">
        <is>
          <t>PT13472</t>
        </is>
      </c>
      <c r="C621" s="26" t="n">
        <v>45899.36944444444</v>
      </c>
      <c r="D621" t="inlineStr">
        <is>
          <t>Sat</t>
        </is>
      </c>
      <c r="E621" s="27" t="n">
        <v>8</v>
      </c>
      <c r="F621" t="inlineStr">
        <is>
          <t>Walk-In</t>
        </is>
      </c>
      <c r="G621" s="27" t="n">
        <v>2</v>
      </c>
      <c r="H621" t="inlineStr">
        <is>
          <t>Head Injury</t>
        </is>
      </c>
      <c r="I621" t="n">
        <v>99</v>
      </c>
      <c r="J621" t="n">
        <v>121</v>
      </c>
      <c r="K621" s="28">
        <f>I621/J621</f>
        <v/>
      </c>
      <c r="L621" s="27" t="n">
        <v>16</v>
      </c>
      <c r="M621" t="inlineStr">
        <is>
          <t>Discharged</t>
        </is>
      </c>
    </row>
    <row r="622">
      <c r="A622" t="inlineStr">
        <is>
          <t>ED210203</t>
        </is>
      </c>
      <c r="B622" t="inlineStr">
        <is>
          <t>PT13090</t>
        </is>
      </c>
      <c r="C622" s="26" t="n">
        <v>45899.98958333334</v>
      </c>
      <c r="D622" t="inlineStr">
        <is>
          <t>Sat</t>
        </is>
      </c>
      <c r="E622" s="27" t="n">
        <v>23</v>
      </c>
      <c r="F622" t="inlineStr">
        <is>
          <t>Ambulance</t>
        </is>
      </c>
      <c r="G622" s="27" t="n">
        <v>3</v>
      </c>
      <c r="H622" t="inlineStr">
        <is>
          <t>Nausea</t>
        </is>
      </c>
      <c r="I622" t="n">
        <v>93</v>
      </c>
      <c r="J622" t="n">
        <v>114</v>
      </c>
      <c r="K622" s="28">
        <f>I622/J622</f>
        <v/>
      </c>
      <c r="L622" s="27" t="n">
        <v>19</v>
      </c>
      <c r="M622" t="inlineStr">
        <is>
          <t>Admitted</t>
        </is>
      </c>
    </row>
    <row r="623">
      <c r="A623" t="inlineStr">
        <is>
          <t>ED210207</t>
        </is>
      </c>
      <c r="B623" t="inlineStr">
        <is>
          <t>PT12081</t>
        </is>
      </c>
      <c r="C623" s="26" t="n">
        <v>45900.40138888889</v>
      </c>
      <c r="D623" t="inlineStr">
        <is>
          <t>Sun</t>
        </is>
      </c>
      <c r="E623" s="27" t="n">
        <v>9</v>
      </c>
      <c r="F623" t="inlineStr">
        <is>
          <t>Ambulance</t>
        </is>
      </c>
      <c r="G623" s="27" t="n">
        <v>2</v>
      </c>
      <c r="H623" t="inlineStr">
        <is>
          <t>Abdominal Pain</t>
        </is>
      </c>
      <c r="I623" t="n">
        <v>78</v>
      </c>
      <c r="J623" t="n">
        <v>130</v>
      </c>
      <c r="K623" s="28">
        <f>I623/J623</f>
        <v/>
      </c>
      <c r="L623" s="27" t="n">
        <v>10</v>
      </c>
      <c r="M623" t="inlineStr">
        <is>
          <t>Discharged</t>
        </is>
      </c>
    </row>
    <row r="624">
      <c r="A624" t="inlineStr">
        <is>
          <t>ED210208</t>
        </is>
      </c>
      <c r="B624" t="inlineStr">
        <is>
          <t>PT11152</t>
        </is>
      </c>
      <c r="C624" s="26" t="n">
        <v>45900.42361111111</v>
      </c>
      <c r="D624" t="inlineStr">
        <is>
          <t>Sun</t>
        </is>
      </c>
      <c r="E624" s="27" t="n">
        <v>10</v>
      </c>
      <c r="F624" t="inlineStr">
        <is>
          <t>Walk-In</t>
        </is>
      </c>
      <c r="G624" s="27" t="n">
        <v>4</v>
      </c>
      <c r="H624" t="inlineStr">
        <is>
          <t>Painful Urination / Fever</t>
        </is>
      </c>
      <c r="I624" t="n">
        <v>68</v>
      </c>
      <c r="J624" t="n">
        <v>125</v>
      </c>
      <c r="K624" s="28">
        <f>I624/J624</f>
        <v/>
      </c>
      <c r="L624" s="27" t="n">
        <v>67</v>
      </c>
      <c r="M624" t="inlineStr">
        <is>
          <t>Discharged</t>
        </is>
      </c>
    </row>
    <row r="625">
      <c r="A625" t="inlineStr">
        <is>
          <t>ED210218</t>
        </is>
      </c>
      <c r="B625" t="inlineStr">
        <is>
          <t>PT13660</t>
        </is>
      </c>
      <c r="C625" s="26" t="n">
        <v>45901.14861111111</v>
      </c>
      <c r="D625" t="inlineStr">
        <is>
          <t>Mon</t>
        </is>
      </c>
      <c r="E625" s="27" t="n">
        <v>3</v>
      </c>
      <c r="F625" t="inlineStr">
        <is>
          <t>Walk-In</t>
        </is>
      </c>
      <c r="G625" s="27" t="n">
        <v>4</v>
      </c>
      <c r="H625" t="inlineStr">
        <is>
          <t>Vomiting / Dizziness</t>
        </is>
      </c>
      <c r="I625" t="n">
        <v>92</v>
      </c>
      <c r="J625" t="n">
        <v>132</v>
      </c>
      <c r="K625" s="28">
        <f>I625/J625</f>
        <v/>
      </c>
      <c r="L625" s="27" t="n">
        <v>22</v>
      </c>
      <c r="M625" t="inlineStr">
        <is>
          <t>Discharged</t>
        </is>
      </c>
    </row>
    <row r="626">
      <c r="A626" t="inlineStr">
        <is>
          <t>ED210226</t>
        </is>
      </c>
      <c r="B626" t="inlineStr">
        <is>
          <t>PT13181</t>
        </is>
      </c>
      <c r="C626" s="26" t="n">
        <v>45901.56944444445</v>
      </c>
      <c r="D626" t="inlineStr">
        <is>
          <t>Mon</t>
        </is>
      </c>
      <c r="E626" s="27" t="n">
        <v>13</v>
      </c>
      <c r="F626" t="inlineStr">
        <is>
          <t>Walk-In</t>
        </is>
      </c>
      <c r="G626" s="27" t="n">
        <v>5</v>
      </c>
      <c r="H626" t="inlineStr">
        <is>
          <t>Cough / Fever</t>
        </is>
      </c>
      <c r="I626" t="n">
        <v>94</v>
      </c>
      <c r="J626" t="n">
        <v>107</v>
      </c>
      <c r="K626" s="28">
        <f>I626/J626</f>
        <v/>
      </c>
      <c r="L626" s="27" t="n">
        <v>47</v>
      </c>
      <c r="M626" t="inlineStr">
        <is>
          <t>Discharged</t>
        </is>
      </c>
    </row>
    <row r="627">
      <c r="A627" t="inlineStr">
        <is>
          <t>ED210227</t>
        </is>
      </c>
      <c r="B627" t="inlineStr">
        <is>
          <t>PT12509</t>
        </is>
      </c>
      <c r="C627" s="26" t="n">
        <v>45901.59722222222</v>
      </c>
      <c r="D627" t="inlineStr">
        <is>
          <t>Mon</t>
        </is>
      </c>
      <c r="E627" s="27" t="n">
        <v>14</v>
      </c>
      <c r="F627" t="inlineStr">
        <is>
          <t>Walk-In</t>
        </is>
      </c>
      <c r="G627" s="27" t="n">
        <v>3</v>
      </c>
      <c r="H627" t="inlineStr">
        <is>
          <t>Tremors / Alcohol Withdrawal</t>
        </is>
      </c>
      <c r="I627" t="n">
        <v>57</v>
      </c>
      <c r="J627" t="n">
        <v>129</v>
      </c>
      <c r="K627" s="28">
        <f>I627/J627</f>
        <v/>
      </c>
      <c r="L627" s="27" t="n">
        <v>65</v>
      </c>
      <c r="M627" t="inlineStr">
        <is>
          <t>Admitted</t>
        </is>
      </c>
    </row>
    <row r="628">
      <c r="A628" t="inlineStr">
        <is>
          <t>ED210228</t>
        </is>
      </c>
      <c r="B628" t="inlineStr">
        <is>
          <t>PT10632</t>
        </is>
      </c>
      <c r="C628" s="26" t="n">
        <v>45901.62986111111</v>
      </c>
      <c r="D628" t="inlineStr">
        <is>
          <t>Mon</t>
        </is>
      </c>
      <c r="E628" s="27" t="n">
        <v>15</v>
      </c>
      <c r="F628" t="inlineStr">
        <is>
          <t>Walk-In</t>
        </is>
      </c>
      <c r="G628" s="27" t="n">
        <v>5</v>
      </c>
      <c r="H628" t="inlineStr">
        <is>
          <t>Vomiting / Dizziness</t>
        </is>
      </c>
      <c r="I628" t="n">
        <v>120</v>
      </c>
      <c r="J628" t="n">
        <v>121</v>
      </c>
      <c r="K628" s="28">
        <f>I628/J628</f>
        <v/>
      </c>
      <c r="L628" s="27" t="n">
        <v>74</v>
      </c>
      <c r="M628" t="inlineStr">
        <is>
          <t>Discharged</t>
        </is>
      </c>
    </row>
    <row r="629">
      <c r="A629" t="inlineStr">
        <is>
          <t>ED210232</t>
        </is>
      </c>
      <c r="B629" t="inlineStr">
        <is>
          <t>PT10886</t>
        </is>
      </c>
      <c r="C629" s="26" t="n">
        <v>45901.77708333333</v>
      </c>
      <c r="D629" t="inlineStr">
        <is>
          <t>Mon</t>
        </is>
      </c>
      <c r="E629" s="27" t="n">
        <v>18</v>
      </c>
      <c r="F629" t="inlineStr">
        <is>
          <t>Ambulance</t>
        </is>
      </c>
      <c r="G629" s="27" t="n">
        <v>3</v>
      </c>
      <c r="H629" t="inlineStr">
        <is>
          <t>Shortness of Breath</t>
        </is>
      </c>
      <c r="I629" t="n">
        <v>96</v>
      </c>
      <c r="J629" t="n">
        <v>137</v>
      </c>
      <c r="K629" s="28">
        <f>I629/J629</f>
        <v/>
      </c>
      <c r="L629" s="27" t="n">
        <v>41</v>
      </c>
      <c r="M629" t="inlineStr">
        <is>
          <t>Discharged</t>
        </is>
      </c>
    </row>
    <row r="630">
      <c r="A630" t="inlineStr">
        <is>
          <t>ED210233</t>
        </is>
      </c>
      <c r="B630" t="inlineStr">
        <is>
          <t>PT11756</t>
        </is>
      </c>
      <c r="C630" s="26" t="n">
        <v>45901.82916666667</v>
      </c>
      <c r="D630" t="inlineStr">
        <is>
          <t>Mon</t>
        </is>
      </c>
      <c r="E630" s="27" t="n">
        <v>19</v>
      </c>
      <c r="F630" t="inlineStr">
        <is>
          <t>Walk-In</t>
        </is>
      </c>
      <c r="G630" s="27" t="n">
        <v>4</v>
      </c>
      <c r="H630" t="inlineStr">
        <is>
          <t>Vomiting / Diarrhea</t>
        </is>
      </c>
      <c r="I630" t="n">
        <v>100</v>
      </c>
      <c r="J630" t="n">
        <v>111</v>
      </c>
      <c r="K630" s="28">
        <f>I630/J630</f>
        <v/>
      </c>
      <c r="L630" s="27" t="n">
        <v>59</v>
      </c>
      <c r="M630" t="inlineStr">
        <is>
          <t>Discharged</t>
        </is>
      </c>
    </row>
    <row r="631">
      <c r="A631" t="inlineStr">
        <is>
          <t>ED210236</t>
        </is>
      </c>
      <c r="B631" t="inlineStr">
        <is>
          <t>PT10949</t>
        </is>
      </c>
      <c r="C631" s="26" t="n">
        <v>45901.89513888889</v>
      </c>
      <c r="D631" t="inlineStr">
        <is>
          <t>Mon</t>
        </is>
      </c>
      <c r="E631" s="27" t="n">
        <v>21</v>
      </c>
      <c r="F631" t="inlineStr">
        <is>
          <t>Walk-In</t>
        </is>
      </c>
      <c r="G631" s="27" t="n">
        <v>3</v>
      </c>
      <c r="H631" t="inlineStr">
        <is>
          <t>Painful Urination / Fever</t>
        </is>
      </c>
      <c r="I631" t="n">
        <v>73</v>
      </c>
      <c r="J631" t="n">
        <v>132</v>
      </c>
      <c r="K631" s="28">
        <f>I631/J631</f>
        <v/>
      </c>
      <c r="L631" s="27" t="n">
        <v>129</v>
      </c>
      <c r="M631" t="inlineStr">
        <is>
          <t>Discharged</t>
        </is>
      </c>
    </row>
    <row r="632">
      <c r="A632" t="inlineStr">
        <is>
          <t>ED210247</t>
        </is>
      </c>
      <c r="B632" t="inlineStr">
        <is>
          <t>PT10628</t>
        </is>
      </c>
      <c r="C632" s="26" t="n">
        <v>45902.58402777778</v>
      </c>
      <c r="D632" t="inlineStr">
        <is>
          <t>Tue</t>
        </is>
      </c>
      <c r="E632" s="27" t="n">
        <v>14</v>
      </c>
      <c r="F632" t="inlineStr">
        <is>
          <t>Ambulance</t>
        </is>
      </c>
      <c r="G632" s="27" t="n">
        <v>2</v>
      </c>
      <c r="H632" t="inlineStr">
        <is>
          <t>Chest Pain</t>
        </is>
      </c>
      <c r="I632" t="n">
        <v>73</v>
      </c>
      <c r="J632" t="n">
        <v>157</v>
      </c>
      <c r="K632" s="28">
        <f>I632/J632</f>
        <v/>
      </c>
      <c r="L632" s="27" t="n">
        <v>19</v>
      </c>
      <c r="M632" t="inlineStr">
        <is>
          <t>Discharged</t>
        </is>
      </c>
    </row>
    <row r="633">
      <c r="A633" t="inlineStr">
        <is>
          <t>ED210249</t>
        </is>
      </c>
      <c r="B633" t="inlineStr">
        <is>
          <t>PT12963</t>
        </is>
      </c>
      <c r="C633" s="26" t="n">
        <v>45902.72013888889</v>
      </c>
      <c r="D633" t="inlineStr">
        <is>
          <t>Tue</t>
        </is>
      </c>
      <c r="E633" s="27" t="n">
        <v>17</v>
      </c>
      <c r="F633" t="inlineStr">
        <is>
          <t>Ambulance</t>
        </is>
      </c>
      <c r="G633" s="27" t="n">
        <v>2</v>
      </c>
      <c r="H633" t="inlineStr">
        <is>
          <t>Cough / Fever</t>
        </is>
      </c>
      <c r="I633" t="n">
        <v>109</v>
      </c>
      <c r="J633" t="n">
        <v>138</v>
      </c>
      <c r="K633" s="28">
        <f>I633/J633</f>
        <v/>
      </c>
      <c r="L633" s="27" t="n">
        <v>42</v>
      </c>
      <c r="M633" t="inlineStr">
        <is>
          <t>Discharged</t>
        </is>
      </c>
    </row>
    <row r="634">
      <c r="A634" t="inlineStr">
        <is>
          <t>ED210251</t>
        </is>
      </c>
      <c r="B634" t="inlineStr">
        <is>
          <t>PT13751</t>
        </is>
      </c>
      <c r="C634" s="26" t="n">
        <v>45902.93680555555</v>
      </c>
      <c r="D634" t="inlineStr">
        <is>
          <t>Tue</t>
        </is>
      </c>
      <c r="E634" s="27" t="n">
        <v>22</v>
      </c>
      <c r="F634" t="inlineStr">
        <is>
          <t>Walk-In</t>
        </is>
      </c>
      <c r="G634" s="27" t="n">
        <v>3</v>
      </c>
      <c r="H634" t="inlineStr">
        <is>
          <t>Fainting</t>
        </is>
      </c>
      <c r="I634" t="n">
        <v>90</v>
      </c>
      <c r="J634" t="n">
        <v>125</v>
      </c>
      <c r="K634" s="28">
        <f>I634/J634</f>
        <v/>
      </c>
      <c r="L634" s="27" t="n">
        <v>73</v>
      </c>
      <c r="M634" t="inlineStr">
        <is>
          <t>Discharged</t>
        </is>
      </c>
    </row>
    <row r="635">
      <c r="A635" t="inlineStr">
        <is>
          <t>ED210256</t>
        </is>
      </c>
      <c r="B635" t="inlineStr">
        <is>
          <t>PT12149</t>
        </is>
      </c>
      <c r="C635" s="26" t="n">
        <v>45903.38819444444</v>
      </c>
      <c r="D635" t="inlineStr">
        <is>
          <t>Wed</t>
        </is>
      </c>
      <c r="E635" s="27" t="n">
        <v>9</v>
      </c>
      <c r="F635" t="inlineStr">
        <is>
          <t>Walk-In</t>
        </is>
      </c>
      <c r="G635" s="27" t="n">
        <v>4</v>
      </c>
      <c r="H635" t="inlineStr">
        <is>
          <t>Abdominal Pain</t>
        </is>
      </c>
      <c r="I635" t="n">
        <v>89</v>
      </c>
      <c r="J635" t="n">
        <v>111</v>
      </c>
      <c r="K635" s="28">
        <f>I635/J635</f>
        <v/>
      </c>
      <c r="L635" s="27" t="n">
        <v>65</v>
      </c>
      <c r="M635" t="inlineStr">
        <is>
          <t>Discharged</t>
        </is>
      </c>
    </row>
    <row r="636">
      <c r="A636" t="inlineStr">
        <is>
          <t>ED210265</t>
        </is>
      </c>
      <c r="B636" t="inlineStr">
        <is>
          <t>PT13330</t>
        </is>
      </c>
      <c r="C636" s="26" t="n">
        <v>45903.63402777778</v>
      </c>
      <c r="D636" t="inlineStr">
        <is>
          <t>Wed</t>
        </is>
      </c>
      <c r="E636" s="27" t="n">
        <v>15</v>
      </c>
      <c r="F636" t="inlineStr">
        <is>
          <t>Walk-In</t>
        </is>
      </c>
      <c r="G636" s="27" t="n">
        <v>5</v>
      </c>
      <c r="H636" t="inlineStr">
        <is>
          <t>Back Pain</t>
        </is>
      </c>
      <c r="I636" t="n">
        <v>93</v>
      </c>
      <c r="J636" t="n">
        <v>101</v>
      </c>
      <c r="K636" s="28">
        <f>I636/J636</f>
        <v/>
      </c>
      <c r="L636" s="27" t="n">
        <v>57</v>
      </c>
      <c r="M636" t="inlineStr">
        <is>
          <t>Discharged</t>
        </is>
      </c>
    </row>
    <row r="637">
      <c r="A637" t="inlineStr">
        <is>
          <t>ED210278</t>
        </is>
      </c>
      <c r="B637" t="inlineStr">
        <is>
          <t>PT11753</t>
        </is>
      </c>
      <c r="C637" s="26" t="n">
        <v>45904.35208333333</v>
      </c>
      <c r="D637" t="inlineStr">
        <is>
          <t>Thu</t>
        </is>
      </c>
      <c r="E637" s="27" t="n">
        <v>8</v>
      </c>
      <c r="F637" t="inlineStr">
        <is>
          <t>Ambulance</t>
        </is>
      </c>
      <c r="G637" s="27" t="n">
        <v>3</v>
      </c>
      <c r="H637" t="inlineStr">
        <is>
          <t>Shortness of Breath</t>
        </is>
      </c>
      <c r="I637" t="n">
        <v>84</v>
      </c>
      <c r="J637" t="n">
        <v>120</v>
      </c>
      <c r="K637" s="28">
        <f>I637/J637</f>
        <v/>
      </c>
      <c r="L637" s="27" t="n">
        <v>31</v>
      </c>
      <c r="M637" t="inlineStr">
        <is>
          <t>Admitted</t>
        </is>
      </c>
    </row>
    <row r="638">
      <c r="A638" t="inlineStr">
        <is>
          <t>ED210285</t>
        </is>
      </c>
      <c r="B638" t="inlineStr">
        <is>
          <t>PT13785</t>
        </is>
      </c>
      <c r="C638" s="26" t="n">
        <v>45904.57569444444</v>
      </c>
      <c r="D638" t="inlineStr">
        <is>
          <t>Thu</t>
        </is>
      </c>
      <c r="E638" s="27" t="n">
        <v>13</v>
      </c>
      <c r="F638" t="inlineStr">
        <is>
          <t>Ambulance</t>
        </is>
      </c>
      <c r="G638" s="27" t="n">
        <v>2</v>
      </c>
      <c r="H638" t="inlineStr">
        <is>
          <t>Shortness of Breath</t>
        </is>
      </c>
      <c r="I638" t="n">
        <v>85</v>
      </c>
      <c r="J638" t="n">
        <v>163</v>
      </c>
      <c r="K638" s="28">
        <f>I638/J638</f>
        <v/>
      </c>
      <c r="L638" s="27" t="n">
        <v>28</v>
      </c>
      <c r="M638" t="inlineStr">
        <is>
          <t>Admitted</t>
        </is>
      </c>
    </row>
    <row r="639">
      <c r="A639" t="inlineStr">
        <is>
          <t>ED210309</t>
        </is>
      </c>
      <c r="B639" t="inlineStr">
        <is>
          <t>PT10866</t>
        </is>
      </c>
      <c r="C639" s="26" t="n">
        <v>45906.80138888889</v>
      </c>
      <c r="D639" t="inlineStr">
        <is>
          <t>Sat</t>
        </is>
      </c>
      <c r="E639" s="27" t="n">
        <v>19</v>
      </c>
      <c r="F639" t="inlineStr">
        <is>
          <t>Walk-In</t>
        </is>
      </c>
      <c r="G639" s="27" t="n">
        <v>5</v>
      </c>
      <c r="H639" t="inlineStr">
        <is>
          <t>Back Pain</t>
        </is>
      </c>
      <c r="I639" t="n">
        <v>78</v>
      </c>
      <c r="J639" t="n">
        <v>134</v>
      </c>
      <c r="K639" s="28">
        <f>I639/J639</f>
        <v/>
      </c>
      <c r="L639" s="27" t="n">
        <v>101</v>
      </c>
      <c r="M639" t="inlineStr">
        <is>
          <t>Discharged</t>
        </is>
      </c>
    </row>
    <row r="640">
      <c r="A640" t="inlineStr">
        <is>
          <t>ED210314</t>
        </is>
      </c>
      <c r="B640" t="inlineStr">
        <is>
          <t>PT10219</t>
        </is>
      </c>
      <c r="C640" s="26" t="n">
        <v>45907.03125</v>
      </c>
      <c r="D640" t="inlineStr">
        <is>
          <t>Sun</t>
        </is>
      </c>
      <c r="E640" s="27" t="n">
        <v>0</v>
      </c>
      <c r="F640" t="inlineStr">
        <is>
          <t>Ambulance</t>
        </is>
      </c>
      <c r="G640" s="27" t="n">
        <v>2</v>
      </c>
      <c r="H640" t="inlineStr">
        <is>
          <t>Shortness of Breath</t>
        </is>
      </c>
      <c r="I640" t="n">
        <v>114</v>
      </c>
      <c r="J640" t="n">
        <v>130</v>
      </c>
      <c r="K640" s="28">
        <f>I640/J640</f>
        <v/>
      </c>
      <c r="L640" s="27" t="n">
        <v>10</v>
      </c>
      <c r="M640" t="inlineStr">
        <is>
          <t>Transferred</t>
        </is>
      </c>
    </row>
    <row r="641">
      <c r="A641" t="inlineStr">
        <is>
          <t>ED210326</t>
        </is>
      </c>
      <c r="B641" t="inlineStr">
        <is>
          <t>PT12872</t>
        </is>
      </c>
      <c r="C641" s="26" t="n">
        <v>45907.51944444444</v>
      </c>
      <c r="D641" t="inlineStr">
        <is>
          <t>Sun</t>
        </is>
      </c>
      <c r="E641" s="27" t="n">
        <v>12</v>
      </c>
      <c r="F641" t="inlineStr">
        <is>
          <t>Ambulance</t>
        </is>
      </c>
      <c r="G641" s="27" t="n">
        <v>3</v>
      </c>
      <c r="H641" t="inlineStr">
        <is>
          <t>Back Pain</t>
        </is>
      </c>
      <c r="I641" t="n">
        <v>99</v>
      </c>
      <c r="J641" t="n">
        <v>111</v>
      </c>
      <c r="K641" s="28">
        <f>I641/J641</f>
        <v/>
      </c>
      <c r="L641" s="27" t="n">
        <v>58</v>
      </c>
      <c r="M641" t="inlineStr">
        <is>
          <t>Discharged</t>
        </is>
      </c>
    </row>
    <row r="642">
      <c r="A642" t="inlineStr">
        <is>
          <t>ED210347</t>
        </is>
      </c>
      <c r="B642" t="inlineStr">
        <is>
          <t>PT12498</t>
        </is>
      </c>
      <c r="C642" s="26" t="n">
        <v>45909.0625</v>
      </c>
      <c r="D642" t="inlineStr">
        <is>
          <t>Tue</t>
        </is>
      </c>
      <c r="E642" s="27" t="n">
        <v>1</v>
      </c>
      <c r="F642" t="inlineStr">
        <is>
          <t>Ambulance</t>
        </is>
      </c>
      <c r="G642" s="27" t="n">
        <v>2</v>
      </c>
      <c r="H642" t="inlineStr">
        <is>
          <t>Chest Pain</t>
        </is>
      </c>
      <c r="I642" t="n">
        <v>86</v>
      </c>
      <c r="J642" t="n">
        <v>142</v>
      </c>
      <c r="K642" s="28">
        <f>I642/J642</f>
        <v/>
      </c>
      <c r="L642" s="27" t="n">
        <v>10</v>
      </c>
      <c r="M642" t="inlineStr">
        <is>
          <t>Discharged</t>
        </is>
      </c>
    </row>
    <row r="643">
      <c r="A643" t="inlineStr">
        <is>
          <t>ED210357</t>
        </is>
      </c>
      <c r="B643" t="inlineStr">
        <is>
          <t>PT11605</t>
        </is>
      </c>
      <c r="C643" s="26" t="n">
        <v>45909.69583333333</v>
      </c>
      <c r="D643" t="inlineStr">
        <is>
          <t>Tue</t>
        </is>
      </c>
      <c r="E643" s="27" t="n">
        <v>16</v>
      </c>
      <c r="F643" t="inlineStr">
        <is>
          <t>Ambulance</t>
        </is>
      </c>
      <c r="G643" s="27" t="n">
        <v>3</v>
      </c>
      <c r="H643" t="inlineStr">
        <is>
          <t>Anxiety / Palpitations</t>
        </is>
      </c>
      <c r="I643" t="n">
        <v>75</v>
      </c>
      <c r="J643" t="n">
        <v>116</v>
      </c>
      <c r="K643" s="28">
        <f>I643/J643</f>
        <v/>
      </c>
      <c r="L643" s="27" t="n">
        <v>126</v>
      </c>
      <c r="M643" t="inlineStr">
        <is>
          <t>Observation</t>
        </is>
      </c>
    </row>
    <row r="644">
      <c r="A644" t="inlineStr">
        <is>
          <t>ED210364</t>
        </is>
      </c>
      <c r="B644" t="inlineStr">
        <is>
          <t>PT13768</t>
        </is>
      </c>
      <c r="C644" s="26" t="n">
        <v>45909.98611111111</v>
      </c>
      <c r="D644" t="inlineStr">
        <is>
          <t>Tue</t>
        </is>
      </c>
      <c r="E644" s="27" t="n">
        <v>23</v>
      </c>
      <c r="F644" t="inlineStr">
        <is>
          <t>Walk-In</t>
        </is>
      </c>
      <c r="G644" s="27" t="n">
        <v>4</v>
      </c>
      <c r="H644" t="inlineStr">
        <is>
          <t>Shortness of Breath</t>
        </is>
      </c>
      <c r="I644" t="n">
        <v>82</v>
      </c>
      <c r="J644" t="n">
        <v>135</v>
      </c>
      <c r="K644" s="28">
        <f>I644/J644</f>
        <v/>
      </c>
      <c r="L644" s="27" t="n">
        <v>45</v>
      </c>
      <c r="M644" t="inlineStr">
        <is>
          <t>Discharged</t>
        </is>
      </c>
    </row>
    <row r="645">
      <c r="A645" t="inlineStr">
        <is>
          <t>ED210395</t>
        </is>
      </c>
      <c r="B645" t="inlineStr">
        <is>
          <t>PT10718</t>
        </is>
      </c>
      <c r="C645" s="26" t="n">
        <v>45912.48125</v>
      </c>
      <c r="D645" t="inlineStr">
        <is>
          <t>Fri</t>
        </is>
      </c>
      <c r="E645" s="27" t="n">
        <v>11</v>
      </c>
      <c r="F645" t="inlineStr">
        <is>
          <t>Walk-In</t>
        </is>
      </c>
      <c r="G645" s="27" t="n">
        <v>4</v>
      </c>
      <c r="H645" t="inlineStr">
        <is>
          <t>Ankle Injury</t>
        </is>
      </c>
      <c r="I645" t="n">
        <v>91</v>
      </c>
      <c r="J645" t="n">
        <v>135</v>
      </c>
      <c r="K645" s="28">
        <f>I645/J645</f>
        <v/>
      </c>
      <c r="L645" s="27" t="n">
        <v>49</v>
      </c>
      <c r="M645" t="inlineStr">
        <is>
          <t>Discharged</t>
        </is>
      </c>
    </row>
    <row r="646">
      <c r="A646" t="inlineStr">
        <is>
          <t>ED210405</t>
        </is>
      </c>
      <c r="B646" t="inlineStr">
        <is>
          <t>PT10460</t>
        </is>
      </c>
      <c r="C646" s="26" t="n">
        <v>45912.86319444444</v>
      </c>
      <c r="D646" t="inlineStr">
        <is>
          <t>Fri</t>
        </is>
      </c>
      <c r="E646" s="27" t="n">
        <v>20</v>
      </c>
      <c r="F646" t="inlineStr">
        <is>
          <t>Walk-In</t>
        </is>
      </c>
      <c r="G646" s="27" t="n">
        <v>4</v>
      </c>
      <c r="H646" t="inlineStr">
        <is>
          <t>Skin Redness / Swelling</t>
        </is>
      </c>
      <c r="I646" t="n">
        <v>70</v>
      </c>
      <c r="J646" t="n">
        <v>184</v>
      </c>
      <c r="K646" s="28">
        <f>I646/J646</f>
        <v/>
      </c>
      <c r="L646" s="27" t="n">
        <v>25</v>
      </c>
      <c r="M646" t="inlineStr">
        <is>
          <t>Discharged</t>
        </is>
      </c>
    </row>
    <row r="647">
      <c r="A647" t="inlineStr">
        <is>
          <t>ED210423</t>
        </is>
      </c>
      <c r="B647" t="inlineStr">
        <is>
          <t>PT13473</t>
        </is>
      </c>
      <c r="C647" s="26" t="n">
        <v>45914.60625</v>
      </c>
      <c r="D647" t="inlineStr">
        <is>
          <t>Sun</t>
        </is>
      </c>
      <c r="E647" s="27" t="n">
        <v>14</v>
      </c>
      <c r="F647" t="inlineStr">
        <is>
          <t>Walk-In</t>
        </is>
      </c>
      <c r="G647" s="27" t="n">
        <v>4</v>
      </c>
      <c r="H647" t="inlineStr">
        <is>
          <t>Painful Urination / Fever</t>
        </is>
      </c>
      <c r="I647" t="n">
        <v>109</v>
      </c>
      <c r="J647" t="n">
        <v>102</v>
      </c>
      <c r="K647" s="28">
        <f>I647/J647</f>
        <v/>
      </c>
      <c r="L647" s="27" t="n">
        <v>152</v>
      </c>
      <c r="M647" t="inlineStr">
        <is>
          <t>Admitted</t>
        </is>
      </c>
    </row>
    <row r="648">
      <c r="A648" t="inlineStr">
        <is>
          <t>ED210427</t>
        </is>
      </c>
      <c r="B648" t="inlineStr">
        <is>
          <t>PT11663</t>
        </is>
      </c>
      <c r="C648" s="26" t="n">
        <v>45914.81666666667</v>
      </c>
      <c r="D648" t="inlineStr">
        <is>
          <t>Sun</t>
        </is>
      </c>
      <c r="E648" s="27" t="n">
        <v>19</v>
      </c>
      <c r="F648" t="inlineStr">
        <is>
          <t>Walk-In</t>
        </is>
      </c>
      <c r="G648" s="27" t="n">
        <v>4</v>
      </c>
      <c r="H648" t="inlineStr">
        <is>
          <t>Headache</t>
        </is>
      </c>
      <c r="I648" t="n">
        <v>83</v>
      </c>
      <c r="J648" t="n">
        <v>118</v>
      </c>
      <c r="K648" s="28">
        <f>I648/J648</f>
        <v/>
      </c>
      <c r="L648" s="27" t="n">
        <v>50</v>
      </c>
      <c r="M648" t="inlineStr">
        <is>
          <t>Discharged</t>
        </is>
      </c>
    </row>
    <row r="649">
      <c r="A649" t="inlineStr">
        <is>
          <t>ED210437</t>
        </is>
      </c>
      <c r="B649" t="inlineStr">
        <is>
          <t>PT12922</t>
        </is>
      </c>
      <c r="C649" s="26" t="n">
        <v>45915.47986111111</v>
      </c>
      <c r="D649" t="inlineStr">
        <is>
          <t>Mon</t>
        </is>
      </c>
      <c r="E649" s="27" t="n">
        <v>11</v>
      </c>
      <c r="F649" t="inlineStr">
        <is>
          <t>Ambulance</t>
        </is>
      </c>
      <c r="G649" s="27" t="n">
        <v>3</v>
      </c>
      <c r="H649" t="inlineStr">
        <is>
          <t>Shortness of Breath</t>
        </is>
      </c>
      <c r="I649" t="n">
        <v>82</v>
      </c>
      <c r="J649" t="n">
        <v>168</v>
      </c>
      <c r="K649" s="28">
        <f>I649/J649</f>
        <v/>
      </c>
      <c r="L649" s="27" t="n">
        <v>106</v>
      </c>
      <c r="M649" t="inlineStr">
        <is>
          <t>Admitted</t>
        </is>
      </c>
    </row>
    <row r="650">
      <c r="A650" t="inlineStr">
        <is>
          <t>ED210443</t>
        </is>
      </c>
      <c r="B650" t="inlineStr">
        <is>
          <t>PT10606</t>
        </is>
      </c>
      <c r="C650" s="26" t="n">
        <v>45915.72152777778</v>
      </c>
      <c r="D650" t="inlineStr">
        <is>
          <t>Mon</t>
        </is>
      </c>
      <c r="E650" s="27" t="n">
        <v>17</v>
      </c>
      <c r="F650" t="inlineStr">
        <is>
          <t>Walk-In</t>
        </is>
      </c>
      <c r="G650" s="27" t="n">
        <v>4</v>
      </c>
      <c r="H650" t="inlineStr">
        <is>
          <t>Nausea</t>
        </is>
      </c>
      <c r="I650" t="n">
        <v>102</v>
      </c>
      <c r="J650" t="n">
        <v>129</v>
      </c>
      <c r="K650" s="28">
        <f>I650/J650</f>
        <v/>
      </c>
      <c r="L650" s="27" t="n">
        <v>113</v>
      </c>
      <c r="M650" t="inlineStr">
        <is>
          <t>Discharged</t>
        </is>
      </c>
    </row>
    <row r="651">
      <c r="A651" t="inlineStr">
        <is>
          <t>ED210447</t>
        </is>
      </c>
      <c r="B651" t="inlineStr">
        <is>
          <t>PT10471</t>
        </is>
      </c>
      <c r="C651" s="26" t="n">
        <v>45916.49861111111</v>
      </c>
      <c r="D651" t="inlineStr">
        <is>
          <t>Tue</t>
        </is>
      </c>
      <c r="E651" s="27" t="n">
        <v>11</v>
      </c>
      <c r="F651" t="inlineStr">
        <is>
          <t>Ambulance</t>
        </is>
      </c>
      <c r="G651" s="27" t="n">
        <v>1</v>
      </c>
      <c r="H651" t="inlineStr">
        <is>
          <t>Shortness of Breath</t>
        </is>
      </c>
      <c r="I651" t="n">
        <v>82</v>
      </c>
      <c r="J651" t="n">
        <v>73</v>
      </c>
      <c r="K651" s="28">
        <f>I651/J651</f>
        <v/>
      </c>
      <c r="L651" s="27" t="n">
        <v>5</v>
      </c>
      <c r="M651" t="inlineStr">
        <is>
          <t>Admitted</t>
        </is>
      </c>
    </row>
    <row r="652">
      <c r="A652" t="inlineStr">
        <is>
          <t>ED210457</t>
        </is>
      </c>
      <c r="B652" t="inlineStr">
        <is>
          <t>PT12209</t>
        </is>
      </c>
      <c r="C652" s="26" t="n">
        <v>45917.16875</v>
      </c>
      <c r="D652" t="inlineStr">
        <is>
          <t>Wed</t>
        </is>
      </c>
      <c r="E652" s="27" t="n">
        <v>4</v>
      </c>
      <c r="F652" t="inlineStr">
        <is>
          <t>Ambulance</t>
        </is>
      </c>
      <c r="G652" s="27" t="n">
        <v>2</v>
      </c>
      <c r="H652" t="inlineStr">
        <is>
          <t>Dizziness</t>
        </is>
      </c>
      <c r="I652" t="n">
        <v>98</v>
      </c>
      <c r="J652" t="n">
        <v>126</v>
      </c>
      <c r="K652" s="28">
        <f>I652/J652</f>
        <v/>
      </c>
      <c r="L652" s="27" t="n">
        <v>10</v>
      </c>
      <c r="M652" t="inlineStr">
        <is>
          <t>Admitted</t>
        </is>
      </c>
    </row>
    <row r="653">
      <c r="A653" t="inlineStr">
        <is>
          <t>ED210463</t>
        </is>
      </c>
      <c r="B653" t="inlineStr">
        <is>
          <t>PT13330</t>
        </is>
      </c>
      <c r="C653" s="26" t="n">
        <v>45917.52430555555</v>
      </c>
      <c r="D653" t="inlineStr">
        <is>
          <t>Wed</t>
        </is>
      </c>
      <c r="E653" s="27" t="n">
        <v>12</v>
      </c>
      <c r="F653" t="inlineStr">
        <is>
          <t>Ambulance</t>
        </is>
      </c>
      <c r="G653" s="27" t="n">
        <v>2</v>
      </c>
      <c r="H653" t="inlineStr">
        <is>
          <t>Shortness of Breath</t>
        </is>
      </c>
      <c r="I653" t="n">
        <v>115</v>
      </c>
      <c r="J653" t="n">
        <v>110</v>
      </c>
      <c r="K653" s="28">
        <f>I653/J653</f>
        <v/>
      </c>
      <c r="L653" s="27" t="n">
        <v>52</v>
      </c>
      <c r="M653" t="inlineStr">
        <is>
          <t>Admitted</t>
        </is>
      </c>
    </row>
    <row r="654">
      <c r="A654" t="inlineStr">
        <is>
          <t>ED210470</t>
        </is>
      </c>
      <c r="B654" t="inlineStr">
        <is>
          <t>PT12058</t>
        </is>
      </c>
      <c r="C654" s="26" t="n">
        <v>45917.83402777778</v>
      </c>
      <c r="D654" t="inlineStr">
        <is>
          <t>Wed</t>
        </is>
      </c>
      <c r="E654" s="27" t="n">
        <v>20</v>
      </c>
      <c r="F654" t="inlineStr">
        <is>
          <t>Walk-In</t>
        </is>
      </c>
      <c r="G654" s="27" t="n">
        <v>4</v>
      </c>
      <c r="H654" t="inlineStr">
        <is>
          <t>Headache</t>
        </is>
      </c>
      <c r="I654" t="n">
        <v>88</v>
      </c>
      <c r="J654" t="n">
        <v>203</v>
      </c>
      <c r="K654" s="28">
        <f>I654/J654</f>
        <v/>
      </c>
      <c r="L654" s="27" t="n">
        <v>128</v>
      </c>
      <c r="M654" t="inlineStr">
        <is>
          <t>Discharged</t>
        </is>
      </c>
    </row>
    <row r="655">
      <c r="A655" t="inlineStr">
        <is>
          <t>ED210474</t>
        </is>
      </c>
      <c r="B655" t="inlineStr">
        <is>
          <t>PT13002</t>
        </is>
      </c>
      <c r="C655" s="26" t="n">
        <v>45918.22152777778</v>
      </c>
      <c r="D655" t="inlineStr">
        <is>
          <t>Thu</t>
        </is>
      </c>
      <c r="E655" s="27" t="n">
        <v>5</v>
      </c>
      <c r="F655" t="inlineStr">
        <is>
          <t>Ambulance</t>
        </is>
      </c>
      <c r="G655" s="27" t="n">
        <v>3</v>
      </c>
      <c r="H655" t="inlineStr">
        <is>
          <t>Skin Redness / Swelling</t>
        </is>
      </c>
      <c r="I655" t="n">
        <v>94</v>
      </c>
      <c r="J655" t="n">
        <v>132</v>
      </c>
      <c r="K655" s="28">
        <f>I655/J655</f>
        <v/>
      </c>
      <c r="L655" s="27" t="n">
        <v>31</v>
      </c>
      <c r="M655" t="inlineStr">
        <is>
          <t>Discharged</t>
        </is>
      </c>
    </row>
    <row r="656">
      <c r="A656" t="inlineStr">
        <is>
          <t>ED210483</t>
        </is>
      </c>
      <c r="B656" t="inlineStr">
        <is>
          <t>PT11535</t>
        </is>
      </c>
      <c r="C656" s="26" t="n">
        <v>45918.85208333333</v>
      </c>
      <c r="D656" t="inlineStr">
        <is>
          <t>Thu</t>
        </is>
      </c>
      <c r="E656" s="27" t="n">
        <v>20</v>
      </c>
      <c r="F656" t="inlineStr">
        <is>
          <t>Walk-In</t>
        </is>
      </c>
      <c r="G656" s="27" t="n">
        <v>4</v>
      </c>
      <c r="H656" t="inlineStr">
        <is>
          <t>Cough / Fever</t>
        </is>
      </c>
      <c r="I656" t="n">
        <v>87</v>
      </c>
      <c r="J656" t="n">
        <v>147</v>
      </c>
      <c r="K656" s="28">
        <f>I656/J656</f>
        <v/>
      </c>
      <c r="L656" s="27" t="n">
        <v>51</v>
      </c>
      <c r="M656" t="inlineStr">
        <is>
          <t>Discharged</t>
        </is>
      </c>
    </row>
    <row r="657">
      <c r="A657" t="inlineStr">
        <is>
          <t>ED210501</t>
        </is>
      </c>
      <c r="B657" t="inlineStr">
        <is>
          <t>PT10606</t>
        </is>
      </c>
      <c r="C657" s="26" t="n">
        <v>45919.85763888889</v>
      </c>
      <c r="D657" t="inlineStr">
        <is>
          <t>Fri</t>
        </is>
      </c>
      <c r="E657" s="27" t="n">
        <v>20</v>
      </c>
      <c r="F657" t="inlineStr">
        <is>
          <t>Walk-In</t>
        </is>
      </c>
      <c r="G657" s="27" t="n">
        <v>3</v>
      </c>
      <c r="H657" t="inlineStr">
        <is>
          <t>Rash</t>
        </is>
      </c>
      <c r="I657" t="n">
        <v>99</v>
      </c>
      <c r="J657" t="n">
        <v>124</v>
      </c>
      <c r="K657" s="28">
        <f>I657/J657</f>
        <v/>
      </c>
      <c r="L657" s="27" t="n">
        <v>61</v>
      </c>
      <c r="M657" t="inlineStr">
        <is>
          <t>Discharged</t>
        </is>
      </c>
    </row>
    <row r="658">
      <c r="A658" t="inlineStr">
        <is>
          <t>ED210507</t>
        </is>
      </c>
      <c r="B658" t="inlineStr">
        <is>
          <t>PT10644</t>
        </is>
      </c>
      <c r="C658" s="26" t="n">
        <v>45920.39861111111</v>
      </c>
      <c r="D658" t="inlineStr">
        <is>
          <t>Sat</t>
        </is>
      </c>
      <c r="E658" s="27" t="n">
        <v>9</v>
      </c>
      <c r="F658" t="inlineStr">
        <is>
          <t>Walk-In</t>
        </is>
      </c>
      <c r="G658" s="27" t="n">
        <v>5</v>
      </c>
      <c r="H658" t="inlineStr">
        <is>
          <t>Back Pain</t>
        </is>
      </c>
      <c r="I658" t="n">
        <v>54</v>
      </c>
      <c r="J658" t="n">
        <v>119</v>
      </c>
      <c r="K658" s="28">
        <f>I658/J658</f>
        <v/>
      </c>
      <c r="L658" s="27" t="n">
        <v>29</v>
      </c>
      <c r="M658" t="inlineStr">
        <is>
          <t>Discharged</t>
        </is>
      </c>
    </row>
    <row r="659">
      <c r="A659" t="inlineStr">
        <is>
          <t>ED210508</t>
        </is>
      </c>
      <c r="B659" t="inlineStr">
        <is>
          <t>PT12311</t>
        </is>
      </c>
      <c r="C659" s="26" t="n">
        <v>45920.43402777778</v>
      </c>
      <c r="D659" t="inlineStr">
        <is>
          <t>Sat</t>
        </is>
      </c>
      <c r="E659" s="27" t="n">
        <v>10</v>
      </c>
      <c r="F659" t="inlineStr">
        <is>
          <t>Walk-In</t>
        </is>
      </c>
      <c r="G659" s="27" t="n">
        <v>5</v>
      </c>
      <c r="H659" t="inlineStr">
        <is>
          <t>Headache</t>
        </is>
      </c>
      <c r="I659" t="n">
        <v>94</v>
      </c>
      <c r="J659" t="n">
        <v>99</v>
      </c>
      <c r="K659" s="28">
        <f>I659/J659</f>
        <v/>
      </c>
      <c r="L659" s="27" t="n">
        <v>22</v>
      </c>
      <c r="M659" t="inlineStr">
        <is>
          <t>Discharged</t>
        </is>
      </c>
    </row>
    <row r="660">
      <c r="A660" t="inlineStr">
        <is>
          <t>ED210510</t>
        </is>
      </c>
      <c r="B660" t="inlineStr">
        <is>
          <t>PT12081</t>
        </is>
      </c>
      <c r="C660" s="26" t="n">
        <v>45920.57430555556</v>
      </c>
      <c r="D660" t="inlineStr">
        <is>
          <t>Sat</t>
        </is>
      </c>
      <c r="E660" s="27" t="n">
        <v>13</v>
      </c>
      <c r="F660" t="inlineStr">
        <is>
          <t>Walk-In</t>
        </is>
      </c>
      <c r="G660" s="27" t="n">
        <v>3</v>
      </c>
      <c r="H660" t="inlineStr">
        <is>
          <t>Skin Redness / Swelling</t>
        </is>
      </c>
      <c r="I660" t="n">
        <v>80</v>
      </c>
      <c r="J660" t="n">
        <v>110</v>
      </c>
      <c r="K660" s="28">
        <f>I660/J660</f>
        <v/>
      </c>
      <c r="L660" s="27" t="n">
        <v>56</v>
      </c>
      <c r="M660" t="inlineStr">
        <is>
          <t>Observation</t>
        </is>
      </c>
    </row>
    <row r="661">
      <c r="A661" t="inlineStr">
        <is>
          <t>ED210515</t>
        </is>
      </c>
      <c r="B661" t="inlineStr">
        <is>
          <t>PT10034</t>
        </is>
      </c>
      <c r="C661" s="26" t="n">
        <v>45920.73194444444</v>
      </c>
      <c r="D661" t="inlineStr">
        <is>
          <t>Sat</t>
        </is>
      </c>
      <c r="E661" s="27" t="n">
        <v>17</v>
      </c>
      <c r="F661" t="inlineStr">
        <is>
          <t>Walk-In</t>
        </is>
      </c>
      <c r="G661" s="27" t="n">
        <v>4</v>
      </c>
      <c r="H661" t="inlineStr">
        <is>
          <t>Skin Redness / Swelling</t>
        </is>
      </c>
      <c r="I661" t="n">
        <v>74</v>
      </c>
      <c r="J661" t="n">
        <v>133</v>
      </c>
      <c r="K661" s="28">
        <f>I661/J661</f>
        <v/>
      </c>
      <c r="L661" s="27" t="n">
        <v>28</v>
      </c>
      <c r="M661" t="inlineStr">
        <is>
          <t>Discharged</t>
        </is>
      </c>
    </row>
    <row r="662">
      <c r="A662" t="inlineStr">
        <is>
          <t>ED210516</t>
        </is>
      </c>
      <c r="B662" t="inlineStr">
        <is>
          <t>PT10611</t>
        </is>
      </c>
      <c r="C662" s="26" t="n">
        <v>45920.81180555555</v>
      </c>
      <c r="D662" t="inlineStr">
        <is>
          <t>Sat</t>
        </is>
      </c>
      <c r="E662" s="27" t="n">
        <v>19</v>
      </c>
      <c r="F662" t="inlineStr">
        <is>
          <t>Walk-In</t>
        </is>
      </c>
      <c r="G662" s="27" t="n">
        <v>3</v>
      </c>
      <c r="H662" t="inlineStr">
        <is>
          <t>Abdominal Pain</t>
        </is>
      </c>
      <c r="I662" t="n">
        <v>78</v>
      </c>
      <c r="J662" t="n">
        <v>148</v>
      </c>
      <c r="K662" s="28">
        <f>I662/J662</f>
        <v/>
      </c>
      <c r="L662" s="27" t="n">
        <v>28</v>
      </c>
      <c r="M662" t="inlineStr">
        <is>
          <t>Admitted</t>
        </is>
      </c>
    </row>
    <row r="663">
      <c r="A663" t="inlineStr">
        <is>
          <t>ED210521</t>
        </is>
      </c>
      <c r="B663" t="inlineStr">
        <is>
          <t>PT10866</t>
        </is>
      </c>
      <c r="C663" s="26" t="n">
        <v>45921.23611111111</v>
      </c>
      <c r="D663" t="inlineStr">
        <is>
          <t>Sun</t>
        </is>
      </c>
      <c r="E663" s="27" t="n">
        <v>5</v>
      </c>
      <c r="F663" t="inlineStr">
        <is>
          <t>Ambulance</t>
        </is>
      </c>
      <c r="G663" s="27" t="n">
        <v>3</v>
      </c>
      <c r="H663" t="inlineStr">
        <is>
          <t>Chest Pain</t>
        </is>
      </c>
      <c r="I663" t="n">
        <v>92</v>
      </c>
      <c r="J663" t="n">
        <v>133</v>
      </c>
      <c r="K663" s="28">
        <f>I663/J663</f>
        <v/>
      </c>
      <c r="L663" s="27" t="n">
        <v>27</v>
      </c>
      <c r="M663" t="inlineStr">
        <is>
          <t>Discharged</t>
        </is>
      </c>
    </row>
    <row r="664">
      <c r="A664" t="inlineStr">
        <is>
          <t>ED210523</t>
        </is>
      </c>
      <c r="B664" t="inlineStr">
        <is>
          <t>PT12139</t>
        </is>
      </c>
      <c r="C664" s="26" t="n">
        <v>45921.48680555556</v>
      </c>
      <c r="D664" t="inlineStr">
        <is>
          <t>Sun</t>
        </is>
      </c>
      <c r="E664" s="27" t="n">
        <v>11</v>
      </c>
      <c r="F664" t="inlineStr">
        <is>
          <t>Ambulance</t>
        </is>
      </c>
      <c r="G664" s="27" t="n">
        <v>2</v>
      </c>
      <c r="H664" t="inlineStr">
        <is>
          <t>Bloody Stool / Vomiting Blood</t>
        </is>
      </c>
      <c r="I664" t="n">
        <v>117</v>
      </c>
      <c r="J664" t="n">
        <v>80</v>
      </c>
      <c r="K664" s="28">
        <f>I664/J664</f>
        <v/>
      </c>
      <c r="L664" s="27" t="n">
        <v>19</v>
      </c>
      <c r="M664" t="inlineStr">
        <is>
          <t>Admitted</t>
        </is>
      </c>
    </row>
    <row r="665">
      <c r="A665" t="inlineStr">
        <is>
          <t>ED210532</t>
        </is>
      </c>
      <c r="B665" t="inlineStr">
        <is>
          <t>PT13148</t>
        </is>
      </c>
      <c r="C665" s="26" t="n">
        <v>45922.40138888889</v>
      </c>
      <c r="D665" t="inlineStr">
        <is>
          <t>Mon</t>
        </is>
      </c>
      <c r="E665" s="27" t="n">
        <v>9</v>
      </c>
      <c r="F665" t="inlineStr">
        <is>
          <t>Walk-In</t>
        </is>
      </c>
      <c r="G665" s="27" t="n">
        <v>2</v>
      </c>
      <c r="H665" t="inlineStr">
        <is>
          <t>Cough / Fever</t>
        </is>
      </c>
      <c r="I665" t="n">
        <v>95</v>
      </c>
      <c r="J665" t="n">
        <v>144</v>
      </c>
      <c r="K665" s="28">
        <f>I665/J665</f>
        <v/>
      </c>
      <c r="L665" s="27" t="n">
        <v>7</v>
      </c>
      <c r="M665" t="inlineStr">
        <is>
          <t>Admitted</t>
        </is>
      </c>
    </row>
    <row r="666">
      <c r="A666" t="inlineStr">
        <is>
          <t>ED210536</t>
        </is>
      </c>
      <c r="B666" t="inlineStr">
        <is>
          <t>PT13571</t>
        </is>
      </c>
      <c r="C666" s="26" t="n">
        <v>45922.49930555555</v>
      </c>
      <c r="D666" t="inlineStr">
        <is>
          <t>Mon</t>
        </is>
      </c>
      <c r="E666" s="27" t="n">
        <v>11</v>
      </c>
      <c r="F666" t="inlineStr">
        <is>
          <t>Walk-In</t>
        </is>
      </c>
      <c r="G666" s="27" t="n">
        <v>2</v>
      </c>
      <c r="H666" t="inlineStr">
        <is>
          <t>Bloody Stool / Vomiting Blood</t>
        </is>
      </c>
      <c r="I666" t="n">
        <v>103</v>
      </c>
      <c r="J666" t="n">
        <v>89</v>
      </c>
      <c r="K666" s="28">
        <f>I666/J666</f>
        <v/>
      </c>
      <c r="L666" s="27" t="n">
        <v>28</v>
      </c>
      <c r="M666" t="inlineStr">
        <is>
          <t>Admitted</t>
        </is>
      </c>
    </row>
    <row r="667">
      <c r="A667" t="inlineStr">
        <is>
          <t>ED210543</t>
        </is>
      </c>
      <c r="B667" t="inlineStr">
        <is>
          <t>PT10966</t>
        </is>
      </c>
      <c r="C667" s="26" t="n">
        <v>45922.78333333333</v>
      </c>
      <c r="D667" t="inlineStr">
        <is>
          <t>Mon</t>
        </is>
      </c>
      <c r="E667" s="27" t="n">
        <v>18</v>
      </c>
      <c r="F667" t="inlineStr">
        <is>
          <t>Ambulance</t>
        </is>
      </c>
      <c r="G667" s="27" t="n">
        <v>1</v>
      </c>
      <c r="H667" t="inlineStr">
        <is>
          <t>Fever / Altered Mental Status</t>
        </is>
      </c>
      <c r="I667" t="n">
        <v>106</v>
      </c>
      <c r="J667" t="n">
        <v>76</v>
      </c>
      <c r="K667" s="28">
        <f>I667/J667</f>
        <v/>
      </c>
      <c r="L667" s="27" t="n">
        <v>3</v>
      </c>
      <c r="M667" t="inlineStr">
        <is>
          <t>Admitted</t>
        </is>
      </c>
    </row>
    <row r="668">
      <c r="A668" t="inlineStr">
        <is>
          <t>ED210551</t>
        </is>
      </c>
      <c r="B668" t="inlineStr">
        <is>
          <t>PT13324</t>
        </is>
      </c>
      <c r="C668" s="26" t="n">
        <v>45923.45208333333</v>
      </c>
      <c r="D668" t="inlineStr">
        <is>
          <t>Tue</t>
        </is>
      </c>
      <c r="E668" s="27" t="n">
        <v>10</v>
      </c>
      <c r="F668" t="inlineStr">
        <is>
          <t>Walk-In</t>
        </is>
      </c>
      <c r="G668" s="27" t="n">
        <v>3</v>
      </c>
      <c r="H668" t="inlineStr">
        <is>
          <t>Headache</t>
        </is>
      </c>
      <c r="I668" t="n">
        <v>70</v>
      </c>
      <c r="J668" t="n">
        <v>143</v>
      </c>
      <c r="K668" s="28">
        <f>I668/J668</f>
        <v/>
      </c>
      <c r="L668" s="27" t="n">
        <v>53</v>
      </c>
      <c r="M668" t="inlineStr">
        <is>
          <t>Discharged</t>
        </is>
      </c>
    </row>
    <row r="669">
      <c r="A669" t="inlineStr">
        <is>
          <t>ED210558</t>
        </is>
      </c>
      <c r="B669" t="inlineStr">
        <is>
          <t>PT11289</t>
        </is>
      </c>
      <c r="C669" s="26" t="n">
        <v>45923.68541666667</v>
      </c>
      <c r="D669" t="inlineStr">
        <is>
          <t>Tue</t>
        </is>
      </c>
      <c r="E669" s="27" t="n">
        <v>16</v>
      </c>
      <c r="F669" t="inlineStr">
        <is>
          <t>Walk-In</t>
        </is>
      </c>
      <c r="G669" s="27" t="n">
        <v>4</v>
      </c>
      <c r="H669" t="inlineStr">
        <is>
          <t>Headache</t>
        </is>
      </c>
      <c r="I669" t="n">
        <v>87</v>
      </c>
      <c r="J669" t="n">
        <v>118</v>
      </c>
      <c r="K669" s="28">
        <f>I669/J669</f>
        <v/>
      </c>
      <c r="L669" s="27" t="n">
        <v>51</v>
      </c>
      <c r="M669" t="inlineStr">
        <is>
          <t>Discharged</t>
        </is>
      </c>
    </row>
    <row r="670">
      <c r="A670" t="inlineStr">
        <is>
          <t>ED210561</t>
        </is>
      </c>
      <c r="B670" t="inlineStr">
        <is>
          <t>PT11688</t>
        </is>
      </c>
      <c r="C670" s="26" t="n">
        <v>45923.78125</v>
      </c>
      <c r="D670" t="inlineStr">
        <is>
          <t>Tue</t>
        </is>
      </c>
      <c r="E670" s="27" t="n">
        <v>18</v>
      </c>
      <c r="F670" t="inlineStr">
        <is>
          <t>Ambulance</t>
        </is>
      </c>
      <c r="G670" s="27" t="n">
        <v>2</v>
      </c>
      <c r="H670" t="inlineStr">
        <is>
          <t>Cough / Fever</t>
        </is>
      </c>
      <c r="I670" t="n">
        <v>126</v>
      </c>
      <c r="J670" t="n">
        <v>128</v>
      </c>
      <c r="K670" s="28">
        <f>I670/J670</f>
        <v/>
      </c>
      <c r="L670" s="27" t="n">
        <v>14</v>
      </c>
      <c r="M670" t="inlineStr">
        <is>
          <t>Discharged</t>
        </is>
      </c>
    </row>
    <row r="671">
      <c r="A671" t="inlineStr">
        <is>
          <t>ED210567</t>
        </is>
      </c>
      <c r="B671" t="inlineStr">
        <is>
          <t>PT11427</t>
        </is>
      </c>
      <c r="C671" s="26" t="n">
        <v>45923.88819444444</v>
      </c>
      <c r="D671" t="inlineStr">
        <is>
          <t>Tue</t>
        </is>
      </c>
      <c r="E671" s="27" t="n">
        <v>21</v>
      </c>
      <c r="F671" t="inlineStr">
        <is>
          <t>Ambulance</t>
        </is>
      </c>
      <c r="G671" s="27" t="n">
        <v>2</v>
      </c>
      <c r="H671" t="inlineStr">
        <is>
          <t>Chest Pain</t>
        </is>
      </c>
      <c r="I671" t="n">
        <v>97</v>
      </c>
      <c r="J671" t="n">
        <v>132</v>
      </c>
      <c r="K671" s="28">
        <f>I671/J671</f>
        <v/>
      </c>
      <c r="L671" s="27" t="n">
        <v>56</v>
      </c>
      <c r="M671" t="inlineStr">
        <is>
          <t>Observation</t>
        </is>
      </c>
    </row>
    <row r="672">
      <c r="A672" t="inlineStr">
        <is>
          <t>ED210569</t>
        </is>
      </c>
      <c r="B672" t="inlineStr">
        <is>
          <t>PT11421</t>
        </is>
      </c>
      <c r="C672" s="26" t="n">
        <v>45923.94027777778</v>
      </c>
      <c r="D672" t="inlineStr">
        <is>
          <t>Tue</t>
        </is>
      </c>
      <c r="E672" s="27" t="n">
        <v>22</v>
      </c>
      <c r="F672" t="inlineStr">
        <is>
          <t>Walk-In</t>
        </is>
      </c>
      <c r="G672" s="27" t="n">
        <v>4</v>
      </c>
      <c r="H672" t="inlineStr">
        <is>
          <t>Painful Urination / Fever</t>
        </is>
      </c>
      <c r="I672" t="n">
        <v>86</v>
      </c>
      <c r="J672" t="n">
        <v>163</v>
      </c>
      <c r="K672" s="28">
        <f>I672/J672</f>
        <v/>
      </c>
      <c r="L672" s="27" t="n">
        <v>34</v>
      </c>
      <c r="M672" t="inlineStr">
        <is>
          <t>Discharged</t>
        </is>
      </c>
    </row>
    <row r="673">
      <c r="A673" t="inlineStr">
        <is>
          <t>ED210573</t>
        </is>
      </c>
      <c r="B673" t="inlineStr">
        <is>
          <t>PT11101</t>
        </is>
      </c>
      <c r="C673" s="26" t="n">
        <v>45924.34513888889</v>
      </c>
      <c r="D673" t="inlineStr">
        <is>
          <t>Wed</t>
        </is>
      </c>
      <c r="E673" s="27" t="n">
        <v>8</v>
      </c>
      <c r="F673" t="inlineStr">
        <is>
          <t>Walk-In</t>
        </is>
      </c>
      <c r="G673" s="27" t="n">
        <v>3</v>
      </c>
      <c r="H673" t="inlineStr">
        <is>
          <t>Chest Pain</t>
        </is>
      </c>
      <c r="I673" t="n">
        <v>95</v>
      </c>
      <c r="J673" t="n">
        <v>169</v>
      </c>
      <c r="K673" s="28">
        <f>I673/J673</f>
        <v/>
      </c>
      <c r="L673" s="27" t="n">
        <v>82</v>
      </c>
      <c r="M673" t="inlineStr">
        <is>
          <t>Discharged</t>
        </is>
      </c>
    </row>
    <row r="674">
      <c r="A674" t="inlineStr">
        <is>
          <t>ED210577</t>
        </is>
      </c>
      <c r="B674" t="inlineStr">
        <is>
          <t>PT12992</t>
        </is>
      </c>
      <c r="C674" s="26" t="n">
        <v>45924.56597222222</v>
      </c>
      <c r="D674" t="inlineStr">
        <is>
          <t>Wed</t>
        </is>
      </c>
      <c r="E674" s="27" t="n">
        <v>13</v>
      </c>
      <c r="F674" t="inlineStr">
        <is>
          <t>Walk-In</t>
        </is>
      </c>
      <c r="G674" s="27" t="n">
        <v>4</v>
      </c>
      <c r="H674" t="inlineStr">
        <is>
          <t>Anxiety / Palpitations</t>
        </is>
      </c>
      <c r="I674" t="n">
        <v>69</v>
      </c>
      <c r="J674" t="n">
        <v>146</v>
      </c>
      <c r="K674" s="28">
        <f>I674/J674</f>
        <v/>
      </c>
      <c r="L674" s="27" t="n">
        <v>39</v>
      </c>
      <c r="M674" t="inlineStr">
        <is>
          <t>Discharged</t>
        </is>
      </c>
    </row>
    <row r="675">
      <c r="A675" t="inlineStr">
        <is>
          <t>ED210585</t>
        </is>
      </c>
      <c r="B675" t="inlineStr">
        <is>
          <t>PT11068</t>
        </is>
      </c>
      <c r="C675" s="26" t="n">
        <v>45925.52638888889</v>
      </c>
      <c r="D675" t="inlineStr">
        <is>
          <t>Thu</t>
        </is>
      </c>
      <c r="E675" s="27" t="n">
        <v>12</v>
      </c>
      <c r="F675" t="inlineStr">
        <is>
          <t>Walk-In</t>
        </is>
      </c>
      <c r="G675" s="27" t="n">
        <v>3</v>
      </c>
      <c r="H675" t="inlineStr">
        <is>
          <t>Skin Redness / Swelling</t>
        </is>
      </c>
      <c r="I675" t="n">
        <v>76</v>
      </c>
      <c r="J675" t="n">
        <v>145</v>
      </c>
      <c r="K675" s="28">
        <f>I675/J675</f>
        <v/>
      </c>
      <c r="L675" s="27" t="n">
        <v>31</v>
      </c>
      <c r="M675" t="inlineStr">
        <is>
          <t>Discharged</t>
        </is>
      </c>
    </row>
    <row r="676">
      <c r="A676" t="inlineStr">
        <is>
          <t>ED210587</t>
        </is>
      </c>
      <c r="B676" t="inlineStr">
        <is>
          <t>PT12355</t>
        </is>
      </c>
      <c r="C676" s="26" t="n">
        <v>45925.70347222222</v>
      </c>
      <c r="D676" t="inlineStr">
        <is>
          <t>Thu</t>
        </is>
      </c>
      <c r="E676" s="27" t="n">
        <v>16</v>
      </c>
      <c r="F676" t="inlineStr">
        <is>
          <t>Walk-In</t>
        </is>
      </c>
      <c r="G676" s="27" t="n">
        <v>3</v>
      </c>
      <c r="H676" t="inlineStr">
        <is>
          <t>Fever / Altered Mental Status</t>
        </is>
      </c>
      <c r="I676" t="n">
        <v>118</v>
      </c>
      <c r="J676" t="n">
        <v>102</v>
      </c>
      <c r="K676" s="28">
        <f>I676/J676</f>
        <v/>
      </c>
      <c r="L676" s="27" t="n">
        <v>52</v>
      </c>
      <c r="M676" t="inlineStr">
        <is>
          <t>Admitted</t>
        </is>
      </c>
    </row>
    <row r="677">
      <c r="A677" t="inlineStr">
        <is>
          <t>ED210588</t>
        </is>
      </c>
      <c r="B677" t="inlineStr">
        <is>
          <t>PT10471</t>
        </is>
      </c>
      <c r="C677" s="26" t="n">
        <v>45925.73194444444</v>
      </c>
      <c r="D677" t="inlineStr">
        <is>
          <t>Thu</t>
        </is>
      </c>
      <c r="E677" s="27" t="n">
        <v>17</v>
      </c>
      <c r="F677" t="inlineStr">
        <is>
          <t>Walk-In</t>
        </is>
      </c>
      <c r="G677" s="27" t="n">
        <v>3</v>
      </c>
      <c r="H677" t="inlineStr">
        <is>
          <t>Headache</t>
        </is>
      </c>
      <c r="I677" t="n">
        <v>69</v>
      </c>
      <c r="J677" t="n">
        <v>125</v>
      </c>
      <c r="K677" s="28">
        <f>I677/J677</f>
        <v/>
      </c>
      <c r="L677" s="27" t="n">
        <v>46</v>
      </c>
      <c r="M677" t="inlineStr">
        <is>
          <t>Discharged</t>
        </is>
      </c>
    </row>
    <row r="678">
      <c r="A678" t="inlineStr">
        <is>
          <t>ED210597</t>
        </is>
      </c>
      <c r="B678" t="inlineStr">
        <is>
          <t>PT12740</t>
        </is>
      </c>
      <c r="C678" s="26" t="n">
        <v>45926.60833333333</v>
      </c>
      <c r="D678" t="inlineStr">
        <is>
          <t>Fri</t>
        </is>
      </c>
      <c r="E678" s="27" t="n">
        <v>14</v>
      </c>
      <c r="F678" t="inlineStr">
        <is>
          <t>Ambulance</t>
        </is>
      </c>
      <c r="G678" s="27" t="n">
        <v>3</v>
      </c>
      <c r="H678" t="inlineStr">
        <is>
          <t>Head Injury</t>
        </is>
      </c>
      <c r="I678" t="n">
        <v>65</v>
      </c>
      <c r="J678" t="n">
        <v>117</v>
      </c>
      <c r="K678" s="28">
        <f>I678/J678</f>
        <v/>
      </c>
      <c r="L678" s="27" t="n">
        <v>38</v>
      </c>
      <c r="M678" t="inlineStr">
        <is>
          <t>Observation</t>
        </is>
      </c>
    </row>
    <row r="679">
      <c r="A679" s="29" t="inlineStr">
        <is>
          <t>ED210601</t>
        </is>
      </c>
      <c r="B679" s="29" t="inlineStr">
        <is>
          <t>PT10591</t>
        </is>
      </c>
      <c r="C679" s="30" t="n">
        <v>45926.75</v>
      </c>
      <c r="D679" s="29" t="inlineStr">
        <is>
          <t>Fri</t>
        </is>
      </c>
      <c r="E679" s="31" t="n">
        <v>18</v>
      </c>
      <c r="F679" s="29" t="inlineStr">
        <is>
          <t>Ambulance</t>
        </is>
      </c>
      <c r="G679" s="31" t="n">
        <v>2</v>
      </c>
      <c r="H679" s="29" t="inlineStr">
        <is>
          <t>Cough / Fever</t>
        </is>
      </c>
      <c r="I679" s="29" t="n">
        <v>105</v>
      </c>
      <c r="J679" s="29" t="n">
        <v>131</v>
      </c>
      <c r="K679" s="32">
        <f>I679/J679</f>
        <v/>
      </c>
      <c r="L679" s="31" t="n">
        <v>16</v>
      </c>
      <c r="M679" s="29" t="inlineStr">
        <is>
          <t>Discharged</t>
        </is>
      </c>
    </row>
    <row r="680">
      <c r="A680" t="inlineStr">
        <is>
          <t>ED210610</t>
        </is>
      </c>
      <c r="B680" t="inlineStr">
        <is>
          <t>PT11937</t>
        </is>
      </c>
      <c r="C680" s="26" t="n">
        <v>45927.49791666667</v>
      </c>
      <c r="D680" t="inlineStr">
        <is>
          <t>Sat</t>
        </is>
      </c>
      <c r="E680" s="27" t="n">
        <v>11</v>
      </c>
      <c r="F680" t="inlineStr">
        <is>
          <t>Walk-In</t>
        </is>
      </c>
      <c r="G680" s="27" t="n">
        <v>3</v>
      </c>
      <c r="H680" t="inlineStr">
        <is>
          <t>Shortness of Breath</t>
        </is>
      </c>
      <c r="I680" t="n">
        <v>79</v>
      </c>
      <c r="J680" t="n">
        <v>119</v>
      </c>
      <c r="K680" s="28">
        <f>I680/J680</f>
        <v/>
      </c>
      <c r="L680" s="27" t="n">
        <v>52</v>
      </c>
      <c r="M680" t="inlineStr">
        <is>
          <t>Observation</t>
        </is>
      </c>
    </row>
    <row r="681">
      <c r="A681" t="inlineStr">
        <is>
          <t>ED210616</t>
        </is>
      </c>
      <c r="B681" t="inlineStr">
        <is>
          <t>PT12691</t>
        </is>
      </c>
      <c r="C681" s="26" t="n">
        <v>45927.92083333333</v>
      </c>
      <c r="D681" t="inlineStr">
        <is>
          <t>Sat</t>
        </is>
      </c>
      <c r="E681" s="27" t="n">
        <v>22</v>
      </c>
      <c r="F681" t="inlineStr">
        <is>
          <t>Ambulance</t>
        </is>
      </c>
      <c r="G681" s="27" t="n">
        <v>3</v>
      </c>
      <c r="H681" t="inlineStr">
        <is>
          <t>Headache</t>
        </is>
      </c>
      <c r="I681" t="n">
        <v>62</v>
      </c>
      <c r="J681" t="n">
        <v>118</v>
      </c>
      <c r="K681" s="28">
        <f>I681/J681</f>
        <v/>
      </c>
      <c r="L681" s="27" t="n">
        <v>36</v>
      </c>
      <c r="M681" t="inlineStr">
        <is>
          <t>Discharged</t>
        </is>
      </c>
    </row>
    <row r="682">
      <c r="A682" t="inlineStr">
        <is>
          <t>ED210617</t>
        </is>
      </c>
      <c r="B682" t="inlineStr">
        <is>
          <t>PT12945</t>
        </is>
      </c>
      <c r="C682" s="26" t="n">
        <v>45927.96458333333</v>
      </c>
      <c r="D682" t="inlineStr">
        <is>
          <t>Sat</t>
        </is>
      </c>
      <c r="E682" s="27" t="n">
        <v>23</v>
      </c>
      <c r="F682" t="inlineStr">
        <is>
          <t>Ambulance</t>
        </is>
      </c>
      <c r="G682" s="27" t="n">
        <v>2</v>
      </c>
      <c r="H682" t="inlineStr">
        <is>
          <t>Shortness of Breath</t>
        </is>
      </c>
      <c r="I682" t="n">
        <v>102</v>
      </c>
      <c r="J682" t="n">
        <v>178</v>
      </c>
      <c r="K682" s="28">
        <f>I682/J682</f>
        <v/>
      </c>
      <c r="L682" s="27" t="n">
        <v>13</v>
      </c>
      <c r="M682" t="inlineStr">
        <is>
          <t>Observation</t>
        </is>
      </c>
    </row>
    <row r="683">
      <c r="A683" t="inlineStr">
        <is>
          <t>ED210624</t>
        </is>
      </c>
      <c r="B683" t="inlineStr">
        <is>
          <t>PT10844</t>
        </is>
      </c>
      <c r="C683" s="26" t="n">
        <v>45928.45972222222</v>
      </c>
      <c r="D683" t="inlineStr">
        <is>
          <t>Sun</t>
        </is>
      </c>
      <c r="E683" s="27" t="n">
        <v>11</v>
      </c>
      <c r="F683" t="inlineStr">
        <is>
          <t>Ambulance</t>
        </is>
      </c>
      <c r="G683" s="27" t="n">
        <v>3</v>
      </c>
      <c r="H683" t="inlineStr">
        <is>
          <t>Vomiting / Diarrhea</t>
        </is>
      </c>
      <c r="I683" t="n">
        <v>130</v>
      </c>
      <c r="J683" t="n">
        <v>112</v>
      </c>
      <c r="K683" s="28">
        <f>I683/J683</f>
        <v/>
      </c>
      <c r="L683" s="27" t="n">
        <v>38</v>
      </c>
      <c r="M683" t="inlineStr">
        <is>
          <t>Discharged</t>
        </is>
      </c>
    </row>
    <row r="684">
      <c r="A684" t="inlineStr">
        <is>
          <t>ED210629</t>
        </is>
      </c>
      <c r="B684" t="inlineStr">
        <is>
          <t>PT12575</t>
        </is>
      </c>
      <c r="C684" s="26" t="n">
        <v>45928.86736111111</v>
      </c>
      <c r="D684" t="inlineStr">
        <is>
          <t>Sun</t>
        </is>
      </c>
      <c r="E684" s="27" t="n">
        <v>20</v>
      </c>
      <c r="F684" t="inlineStr">
        <is>
          <t>Walk-In</t>
        </is>
      </c>
      <c r="G684" s="27" t="n">
        <v>4</v>
      </c>
      <c r="H684" t="inlineStr">
        <is>
          <t>Back Pain</t>
        </is>
      </c>
      <c r="I684" t="n">
        <v>101</v>
      </c>
      <c r="J684" t="n">
        <v>153</v>
      </c>
      <c r="K684" s="28">
        <f>I684/J684</f>
        <v/>
      </c>
      <c r="L684" s="27" t="n">
        <v>91</v>
      </c>
      <c r="M684" t="inlineStr">
        <is>
          <t>Discharged</t>
        </is>
      </c>
    </row>
    <row r="685">
      <c r="A685" s="29" t="inlineStr">
        <is>
          <t>ED210630</t>
        </is>
      </c>
      <c r="B685" s="29" t="inlineStr">
        <is>
          <t>PT10523</t>
        </is>
      </c>
      <c r="C685" s="30" t="n">
        <v>45928.92222222222</v>
      </c>
      <c r="D685" s="29" t="inlineStr">
        <is>
          <t>Sun</t>
        </is>
      </c>
      <c r="E685" s="31" t="n">
        <v>22</v>
      </c>
      <c r="F685" s="29" t="inlineStr">
        <is>
          <t>Ambulance</t>
        </is>
      </c>
      <c r="G685" s="31" t="n">
        <v>2</v>
      </c>
      <c r="H685" s="29" t="inlineStr">
        <is>
          <t>Cough / Fever</t>
        </is>
      </c>
      <c r="I685" s="29" t="n">
        <v>98</v>
      </c>
      <c r="J685" s="29" t="n">
        <v>123</v>
      </c>
      <c r="K685" s="32">
        <f>I685/J685</f>
        <v/>
      </c>
      <c r="L685" s="31" t="n">
        <v>18</v>
      </c>
      <c r="M685" s="29" t="inlineStr">
        <is>
          <t>Discharged</t>
        </is>
      </c>
    </row>
    <row r="686">
      <c r="A686" t="inlineStr">
        <is>
          <t>ED210633</t>
        </is>
      </c>
      <c r="B686" t="inlineStr">
        <is>
          <t>PT10043</t>
        </is>
      </c>
      <c r="C686" s="26" t="n">
        <v>45929.375</v>
      </c>
      <c r="D686" t="inlineStr">
        <is>
          <t>Mon</t>
        </is>
      </c>
      <c r="E686" s="27" t="n">
        <v>9</v>
      </c>
      <c r="F686" t="inlineStr">
        <is>
          <t>Walk-In</t>
        </is>
      </c>
      <c r="G686" s="27" t="n">
        <v>2</v>
      </c>
      <c r="H686" t="inlineStr">
        <is>
          <t>Shortness of Breath</t>
        </is>
      </c>
      <c r="I686" t="n">
        <v>113</v>
      </c>
      <c r="J686" t="n">
        <v>153</v>
      </c>
      <c r="K686" s="28">
        <f>I686/J686</f>
        <v/>
      </c>
      <c r="L686" s="27" t="n">
        <v>17</v>
      </c>
      <c r="M686" t="inlineStr">
        <is>
          <t>Admitted</t>
        </is>
      </c>
    </row>
    <row r="687">
      <c r="A687" t="inlineStr">
        <is>
          <t>ED210637</t>
        </is>
      </c>
      <c r="B687" t="inlineStr">
        <is>
          <t>PT12979</t>
        </is>
      </c>
      <c r="C687" s="26" t="n">
        <v>45929.49583333333</v>
      </c>
      <c r="D687" t="inlineStr">
        <is>
          <t>Mon</t>
        </is>
      </c>
      <c r="E687" s="27" t="n">
        <v>11</v>
      </c>
      <c r="F687" t="inlineStr">
        <is>
          <t>Walk-In</t>
        </is>
      </c>
      <c r="G687" s="27" t="n">
        <v>3</v>
      </c>
      <c r="H687" t="inlineStr">
        <is>
          <t>Back Pain</t>
        </is>
      </c>
      <c r="I687" t="n">
        <v>78</v>
      </c>
      <c r="J687" t="n">
        <v>136</v>
      </c>
      <c r="K687" s="28">
        <f>I687/J687</f>
        <v/>
      </c>
      <c r="L687" s="27" t="n">
        <v>79</v>
      </c>
      <c r="M687" t="inlineStr">
        <is>
          <t>Discharged</t>
        </is>
      </c>
    </row>
    <row r="688">
      <c r="A688" t="inlineStr">
        <is>
          <t>ED210640</t>
        </is>
      </c>
      <c r="B688" t="inlineStr">
        <is>
          <t>PT11655</t>
        </is>
      </c>
      <c r="C688" s="26" t="n">
        <v>45929.79166666666</v>
      </c>
      <c r="D688" t="inlineStr">
        <is>
          <t>Mon</t>
        </is>
      </c>
      <c r="E688" s="27" t="n">
        <v>19</v>
      </c>
      <c r="F688" t="inlineStr">
        <is>
          <t>Ambulance</t>
        </is>
      </c>
      <c r="G688" s="27" t="n">
        <v>3</v>
      </c>
      <c r="H688" t="inlineStr">
        <is>
          <t>Vomiting / Dizziness</t>
        </is>
      </c>
      <c r="I688" t="n">
        <v>93</v>
      </c>
      <c r="J688" t="n">
        <v>112</v>
      </c>
      <c r="K688" s="28">
        <f>I688/J688</f>
        <v/>
      </c>
      <c r="L688" s="27" t="n">
        <v>45</v>
      </c>
      <c r="M688" t="inlineStr">
        <is>
          <t>Discharged</t>
        </is>
      </c>
    </row>
    <row r="689">
      <c r="A689" t="inlineStr">
        <is>
          <t>ED210641</t>
        </is>
      </c>
      <c r="B689" t="inlineStr">
        <is>
          <t>PT10662</t>
        </is>
      </c>
      <c r="C689" s="26" t="n">
        <v>45929.79166666666</v>
      </c>
      <c r="D689" t="inlineStr">
        <is>
          <t>Mon</t>
        </is>
      </c>
      <c r="E689" s="27" t="n">
        <v>19</v>
      </c>
      <c r="F689" t="inlineStr">
        <is>
          <t>Walk-In</t>
        </is>
      </c>
      <c r="G689" s="27" t="n">
        <v>3</v>
      </c>
      <c r="H689" t="inlineStr">
        <is>
          <t>Palpitations</t>
        </is>
      </c>
      <c r="I689" t="n">
        <v>119</v>
      </c>
      <c r="J689" t="n">
        <v>109</v>
      </c>
      <c r="K689" s="28">
        <f>I689/J689</f>
        <v/>
      </c>
      <c r="L689" s="27" t="n">
        <v>27</v>
      </c>
      <c r="M689" t="inlineStr">
        <is>
          <t>Admitted</t>
        </is>
      </c>
    </row>
    <row r="690">
      <c r="A690" t="inlineStr">
        <is>
          <t>ED210645</t>
        </is>
      </c>
      <c r="B690" t="inlineStr">
        <is>
          <t>PT10101</t>
        </is>
      </c>
      <c r="C690" s="26" t="n">
        <v>45929.95902777778</v>
      </c>
      <c r="D690" t="inlineStr">
        <is>
          <t>Mon</t>
        </is>
      </c>
      <c r="E690" s="27" t="n">
        <v>23</v>
      </c>
      <c r="F690" t="inlineStr">
        <is>
          <t>Walk-In</t>
        </is>
      </c>
      <c r="G690" s="27" t="n">
        <v>4</v>
      </c>
      <c r="H690" t="inlineStr">
        <is>
          <t>Cough / Fever</t>
        </is>
      </c>
      <c r="I690" t="n">
        <v>89</v>
      </c>
      <c r="J690" t="n">
        <v>124</v>
      </c>
      <c r="K690" s="28">
        <f>I690/J690</f>
        <v/>
      </c>
      <c r="L690" s="27" t="n">
        <v>45</v>
      </c>
      <c r="M690" t="inlineStr">
        <is>
          <t>Discharged</t>
        </is>
      </c>
    </row>
    <row r="691">
      <c r="A691" s="29" t="inlineStr">
        <is>
          <t>ED210646</t>
        </is>
      </c>
      <c r="B691" s="29" t="inlineStr">
        <is>
          <t>PT12917</t>
        </is>
      </c>
      <c r="C691" s="30" t="n">
        <v>45930.00555555556</v>
      </c>
      <c r="D691" s="29" t="inlineStr">
        <is>
          <t>Tue</t>
        </is>
      </c>
      <c r="E691" s="31" t="n">
        <v>0</v>
      </c>
      <c r="F691" s="29" t="inlineStr">
        <is>
          <t>Walk-In</t>
        </is>
      </c>
      <c r="G691" s="31" t="n">
        <v>3</v>
      </c>
      <c r="H691" s="29" t="inlineStr">
        <is>
          <t>Cough / Fever</t>
        </is>
      </c>
      <c r="I691" s="29" t="n">
        <v>118</v>
      </c>
      <c r="J691" s="29" t="n">
        <v>135</v>
      </c>
      <c r="K691" s="32">
        <f>I691/J691</f>
        <v/>
      </c>
      <c r="L691" s="31" t="n">
        <v>96</v>
      </c>
      <c r="M691" s="29" t="inlineStr">
        <is>
          <t>Admitted</t>
        </is>
      </c>
    </row>
    <row r="692">
      <c r="A692" t="inlineStr">
        <is>
          <t>ED210656</t>
        </is>
      </c>
      <c r="B692" t="inlineStr">
        <is>
          <t>PT11529</t>
        </is>
      </c>
      <c r="C692" s="26" t="n">
        <v>45930.76805555556</v>
      </c>
      <c r="D692" t="inlineStr">
        <is>
          <t>Tue</t>
        </is>
      </c>
      <c r="E692" s="27" t="n">
        <v>18</v>
      </c>
      <c r="F692" t="inlineStr">
        <is>
          <t>Walk-In</t>
        </is>
      </c>
      <c r="G692" s="27" t="n">
        <v>2</v>
      </c>
      <c r="H692" t="inlineStr">
        <is>
          <t>Head Injury</t>
        </is>
      </c>
      <c r="I692" t="n">
        <v>81</v>
      </c>
      <c r="J692" t="n">
        <v>137</v>
      </c>
      <c r="K692" s="28">
        <f>I692/J692</f>
        <v/>
      </c>
      <c r="L692" s="27" t="n">
        <v>11</v>
      </c>
      <c r="M692" t="inlineStr">
        <is>
          <t>Discharged</t>
        </is>
      </c>
    </row>
    <row r="693">
      <c r="A693" t="inlineStr">
        <is>
          <t>ED210669</t>
        </is>
      </c>
      <c r="B693" t="inlineStr">
        <is>
          <t>PT10933</t>
        </is>
      </c>
      <c r="C693" s="26" t="n">
        <v>45931.42777777778</v>
      </c>
      <c r="D693" t="inlineStr">
        <is>
          <t>Wed</t>
        </is>
      </c>
      <c r="E693" s="27" t="n">
        <v>10</v>
      </c>
      <c r="F693" t="inlineStr">
        <is>
          <t>Walk-In</t>
        </is>
      </c>
      <c r="G693" s="27" t="n">
        <v>4</v>
      </c>
      <c r="H693" t="inlineStr">
        <is>
          <t>Cough / Fever</t>
        </is>
      </c>
      <c r="I693" t="n">
        <v>92</v>
      </c>
      <c r="J693" t="n">
        <v>132</v>
      </c>
      <c r="K693" s="28">
        <f>I693/J693</f>
        <v/>
      </c>
      <c r="L693" s="27" t="n">
        <v>48</v>
      </c>
      <c r="M693" t="inlineStr">
        <is>
          <t>Discharged</t>
        </is>
      </c>
    </row>
    <row r="694">
      <c r="A694" t="inlineStr">
        <is>
          <t>ED210674</t>
        </is>
      </c>
      <c r="B694" t="inlineStr">
        <is>
          <t>PT12469</t>
        </is>
      </c>
      <c r="C694" s="26" t="n">
        <v>45931.59652777778</v>
      </c>
      <c r="D694" t="inlineStr">
        <is>
          <t>Wed</t>
        </is>
      </c>
      <c r="E694" s="27" t="n">
        <v>14</v>
      </c>
      <c r="F694" t="inlineStr">
        <is>
          <t>Walk-In</t>
        </is>
      </c>
      <c r="G694" s="27" t="n">
        <v>3</v>
      </c>
      <c r="H694" t="inlineStr">
        <is>
          <t>Shortness of Breath</t>
        </is>
      </c>
      <c r="I694" t="n">
        <v>66</v>
      </c>
      <c r="J694" t="n">
        <v>137</v>
      </c>
      <c r="K694" s="28">
        <f>I694/J694</f>
        <v/>
      </c>
      <c r="L694" s="27" t="n">
        <v>29</v>
      </c>
      <c r="M694" t="inlineStr">
        <is>
          <t>Discharged</t>
        </is>
      </c>
    </row>
    <row r="695">
      <c r="A695" t="inlineStr">
        <is>
          <t>ED210676</t>
        </is>
      </c>
      <c r="B695" t="inlineStr">
        <is>
          <t>PT13233</t>
        </is>
      </c>
      <c r="C695" s="26" t="n">
        <v>45931.76736111111</v>
      </c>
      <c r="D695" t="inlineStr">
        <is>
          <t>Wed</t>
        </is>
      </c>
      <c r="E695" s="27" t="n">
        <v>18</v>
      </c>
      <c r="F695" t="inlineStr">
        <is>
          <t>Ambulance</t>
        </is>
      </c>
      <c r="G695" s="27" t="n">
        <v>3</v>
      </c>
      <c r="H695" t="inlineStr">
        <is>
          <t>Abdominal Pain</t>
        </is>
      </c>
      <c r="I695" t="n">
        <v>65</v>
      </c>
      <c r="J695" t="n">
        <v>113</v>
      </c>
      <c r="K695" s="28">
        <f>I695/J695</f>
        <v/>
      </c>
      <c r="L695" s="27" t="n">
        <v>12</v>
      </c>
      <c r="M695" t="inlineStr">
        <is>
          <t>Discharged</t>
        </is>
      </c>
    </row>
    <row r="696">
      <c r="A696" t="inlineStr">
        <is>
          <t>ED210684</t>
        </is>
      </c>
      <c r="B696" t="inlineStr">
        <is>
          <t>PT11941</t>
        </is>
      </c>
      <c r="C696" s="26" t="n">
        <v>45932.45138888889</v>
      </c>
      <c r="D696" t="inlineStr">
        <is>
          <t>Thu</t>
        </is>
      </c>
      <c r="E696" s="27" t="n">
        <v>10</v>
      </c>
      <c r="F696" t="inlineStr">
        <is>
          <t>Walk-In</t>
        </is>
      </c>
      <c r="G696" s="27" t="n">
        <v>3</v>
      </c>
      <c r="H696" t="inlineStr">
        <is>
          <t>Head Injury</t>
        </is>
      </c>
      <c r="I696" t="n">
        <v>86</v>
      </c>
      <c r="J696" t="n">
        <v>128</v>
      </c>
      <c r="K696" s="28">
        <f>I696/J696</f>
        <v/>
      </c>
      <c r="L696" s="27" t="n">
        <v>117</v>
      </c>
      <c r="M696" t="inlineStr">
        <is>
          <t>Discharged</t>
        </is>
      </c>
    </row>
    <row r="697">
      <c r="A697" t="inlineStr">
        <is>
          <t>ED210687</t>
        </is>
      </c>
      <c r="B697" t="inlineStr">
        <is>
          <t>PT12703</t>
        </is>
      </c>
      <c r="C697" s="26" t="n">
        <v>45932.63125</v>
      </c>
      <c r="D697" t="inlineStr">
        <is>
          <t>Thu</t>
        </is>
      </c>
      <c r="E697" s="27" t="n">
        <v>15</v>
      </c>
      <c r="F697" t="inlineStr">
        <is>
          <t>Walk-In</t>
        </is>
      </c>
      <c r="G697" s="27" t="n">
        <v>4</v>
      </c>
      <c r="H697" t="inlineStr">
        <is>
          <t>Cough / Fever</t>
        </is>
      </c>
      <c r="I697" t="n">
        <v>77</v>
      </c>
      <c r="J697" t="n">
        <v>98</v>
      </c>
      <c r="K697" s="28">
        <f>I697/J697</f>
        <v/>
      </c>
      <c r="L697" s="27" t="n">
        <v>37</v>
      </c>
      <c r="M697" t="inlineStr">
        <is>
          <t>Discharged</t>
        </is>
      </c>
    </row>
    <row r="698">
      <c r="A698" t="inlineStr">
        <is>
          <t>ED210690</t>
        </is>
      </c>
      <c r="B698" t="inlineStr">
        <is>
          <t>PT10171</t>
        </is>
      </c>
      <c r="C698" s="26" t="n">
        <v>45932.78472222222</v>
      </c>
      <c r="D698" t="inlineStr">
        <is>
          <t>Thu</t>
        </is>
      </c>
      <c r="E698" s="27" t="n">
        <v>18</v>
      </c>
      <c r="F698" t="inlineStr">
        <is>
          <t>Walk-In</t>
        </is>
      </c>
      <c r="G698" s="27" t="n">
        <v>4</v>
      </c>
      <c r="H698" t="inlineStr">
        <is>
          <t>Ankle Injury</t>
        </is>
      </c>
      <c r="I698" t="n">
        <v>83</v>
      </c>
      <c r="J698" t="n">
        <v>115</v>
      </c>
      <c r="K698" s="28">
        <f>I698/J698</f>
        <v/>
      </c>
      <c r="L698" s="27" t="n">
        <v>67</v>
      </c>
      <c r="M698" t="inlineStr">
        <is>
          <t>Discharged</t>
        </is>
      </c>
    </row>
    <row r="699">
      <c r="A699" t="inlineStr">
        <is>
          <t>ED210697</t>
        </is>
      </c>
      <c r="B699" t="inlineStr">
        <is>
          <t>PT12910</t>
        </is>
      </c>
      <c r="C699" s="26" t="n">
        <v>45933.30763888889</v>
      </c>
      <c r="D699" t="inlineStr">
        <is>
          <t>Fri</t>
        </is>
      </c>
      <c r="E699" s="27" t="n">
        <v>7</v>
      </c>
      <c r="F699" t="inlineStr">
        <is>
          <t>Walk-In</t>
        </is>
      </c>
      <c r="G699" s="27" t="n">
        <v>3</v>
      </c>
      <c r="H699" t="inlineStr">
        <is>
          <t>Weakness / Fatigue</t>
        </is>
      </c>
      <c r="I699" t="n">
        <v>61</v>
      </c>
      <c r="J699" t="n">
        <v>113</v>
      </c>
      <c r="K699" s="28">
        <f>I699/J699</f>
        <v/>
      </c>
      <c r="L699" s="27" t="n">
        <v>67</v>
      </c>
      <c r="M699" t="inlineStr">
        <is>
          <t>Admitted</t>
        </is>
      </c>
    </row>
    <row r="700">
      <c r="A700" t="inlineStr">
        <is>
          <t>ED210699</t>
        </is>
      </c>
      <c r="B700" t="inlineStr">
        <is>
          <t>PT12229</t>
        </is>
      </c>
      <c r="C700" s="26" t="n">
        <v>45933.39236111111</v>
      </c>
      <c r="D700" t="inlineStr">
        <is>
          <t>Fri</t>
        </is>
      </c>
      <c r="E700" s="27" t="n">
        <v>9</v>
      </c>
      <c r="F700" t="inlineStr">
        <is>
          <t>Walk-In</t>
        </is>
      </c>
      <c r="G700" s="27" t="n">
        <v>5</v>
      </c>
      <c r="H700" t="inlineStr">
        <is>
          <t>Ankle Injury</t>
        </is>
      </c>
      <c r="I700" t="n">
        <v>72</v>
      </c>
      <c r="J700" t="n">
        <v>146</v>
      </c>
      <c r="K700" s="28">
        <f>I700/J700</f>
        <v/>
      </c>
      <c r="L700" s="27" t="n">
        <v>23</v>
      </c>
      <c r="M700" t="inlineStr">
        <is>
          <t>Discharged</t>
        </is>
      </c>
    </row>
    <row r="701">
      <c r="A701" t="inlineStr">
        <is>
          <t>ED210701</t>
        </is>
      </c>
      <c r="B701" t="inlineStr">
        <is>
          <t>PT13672</t>
        </is>
      </c>
      <c r="C701" s="26" t="n">
        <v>45933.49236111111</v>
      </c>
      <c r="D701" t="inlineStr">
        <is>
          <t>Fri</t>
        </is>
      </c>
      <c r="E701" s="27" t="n">
        <v>11</v>
      </c>
      <c r="F701" t="inlineStr">
        <is>
          <t>Walk-In</t>
        </is>
      </c>
      <c r="G701" s="27" t="n">
        <v>2</v>
      </c>
      <c r="H701" t="inlineStr">
        <is>
          <t>Chest Pain</t>
        </is>
      </c>
      <c r="I701" t="n">
        <v>50</v>
      </c>
      <c r="J701" t="n">
        <v>108</v>
      </c>
      <c r="K701" s="28">
        <f>I701/J701</f>
        <v/>
      </c>
      <c r="L701" s="27" t="n">
        <v>47</v>
      </c>
      <c r="M701" t="inlineStr">
        <is>
          <t>Discharged</t>
        </is>
      </c>
    </row>
    <row r="702">
      <c r="A702" t="inlineStr">
        <is>
          <t>ED210711</t>
        </is>
      </c>
      <c r="B702" t="inlineStr">
        <is>
          <t>PT13745</t>
        </is>
      </c>
      <c r="C702" s="26" t="n">
        <v>45933.98055555556</v>
      </c>
      <c r="D702" t="inlineStr">
        <is>
          <t>Fri</t>
        </is>
      </c>
      <c r="E702" s="27" t="n">
        <v>23</v>
      </c>
      <c r="F702" t="inlineStr">
        <is>
          <t>Walk-In</t>
        </is>
      </c>
      <c r="G702" s="27" t="n">
        <v>3</v>
      </c>
      <c r="H702" t="inlineStr">
        <is>
          <t>Painful Urination / Fever</t>
        </is>
      </c>
      <c r="I702" t="n">
        <v>82</v>
      </c>
      <c r="J702" t="n">
        <v>152</v>
      </c>
      <c r="K702" s="28">
        <f>I702/J702</f>
        <v/>
      </c>
      <c r="L702" s="27" t="n">
        <v>35</v>
      </c>
      <c r="M702" t="inlineStr">
        <is>
          <t>Discharged</t>
        </is>
      </c>
    </row>
    <row r="703">
      <c r="A703" t="inlineStr">
        <is>
          <t>ED210718</t>
        </is>
      </c>
      <c r="B703" t="inlineStr">
        <is>
          <t>PT12485</t>
        </is>
      </c>
      <c r="C703" s="26" t="n">
        <v>45934.41458333333</v>
      </c>
      <c r="D703" t="inlineStr">
        <is>
          <t>Sat</t>
        </is>
      </c>
      <c r="E703" s="27" t="n">
        <v>9</v>
      </c>
      <c r="F703" t="inlineStr">
        <is>
          <t>Walk-In</t>
        </is>
      </c>
      <c r="G703" s="27" t="n">
        <v>3</v>
      </c>
      <c r="H703" t="inlineStr">
        <is>
          <t>Tremors / Alcohol Withdrawal</t>
        </is>
      </c>
      <c r="I703" t="n">
        <v>82</v>
      </c>
      <c r="J703" t="n">
        <v>119</v>
      </c>
      <c r="K703" s="28">
        <f>I703/J703</f>
        <v/>
      </c>
      <c r="L703" s="27" t="n">
        <v>60</v>
      </c>
      <c r="M703" t="inlineStr">
        <is>
          <t>Discharged</t>
        </is>
      </c>
    </row>
    <row r="704">
      <c r="A704" t="inlineStr">
        <is>
          <t>ED210729</t>
        </is>
      </c>
      <c r="B704" t="inlineStr">
        <is>
          <t>PT13988</t>
        </is>
      </c>
      <c r="C704" s="26" t="n">
        <v>45934.82916666667</v>
      </c>
      <c r="D704" t="inlineStr">
        <is>
          <t>Sat</t>
        </is>
      </c>
      <c r="E704" s="27" t="n">
        <v>19</v>
      </c>
      <c r="F704" t="inlineStr">
        <is>
          <t>Walk-In</t>
        </is>
      </c>
      <c r="G704" s="27" t="n">
        <v>3</v>
      </c>
      <c r="H704" t="inlineStr">
        <is>
          <t>Dizziness</t>
        </is>
      </c>
      <c r="I704" t="n">
        <v>87</v>
      </c>
      <c r="J704" t="n">
        <v>108</v>
      </c>
      <c r="K704" s="28">
        <f>I704/J704</f>
        <v/>
      </c>
      <c r="L704" s="27" t="n">
        <v>18</v>
      </c>
      <c r="M704" t="inlineStr">
        <is>
          <t>Admitted</t>
        </is>
      </c>
    </row>
    <row r="705">
      <c r="A705" t="inlineStr">
        <is>
          <t>ED210735</t>
        </is>
      </c>
      <c r="B705" t="inlineStr">
        <is>
          <t>PT13806</t>
        </is>
      </c>
      <c r="C705" s="26" t="n">
        <v>45935.52708333333</v>
      </c>
      <c r="D705" t="inlineStr">
        <is>
          <t>Sun</t>
        </is>
      </c>
      <c r="E705" s="27" t="n">
        <v>12</v>
      </c>
      <c r="F705" t="inlineStr">
        <is>
          <t>Walk-In</t>
        </is>
      </c>
      <c r="G705" s="27" t="n">
        <v>4</v>
      </c>
      <c r="H705" t="inlineStr">
        <is>
          <t>Fall</t>
        </is>
      </c>
      <c r="I705" t="n">
        <v>89</v>
      </c>
      <c r="J705" t="n">
        <v>156</v>
      </c>
      <c r="K705" s="28">
        <f>I705/J705</f>
        <v/>
      </c>
      <c r="L705" s="27" t="n">
        <v>64</v>
      </c>
      <c r="M705" t="inlineStr">
        <is>
          <t>Discharged</t>
        </is>
      </c>
    </row>
    <row r="706">
      <c r="A706" t="inlineStr">
        <is>
          <t>ED210740</t>
        </is>
      </c>
      <c r="B706" t="inlineStr">
        <is>
          <t>PT11910</t>
        </is>
      </c>
      <c r="C706" s="26" t="n">
        <v>45935.71180555555</v>
      </c>
      <c r="D706" t="inlineStr">
        <is>
          <t>Sun</t>
        </is>
      </c>
      <c r="E706" s="27" t="n">
        <v>17</v>
      </c>
      <c r="F706" t="inlineStr">
        <is>
          <t>Walk-In</t>
        </is>
      </c>
      <c r="G706" s="27" t="n">
        <v>4</v>
      </c>
      <c r="H706" t="inlineStr">
        <is>
          <t>Abdominal Pain</t>
        </is>
      </c>
      <c r="I706" t="n">
        <v>69</v>
      </c>
      <c r="J706" t="n">
        <v>105</v>
      </c>
      <c r="K706" s="28">
        <f>I706/J706</f>
        <v/>
      </c>
      <c r="L706" s="27" t="n">
        <v>68</v>
      </c>
      <c r="M706" t="inlineStr">
        <is>
          <t>Discharged</t>
        </is>
      </c>
    </row>
    <row r="707">
      <c r="A707" t="inlineStr">
        <is>
          <t>ED210742</t>
        </is>
      </c>
      <c r="B707" t="inlineStr">
        <is>
          <t>PT11373</t>
        </is>
      </c>
      <c r="C707" s="26" t="n">
        <v>45935.75972222222</v>
      </c>
      <c r="D707" t="inlineStr">
        <is>
          <t>Sun</t>
        </is>
      </c>
      <c r="E707" s="27" t="n">
        <v>18</v>
      </c>
      <c r="F707" t="inlineStr">
        <is>
          <t>Walk-In</t>
        </is>
      </c>
      <c r="G707" s="27" t="n">
        <v>3</v>
      </c>
      <c r="H707" t="inlineStr">
        <is>
          <t>Abdominal Pain</t>
        </is>
      </c>
      <c r="I707" t="n">
        <v>86</v>
      </c>
      <c r="J707" t="n">
        <v>137</v>
      </c>
      <c r="K707" s="28">
        <f>I707/J707</f>
        <v/>
      </c>
      <c r="L707" s="27" t="n">
        <v>18</v>
      </c>
      <c r="M707" t="inlineStr">
        <is>
          <t>Discharged</t>
        </is>
      </c>
    </row>
    <row r="708">
      <c r="A708" t="inlineStr">
        <is>
          <t>ED210743</t>
        </is>
      </c>
      <c r="B708" t="inlineStr">
        <is>
          <t>PT10998</t>
        </is>
      </c>
      <c r="C708" s="26" t="n">
        <v>45935.78402777778</v>
      </c>
      <c r="D708" t="inlineStr">
        <is>
          <t>Sun</t>
        </is>
      </c>
      <c r="E708" s="27" t="n">
        <v>18</v>
      </c>
      <c r="F708" t="inlineStr">
        <is>
          <t>Walk-In</t>
        </is>
      </c>
      <c r="G708" s="27" t="n">
        <v>3</v>
      </c>
      <c r="H708" t="inlineStr">
        <is>
          <t>Painful Urination / Fever</t>
        </is>
      </c>
      <c r="I708" t="n">
        <v>84</v>
      </c>
      <c r="J708" t="n">
        <v>130</v>
      </c>
      <c r="K708" s="28">
        <f>I708/J708</f>
        <v/>
      </c>
      <c r="L708" s="27" t="n">
        <v>28</v>
      </c>
      <c r="M708" t="inlineStr">
        <is>
          <t>Observation</t>
        </is>
      </c>
    </row>
    <row r="709">
      <c r="A709" t="inlineStr">
        <is>
          <t>ED210747</t>
        </is>
      </c>
      <c r="B709" t="inlineStr">
        <is>
          <t>PT10606</t>
        </is>
      </c>
      <c r="C709" s="26" t="n">
        <v>45936.36666666667</v>
      </c>
      <c r="D709" t="inlineStr">
        <is>
          <t>Mon</t>
        </is>
      </c>
      <c r="E709" s="27" t="n">
        <v>8</v>
      </c>
      <c r="F709" t="inlineStr">
        <is>
          <t>Walk-In</t>
        </is>
      </c>
      <c r="G709" s="27" t="n">
        <v>2</v>
      </c>
      <c r="H709" t="inlineStr">
        <is>
          <t>Shortness of Breath</t>
        </is>
      </c>
      <c r="I709" t="n">
        <v>95</v>
      </c>
      <c r="J709" t="n">
        <v>128</v>
      </c>
      <c r="K709" s="28">
        <f>I709/J709</f>
        <v/>
      </c>
      <c r="L709" s="27" t="n">
        <v>12</v>
      </c>
      <c r="M709" t="inlineStr">
        <is>
          <t>Admitted</t>
        </is>
      </c>
    </row>
    <row r="710">
      <c r="A710" t="inlineStr">
        <is>
          <t>ED210751</t>
        </is>
      </c>
      <c r="B710" t="inlineStr">
        <is>
          <t>PT13215</t>
        </is>
      </c>
      <c r="C710" s="26" t="n">
        <v>45936.47222222222</v>
      </c>
      <c r="D710" t="inlineStr">
        <is>
          <t>Mon</t>
        </is>
      </c>
      <c r="E710" s="27" t="n">
        <v>11</v>
      </c>
      <c r="F710" t="inlineStr">
        <is>
          <t>Walk-In</t>
        </is>
      </c>
      <c r="G710" s="27" t="n">
        <v>3</v>
      </c>
      <c r="H710" t="inlineStr">
        <is>
          <t>Abdominal Pain</t>
        </is>
      </c>
      <c r="I710" t="n">
        <v>99</v>
      </c>
      <c r="J710" t="n">
        <v>188</v>
      </c>
      <c r="K710" s="28">
        <f>I710/J710</f>
        <v/>
      </c>
      <c r="L710" s="27" t="n">
        <v>38</v>
      </c>
      <c r="M710" t="inlineStr">
        <is>
          <t>Discharged</t>
        </is>
      </c>
    </row>
    <row r="711">
      <c r="A711" t="inlineStr">
        <is>
          <t>ED210755</t>
        </is>
      </c>
      <c r="B711" t="inlineStr">
        <is>
          <t>PT11143</t>
        </is>
      </c>
      <c r="C711" s="26" t="n">
        <v>45936.53888888889</v>
      </c>
      <c r="D711" t="inlineStr">
        <is>
          <t>Mon</t>
        </is>
      </c>
      <c r="E711" s="27" t="n">
        <v>12</v>
      </c>
      <c r="F711" t="inlineStr">
        <is>
          <t>Ambulance</t>
        </is>
      </c>
      <c r="G711" s="27" t="n">
        <v>2</v>
      </c>
      <c r="H711" t="inlineStr">
        <is>
          <t>Fall / Hip Pain</t>
        </is>
      </c>
      <c r="I711" t="n">
        <v>72</v>
      </c>
      <c r="J711" t="n">
        <v>125</v>
      </c>
      <c r="K711" s="28">
        <f>I711/J711</f>
        <v/>
      </c>
      <c r="L711" s="27" t="n">
        <v>10</v>
      </c>
      <c r="M711" t="inlineStr">
        <is>
          <t>Admitted</t>
        </is>
      </c>
    </row>
    <row r="712">
      <c r="A712" t="inlineStr">
        <is>
          <t>ED210772</t>
        </is>
      </c>
      <c r="B712" t="inlineStr">
        <is>
          <t>PT10933</t>
        </is>
      </c>
      <c r="C712" s="26" t="n">
        <v>45937.47916666666</v>
      </c>
      <c r="D712" t="inlineStr">
        <is>
          <t>Tue</t>
        </is>
      </c>
      <c r="E712" s="27" t="n">
        <v>11</v>
      </c>
      <c r="F712" t="inlineStr">
        <is>
          <t>Ambulance</t>
        </is>
      </c>
      <c r="G712" s="27" t="n">
        <v>3</v>
      </c>
      <c r="H712" t="inlineStr">
        <is>
          <t>Abdominal Pain</t>
        </is>
      </c>
      <c r="I712" t="n">
        <v>81</v>
      </c>
      <c r="J712" t="n">
        <v>139</v>
      </c>
      <c r="K712" s="28">
        <f>I712/J712</f>
        <v/>
      </c>
      <c r="L712" s="27" t="n">
        <v>47</v>
      </c>
      <c r="M712" t="inlineStr">
        <is>
          <t>Discharged</t>
        </is>
      </c>
    </row>
    <row r="713">
      <c r="A713" t="inlineStr">
        <is>
          <t>ED210773</t>
        </is>
      </c>
      <c r="B713" t="inlineStr">
        <is>
          <t>PT13249</t>
        </is>
      </c>
      <c r="C713" s="26" t="n">
        <v>45937.56319444445</v>
      </c>
      <c r="D713" t="inlineStr">
        <is>
          <t>Tue</t>
        </is>
      </c>
      <c r="E713" s="27" t="n">
        <v>13</v>
      </c>
      <c r="F713" t="inlineStr">
        <is>
          <t>Walk-In</t>
        </is>
      </c>
      <c r="G713" s="27" t="n">
        <v>3</v>
      </c>
      <c r="H713" t="inlineStr">
        <is>
          <t>Dizziness</t>
        </is>
      </c>
      <c r="I713" t="n">
        <v>126</v>
      </c>
      <c r="J713" t="n">
        <v>157</v>
      </c>
      <c r="K713" s="28">
        <f>I713/J713</f>
        <v/>
      </c>
      <c r="L713" s="27" t="n">
        <v>59</v>
      </c>
      <c r="M713" t="inlineStr">
        <is>
          <t>Discharged</t>
        </is>
      </c>
    </row>
    <row r="714">
      <c r="A714" t="inlineStr">
        <is>
          <t>ED210774</t>
        </is>
      </c>
      <c r="B714" t="inlineStr">
        <is>
          <t>PT12041</t>
        </is>
      </c>
      <c r="C714" s="26" t="n">
        <v>45937.59166666667</v>
      </c>
      <c r="D714" t="inlineStr">
        <is>
          <t>Tue</t>
        </is>
      </c>
      <c r="E714" s="27" t="n">
        <v>14</v>
      </c>
      <c r="F714" t="inlineStr">
        <is>
          <t>Walk-In</t>
        </is>
      </c>
      <c r="G714" s="27" t="n">
        <v>3</v>
      </c>
      <c r="H714" t="inlineStr">
        <is>
          <t>High Blood Sugar</t>
        </is>
      </c>
      <c r="I714" t="n">
        <v>76</v>
      </c>
      <c r="J714" t="n">
        <v>140</v>
      </c>
      <c r="K714" s="28">
        <f>I714/J714</f>
        <v/>
      </c>
      <c r="L714" s="27" t="n">
        <v>85</v>
      </c>
      <c r="M714" t="inlineStr">
        <is>
          <t>Admitted</t>
        </is>
      </c>
    </row>
    <row r="715">
      <c r="A715" t="inlineStr">
        <is>
          <t>ED210785</t>
        </is>
      </c>
      <c r="B715" t="inlineStr">
        <is>
          <t>PT12867</t>
        </is>
      </c>
      <c r="C715" s="26" t="n">
        <v>45938.29444444444</v>
      </c>
      <c r="D715" t="inlineStr">
        <is>
          <t>Wed</t>
        </is>
      </c>
      <c r="E715" s="27" t="n">
        <v>7</v>
      </c>
      <c r="F715" t="inlineStr">
        <is>
          <t>Walk-In</t>
        </is>
      </c>
      <c r="G715" s="27" t="n">
        <v>3</v>
      </c>
      <c r="H715" t="inlineStr">
        <is>
          <t>High Blood Sugar</t>
        </is>
      </c>
      <c r="I715" t="n">
        <v>72</v>
      </c>
      <c r="J715" t="n">
        <v>167</v>
      </c>
      <c r="K715" s="28">
        <f>I715/J715</f>
        <v/>
      </c>
      <c r="L715" s="27" t="n">
        <v>59</v>
      </c>
      <c r="M715" t="inlineStr">
        <is>
          <t>Admitted</t>
        </is>
      </c>
    </row>
    <row r="716">
      <c r="A716" t="inlineStr">
        <is>
          <t>ED210790</t>
        </is>
      </c>
      <c r="B716" t="inlineStr">
        <is>
          <t>PT12998</t>
        </is>
      </c>
      <c r="C716" s="26" t="n">
        <v>45938.57569444444</v>
      </c>
      <c r="D716" t="inlineStr">
        <is>
          <t>Wed</t>
        </is>
      </c>
      <c r="E716" s="27" t="n">
        <v>13</v>
      </c>
      <c r="F716" t="inlineStr">
        <is>
          <t>Walk-In</t>
        </is>
      </c>
      <c r="G716" s="27" t="n">
        <v>3</v>
      </c>
      <c r="H716" t="inlineStr">
        <is>
          <t>Headache</t>
        </is>
      </c>
      <c r="I716" t="n">
        <v>89</v>
      </c>
      <c r="J716" t="n">
        <v>140</v>
      </c>
      <c r="K716" s="28">
        <f>I716/J716</f>
        <v/>
      </c>
      <c r="L716" s="27" t="n">
        <v>153</v>
      </c>
      <c r="M716" t="inlineStr">
        <is>
          <t>Discharged</t>
        </is>
      </c>
    </row>
    <row r="717">
      <c r="A717" t="inlineStr">
        <is>
          <t>ED210792</t>
        </is>
      </c>
      <c r="B717" t="inlineStr">
        <is>
          <t>PT12609</t>
        </is>
      </c>
      <c r="C717" s="26" t="n">
        <v>45938.63125</v>
      </c>
      <c r="D717" t="inlineStr">
        <is>
          <t>Wed</t>
        </is>
      </c>
      <c r="E717" s="27" t="n">
        <v>15</v>
      </c>
      <c r="F717" t="inlineStr">
        <is>
          <t>Walk-In</t>
        </is>
      </c>
      <c r="G717" s="27" t="n">
        <v>4</v>
      </c>
      <c r="H717" t="inlineStr">
        <is>
          <t>Cough / Fever</t>
        </is>
      </c>
      <c r="I717" t="n">
        <v>84</v>
      </c>
      <c r="J717" t="n">
        <v>136</v>
      </c>
      <c r="K717" s="28">
        <f>I717/J717</f>
        <v/>
      </c>
      <c r="L717" s="27" t="n">
        <v>64</v>
      </c>
      <c r="M717" t="inlineStr">
        <is>
          <t>Discharged</t>
        </is>
      </c>
    </row>
    <row r="718">
      <c r="A718" t="inlineStr">
        <is>
          <t>ED210803</t>
        </is>
      </c>
      <c r="B718" t="inlineStr">
        <is>
          <t>PT12687</t>
        </is>
      </c>
      <c r="C718" s="26" t="n">
        <v>45939.12708333333</v>
      </c>
      <c r="D718" t="inlineStr">
        <is>
          <t>Thu</t>
        </is>
      </c>
      <c r="E718" s="27" t="n">
        <v>3</v>
      </c>
      <c r="F718" t="inlineStr">
        <is>
          <t>Walk-In</t>
        </is>
      </c>
      <c r="G718" s="27" t="n">
        <v>2</v>
      </c>
      <c r="H718" t="inlineStr">
        <is>
          <t>Shortness of Breath</t>
        </is>
      </c>
      <c r="I718" t="n">
        <v>78</v>
      </c>
      <c r="J718" t="n">
        <v>153</v>
      </c>
      <c r="K718" s="28">
        <f>I718/J718</f>
        <v/>
      </c>
      <c r="L718" s="27" t="n">
        <v>7</v>
      </c>
      <c r="M718" t="inlineStr">
        <is>
          <t>Admitted</t>
        </is>
      </c>
    </row>
    <row r="719">
      <c r="A719" t="inlineStr">
        <is>
          <t>ED210804</t>
        </is>
      </c>
      <c r="B719" t="inlineStr">
        <is>
          <t>PT12535</t>
        </is>
      </c>
      <c r="C719" s="26" t="n">
        <v>45939.21805555555</v>
      </c>
      <c r="D719" t="inlineStr">
        <is>
          <t>Thu</t>
        </is>
      </c>
      <c r="E719" s="27" t="n">
        <v>5</v>
      </c>
      <c r="F719" t="inlineStr">
        <is>
          <t>Walk-In</t>
        </is>
      </c>
      <c r="G719" s="27" t="n">
        <v>4</v>
      </c>
      <c r="H719" t="inlineStr">
        <is>
          <t>Nausea</t>
        </is>
      </c>
      <c r="I719" t="n">
        <v>91</v>
      </c>
      <c r="J719" t="n">
        <v>133</v>
      </c>
      <c r="K719" s="28">
        <f>I719/J719</f>
        <v/>
      </c>
      <c r="L719" s="27" t="n">
        <v>51</v>
      </c>
      <c r="M719" t="inlineStr">
        <is>
          <t>Discharged</t>
        </is>
      </c>
    </row>
    <row r="720">
      <c r="A720" t="inlineStr">
        <is>
          <t>ED210814</t>
        </is>
      </c>
      <c r="B720" t="inlineStr">
        <is>
          <t>PT10473</t>
        </is>
      </c>
      <c r="C720" s="26" t="n">
        <v>45939.97361111111</v>
      </c>
      <c r="D720" t="inlineStr">
        <is>
          <t>Thu</t>
        </is>
      </c>
      <c r="E720" s="27" t="n">
        <v>23</v>
      </c>
      <c r="F720" t="inlineStr">
        <is>
          <t>Walk-In</t>
        </is>
      </c>
      <c r="G720" s="27" t="n">
        <v>4</v>
      </c>
      <c r="H720" t="inlineStr">
        <is>
          <t>Shortness of Breath</t>
        </is>
      </c>
      <c r="I720" t="n">
        <v>107</v>
      </c>
      <c r="J720" t="n">
        <v>172</v>
      </c>
      <c r="K720" s="28">
        <f>I720/J720</f>
        <v/>
      </c>
      <c r="L720" s="27" t="n">
        <v>54</v>
      </c>
      <c r="M720" t="inlineStr">
        <is>
          <t>Discharged</t>
        </is>
      </c>
    </row>
    <row r="721">
      <c r="A721" t="inlineStr">
        <is>
          <t>ED210819</t>
        </is>
      </c>
      <c r="B721" t="inlineStr">
        <is>
          <t>PT10755</t>
        </is>
      </c>
      <c r="C721" s="26" t="n">
        <v>45940.43611111111</v>
      </c>
      <c r="D721" t="inlineStr">
        <is>
          <t>Fri</t>
        </is>
      </c>
      <c r="E721" s="27" t="n">
        <v>10</v>
      </c>
      <c r="F721" t="inlineStr">
        <is>
          <t>Walk-In</t>
        </is>
      </c>
      <c r="G721" s="27" t="n">
        <v>4</v>
      </c>
      <c r="H721" t="inlineStr">
        <is>
          <t>Abdominal Pain</t>
        </is>
      </c>
      <c r="I721" t="n">
        <v>83</v>
      </c>
      <c r="J721" t="n">
        <v>145</v>
      </c>
      <c r="K721" s="28">
        <f>I721/J721</f>
        <v/>
      </c>
      <c r="L721" s="27" t="n">
        <v>136</v>
      </c>
      <c r="M721" t="inlineStr">
        <is>
          <t>Discharged</t>
        </is>
      </c>
    </row>
    <row r="722">
      <c r="A722" t="inlineStr">
        <is>
          <t>ED210826</t>
        </is>
      </c>
      <c r="B722" t="inlineStr">
        <is>
          <t>PT13821</t>
        </is>
      </c>
      <c r="C722" s="26" t="n">
        <v>45940.69791666666</v>
      </c>
      <c r="D722" t="inlineStr">
        <is>
          <t>Fri</t>
        </is>
      </c>
      <c r="E722" s="27" t="n">
        <v>16</v>
      </c>
      <c r="F722" t="inlineStr">
        <is>
          <t>Walk-In</t>
        </is>
      </c>
      <c r="G722" s="27" t="n">
        <v>2</v>
      </c>
      <c r="H722" t="inlineStr">
        <is>
          <t>Palpitations</t>
        </is>
      </c>
      <c r="I722" t="n">
        <v>124</v>
      </c>
      <c r="J722" t="n">
        <v>138</v>
      </c>
      <c r="K722" s="28">
        <f>I722/J722</f>
        <v/>
      </c>
      <c r="L722" s="27" t="n">
        <v>122</v>
      </c>
      <c r="M722" t="inlineStr">
        <is>
          <t>Admitted</t>
        </is>
      </c>
    </row>
    <row r="723">
      <c r="A723" t="inlineStr">
        <is>
          <t>ED210836</t>
        </is>
      </c>
      <c r="B723" t="inlineStr">
        <is>
          <t>PT12216</t>
        </is>
      </c>
      <c r="C723" s="26" t="n">
        <v>45941.5</v>
      </c>
      <c r="D723" t="inlineStr">
        <is>
          <t>Sat</t>
        </is>
      </c>
      <c r="E723" s="27" t="n">
        <v>12</v>
      </c>
      <c r="F723" t="inlineStr">
        <is>
          <t>Walk-In</t>
        </is>
      </c>
      <c r="G723" s="27" t="n">
        <v>4</v>
      </c>
      <c r="H723" t="inlineStr">
        <is>
          <t>Painful Urination / Fever</t>
        </is>
      </c>
      <c r="I723" t="n">
        <v>94</v>
      </c>
      <c r="J723" t="n">
        <v>118</v>
      </c>
      <c r="K723" s="28">
        <f>I723/J723</f>
        <v/>
      </c>
      <c r="L723" s="27" t="n">
        <v>52</v>
      </c>
      <c r="M723" t="inlineStr">
        <is>
          <t>Discharged</t>
        </is>
      </c>
    </row>
    <row r="724">
      <c r="A724" t="inlineStr">
        <is>
          <t>ED210841</t>
        </is>
      </c>
      <c r="B724" t="inlineStr">
        <is>
          <t>PT10703</t>
        </is>
      </c>
      <c r="C724" s="26" t="n">
        <v>45941.64861111111</v>
      </c>
      <c r="D724" t="inlineStr">
        <is>
          <t>Sat</t>
        </is>
      </c>
      <c r="E724" s="27" t="n">
        <v>15</v>
      </c>
      <c r="F724" t="inlineStr">
        <is>
          <t>Walk-In</t>
        </is>
      </c>
      <c r="G724" s="27" t="n">
        <v>3</v>
      </c>
      <c r="H724" t="inlineStr">
        <is>
          <t>Palpitations</t>
        </is>
      </c>
      <c r="I724" t="n">
        <v>105</v>
      </c>
      <c r="J724" t="n">
        <v>147</v>
      </c>
      <c r="K724" s="28">
        <f>I724/J724</f>
        <v/>
      </c>
      <c r="L724" s="27" t="n">
        <v>110</v>
      </c>
      <c r="M724" t="inlineStr">
        <is>
          <t>Observation</t>
        </is>
      </c>
    </row>
    <row r="725">
      <c r="A725" t="inlineStr">
        <is>
          <t>ED210845</t>
        </is>
      </c>
      <c r="B725" t="inlineStr">
        <is>
          <t>PT12458</t>
        </is>
      </c>
      <c r="C725" s="26" t="n">
        <v>45941.91041666667</v>
      </c>
      <c r="D725" t="inlineStr">
        <is>
          <t>Sat</t>
        </is>
      </c>
      <c r="E725" s="27" t="n">
        <v>21</v>
      </c>
      <c r="F725" t="inlineStr">
        <is>
          <t>Walk-In</t>
        </is>
      </c>
      <c r="G725" s="27" t="n">
        <v>3</v>
      </c>
      <c r="H725" t="inlineStr">
        <is>
          <t>Palpitations</t>
        </is>
      </c>
      <c r="I725" t="n">
        <v>135</v>
      </c>
      <c r="J725" t="n">
        <v>136</v>
      </c>
      <c r="K725" s="28">
        <f>I725/J725</f>
        <v/>
      </c>
      <c r="L725" s="27" t="n">
        <v>49</v>
      </c>
      <c r="M725" t="inlineStr">
        <is>
          <t>Observation</t>
        </is>
      </c>
    </row>
    <row r="726">
      <c r="A726" t="inlineStr">
        <is>
          <t>ED210846</t>
        </is>
      </c>
      <c r="B726" t="inlineStr">
        <is>
          <t>PT13760</t>
        </is>
      </c>
      <c r="C726" s="26" t="n">
        <v>45942.00416666667</v>
      </c>
      <c r="D726" t="inlineStr">
        <is>
          <t>Sun</t>
        </is>
      </c>
      <c r="E726" s="27" t="n">
        <v>0</v>
      </c>
      <c r="F726" t="inlineStr">
        <is>
          <t>Walk-In</t>
        </is>
      </c>
      <c r="G726" s="27" t="n">
        <v>2</v>
      </c>
      <c r="H726" t="inlineStr">
        <is>
          <t>Chest Pain</t>
        </is>
      </c>
      <c r="I726" t="n">
        <v>97</v>
      </c>
      <c r="J726" t="n">
        <v>110</v>
      </c>
      <c r="K726" s="28">
        <f>I726/J726</f>
        <v/>
      </c>
      <c r="L726" s="27" t="n">
        <v>8</v>
      </c>
      <c r="M726" t="inlineStr">
        <is>
          <t>Admitted</t>
        </is>
      </c>
    </row>
    <row r="727">
      <c r="A727" s="29" t="inlineStr">
        <is>
          <t>ED210847</t>
        </is>
      </c>
      <c r="B727" s="29" t="inlineStr">
        <is>
          <t>PT13475</t>
        </is>
      </c>
      <c r="C727" s="30" t="n">
        <v>45942.31666666667</v>
      </c>
      <c r="D727" s="29" t="inlineStr">
        <is>
          <t>Sun</t>
        </is>
      </c>
      <c r="E727" s="31" t="n">
        <v>7</v>
      </c>
      <c r="F727" s="29" t="inlineStr">
        <is>
          <t>Walk-In</t>
        </is>
      </c>
      <c r="G727" s="31" t="n">
        <v>3</v>
      </c>
      <c r="H727" s="29" t="inlineStr">
        <is>
          <t>Painful Urination / Fever</t>
        </is>
      </c>
      <c r="I727" s="29" t="n">
        <v>119</v>
      </c>
      <c r="J727" s="29" t="n">
        <v>90</v>
      </c>
      <c r="K727" s="32">
        <f>I727/J727</f>
        <v/>
      </c>
      <c r="L727" s="31" t="n">
        <v>14</v>
      </c>
      <c r="M727" s="29" t="inlineStr">
        <is>
          <t>Discharged</t>
        </is>
      </c>
    </row>
    <row r="728">
      <c r="A728" t="inlineStr">
        <is>
          <t>ED210886</t>
        </is>
      </c>
      <c r="B728" t="inlineStr">
        <is>
          <t>PT10906</t>
        </is>
      </c>
      <c r="C728" s="26" t="n">
        <v>45944.78680555556</v>
      </c>
      <c r="D728" t="inlineStr">
        <is>
          <t>Tue</t>
        </is>
      </c>
      <c r="E728" s="27" t="n">
        <v>18</v>
      </c>
      <c r="F728" t="inlineStr">
        <is>
          <t>Walk-In</t>
        </is>
      </c>
      <c r="G728" s="27" t="n">
        <v>3</v>
      </c>
      <c r="H728" t="inlineStr">
        <is>
          <t>Tremors / Alcohol Withdrawal</t>
        </is>
      </c>
      <c r="I728" t="n">
        <v>79</v>
      </c>
      <c r="J728" t="n">
        <v>120</v>
      </c>
      <c r="K728" s="28">
        <f>I728/J728</f>
        <v/>
      </c>
      <c r="L728" s="27" t="n">
        <v>36</v>
      </c>
      <c r="M728" t="inlineStr">
        <is>
          <t>Observation</t>
        </is>
      </c>
    </row>
    <row r="729">
      <c r="A729" t="inlineStr">
        <is>
          <t>ED210887</t>
        </is>
      </c>
      <c r="B729" t="inlineStr">
        <is>
          <t>PT12209</t>
        </is>
      </c>
      <c r="C729" s="26" t="n">
        <v>45944.81319444445</v>
      </c>
      <c r="D729" t="inlineStr">
        <is>
          <t>Tue</t>
        </is>
      </c>
      <c r="E729" s="27" t="n">
        <v>19</v>
      </c>
      <c r="F729" t="inlineStr">
        <is>
          <t>Walk-In</t>
        </is>
      </c>
      <c r="G729" s="27" t="n">
        <v>3</v>
      </c>
      <c r="H729" t="inlineStr">
        <is>
          <t>High Blood Sugar</t>
        </is>
      </c>
      <c r="I729" t="n">
        <v>63</v>
      </c>
      <c r="J729" t="n">
        <v>201</v>
      </c>
      <c r="K729" s="28">
        <f>I729/J729</f>
        <v/>
      </c>
      <c r="L729" s="27" t="n">
        <v>30</v>
      </c>
      <c r="M729" t="inlineStr">
        <is>
          <t>Discharged</t>
        </is>
      </c>
    </row>
    <row r="730">
      <c r="A730" t="inlineStr">
        <is>
          <t>ED210893</t>
        </is>
      </c>
      <c r="B730" t="inlineStr">
        <is>
          <t>PT10083</t>
        </is>
      </c>
      <c r="C730" s="26" t="n">
        <v>45945.06597222222</v>
      </c>
      <c r="D730" t="inlineStr">
        <is>
          <t>Wed</t>
        </is>
      </c>
      <c r="E730" s="27" t="n">
        <v>1</v>
      </c>
      <c r="F730" t="inlineStr">
        <is>
          <t>Walk-In</t>
        </is>
      </c>
      <c r="G730" s="27" t="n">
        <v>3</v>
      </c>
      <c r="H730" t="inlineStr">
        <is>
          <t>Head Injury</t>
        </is>
      </c>
      <c r="I730" t="n">
        <v>77</v>
      </c>
      <c r="J730" t="n">
        <v>106</v>
      </c>
      <c r="K730" s="28">
        <f>I730/J730</f>
        <v/>
      </c>
      <c r="L730" s="27" t="n">
        <v>20</v>
      </c>
      <c r="M730" t="inlineStr">
        <is>
          <t>Discharged</t>
        </is>
      </c>
    </row>
    <row r="731">
      <c r="A731" t="inlineStr">
        <is>
          <t>ED210900</t>
        </is>
      </c>
      <c r="B731" t="inlineStr">
        <is>
          <t>PT10966</t>
        </is>
      </c>
      <c r="C731" s="26" t="n">
        <v>45945.6125</v>
      </c>
      <c r="D731" t="inlineStr">
        <is>
          <t>Wed</t>
        </is>
      </c>
      <c r="E731" s="27" t="n">
        <v>14</v>
      </c>
      <c r="F731" t="inlineStr">
        <is>
          <t>Walk-In</t>
        </is>
      </c>
      <c r="G731" s="27" t="n">
        <v>3</v>
      </c>
      <c r="H731" t="inlineStr">
        <is>
          <t>Shortness of Breath</t>
        </is>
      </c>
      <c r="I731" t="n">
        <v>141</v>
      </c>
      <c r="J731" t="n">
        <v>117</v>
      </c>
      <c r="K731" s="28">
        <f>I731/J731</f>
        <v/>
      </c>
      <c r="L731" s="27" t="n">
        <v>84</v>
      </c>
      <c r="M731" t="inlineStr">
        <is>
          <t>Admitted</t>
        </is>
      </c>
    </row>
    <row r="732">
      <c r="A732" s="29" t="inlineStr">
        <is>
          <t>ED210932</t>
        </is>
      </c>
      <c r="B732" s="29" t="inlineStr">
        <is>
          <t>PT11101</t>
        </is>
      </c>
      <c r="C732" s="30" t="n">
        <v>45947.60902777778</v>
      </c>
      <c r="D732" s="29" t="inlineStr">
        <is>
          <t>Fri</t>
        </is>
      </c>
      <c r="E732" s="31" t="n">
        <v>14</v>
      </c>
      <c r="F732" s="29" t="inlineStr">
        <is>
          <t>Walk-In</t>
        </is>
      </c>
      <c r="G732" s="31" t="n">
        <v>5</v>
      </c>
      <c r="H732" s="29" t="inlineStr">
        <is>
          <t>Cough / Fever</t>
        </is>
      </c>
      <c r="I732" s="29" t="n">
        <v>101</v>
      </c>
      <c r="J732" s="29" t="n">
        <v>150</v>
      </c>
      <c r="K732" s="32">
        <f>I732/J732</f>
        <v/>
      </c>
      <c r="L732" s="31" t="n">
        <v>36</v>
      </c>
      <c r="M732" s="29" t="inlineStr">
        <is>
          <t>Admitted</t>
        </is>
      </c>
    </row>
    <row r="733">
      <c r="A733" t="inlineStr">
        <is>
          <t>ED210934</t>
        </is>
      </c>
      <c r="B733" t="inlineStr">
        <is>
          <t>PT13324</t>
        </is>
      </c>
      <c r="C733" s="26" t="n">
        <v>45947.74791666667</v>
      </c>
      <c r="D733" t="inlineStr">
        <is>
          <t>Fri</t>
        </is>
      </c>
      <c r="E733" s="27" t="n">
        <v>17</v>
      </c>
      <c r="F733" t="inlineStr">
        <is>
          <t>Walk-In</t>
        </is>
      </c>
      <c r="G733" s="27" t="n">
        <v>2</v>
      </c>
      <c r="H733" t="inlineStr">
        <is>
          <t>Palpitations</t>
        </is>
      </c>
      <c r="I733" t="n">
        <v>96</v>
      </c>
      <c r="J733" t="n">
        <v>140</v>
      </c>
      <c r="K733" s="28">
        <f>I733/J733</f>
        <v/>
      </c>
      <c r="L733" s="27" t="n">
        <v>16</v>
      </c>
      <c r="M733" t="inlineStr">
        <is>
          <t>Admitted</t>
        </is>
      </c>
    </row>
    <row r="734">
      <c r="A734" t="inlineStr">
        <is>
          <t>ED210936</t>
        </is>
      </c>
      <c r="B734" t="inlineStr">
        <is>
          <t>PT11538</t>
        </is>
      </c>
      <c r="C734" s="26" t="n">
        <v>45947.79166666666</v>
      </c>
      <c r="D734" t="inlineStr">
        <is>
          <t>Fri</t>
        </is>
      </c>
      <c r="E734" s="27" t="n">
        <v>19</v>
      </c>
      <c r="F734" t="inlineStr">
        <is>
          <t>Ambulance</t>
        </is>
      </c>
      <c r="G734" s="27" t="n">
        <v>3</v>
      </c>
      <c r="H734" t="inlineStr">
        <is>
          <t>Vomiting / Dizziness</t>
        </is>
      </c>
      <c r="I734" t="n">
        <v>100</v>
      </c>
      <c r="J734" t="n">
        <v>113</v>
      </c>
      <c r="K734" s="28">
        <f>I734/J734</f>
        <v/>
      </c>
      <c r="L734" s="27" t="n">
        <v>50</v>
      </c>
      <c r="M734" t="inlineStr">
        <is>
          <t>Discharged</t>
        </is>
      </c>
    </row>
    <row r="735">
      <c r="A735" t="inlineStr">
        <is>
          <t>ED210939</t>
        </is>
      </c>
      <c r="B735" t="inlineStr">
        <is>
          <t>PT12649</t>
        </is>
      </c>
      <c r="C735" s="26" t="n">
        <v>45947.91527777778</v>
      </c>
      <c r="D735" t="inlineStr">
        <is>
          <t>Fri</t>
        </is>
      </c>
      <c r="E735" s="27" t="n">
        <v>21</v>
      </c>
      <c r="F735" t="inlineStr">
        <is>
          <t>Walk-In</t>
        </is>
      </c>
      <c r="G735" s="27" t="n">
        <v>4</v>
      </c>
      <c r="H735" t="inlineStr">
        <is>
          <t>Shortness of Breath</t>
        </is>
      </c>
      <c r="I735" t="n">
        <v>105</v>
      </c>
      <c r="J735" t="n">
        <v>121</v>
      </c>
      <c r="K735" s="28">
        <f>I735/J735</f>
        <v/>
      </c>
      <c r="L735" s="27" t="n">
        <v>69</v>
      </c>
      <c r="M735" t="inlineStr">
        <is>
          <t>Discharged</t>
        </is>
      </c>
    </row>
    <row r="736">
      <c r="A736" t="inlineStr">
        <is>
          <t>ED210941</t>
        </is>
      </c>
      <c r="B736" t="inlineStr">
        <is>
          <t>PT12221</t>
        </is>
      </c>
      <c r="C736" s="26" t="n">
        <v>45947.95416666667</v>
      </c>
      <c r="D736" t="inlineStr">
        <is>
          <t>Fri</t>
        </is>
      </c>
      <c r="E736" s="27" t="n">
        <v>22</v>
      </c>
      <c r="F736" t="inlineStr">
        <is>
          <t>Walk-In</t>
        </is>
      </c>
      <c r="G736" s="27" t="n">
        <v>3</v>
      </c>
      <c r="H736" t="inlineStr">
        <is>
          <t>High Blood Sugar</t>
        </is>
      </c>
      <c r="I736" t="n">
        <v>74</v>
      </c>
      <c r="J736" t="n">
        <v>121</v>
      </c>
      <c r="K736" s="28">
        <f>I736/J736</f>
        <v/>
      </c>
      <c r="L736" s="27" t="n">
        <v>19</v>
      </c>
      <c r="M736" t="inlineStr">
        <is>
          <t>Observation</t>
        </is>
      </c>
    </row>
    <row r="737">
      <c r="A737" t="inlineStr">
        <is>
          <t>ED210952</t>
        </is>
      </c>
      <c r="B737" t="inlineStr">
        <is>
          <t>PT10476</t>
        </is>
      </c>
      <c r="C737" s="26" t="n">
        <v>45948.81805555556</v>
      </c>
      <c r="D737" t="inlineStr">
        <is>
          <t>Sat</t>
        </is>
      </c>
      <c r="E737" s="27" t="n">
        <v>19</v>
      </c>
      <c r="F737" t="inlineStr">
        <is>
          <t>Walk-In</t>
        </is>
      </c>
      <c r="G737" s="27" t="n">
        <v>3</v>
      </c>
      <c r="H737" t="inlineStr">
        <is>
          <t>Painful Urination / Fever</t>
        </is>
      </c>
      <c r="I737" t="n">
        <v>80</v>
      </c>
      <c r="J737" t="n">
        <v>131</v>
      </c>
      <c r="K737" s="28">
        <f>I737/J737</f>
        <v/>
      </c>
      <c r="L737" s="27" t="n">
        <v>85</v>
      </c>
      <c r="M737" t="inlineStr">
        <is>
          <t>Observation</t>
        </is>
      </c>
    </row>
    <row r="738">
      <c r="A738" t="inlineStr">
        <is>
          <t>ED210958</t>
        </is>
      </c>
      <c r="B738" t="inlineStr">
        <is>
          <t>PT13482</t>
        </is>
      </c>
      <c r="C738" s="26" t="n">
        <v>45949.29861111111</v>
      </c>
      <c r="D738" t="inlineStr">
        <is>
          <t>Sun</t>
        </is>
      </c>
      <c r="E738" s="27" t="n">
        <v>7</v>
      </c>
      <c r="F738" t="inlineStr">
        <is>
          <t>Ambulance</t>
        </is>
      </c>
      <c r="G738" s="27" t="n">
        <v>2</v>
      </c>
      <c r="H738" t="inlineStr">
        <is>
          <t>Bloody Stool / Vomiting Blood</t>
        </is>
      </c>
      <c r="I738" t="n">
        <v>104</v>
      </c>
      <c r="J738" t="n">
        <v>105</v>
      </c>
      <c r="K738" s="28">
        <f>I738/J738</f>
        <v/>
      </c>
      <c r="L738" s="27" t="n">
        <v>10</v>
      </c>
      <c r="M738" t="inlineStr">
        <is>
          <t>Admitted</t>
        </is>
      </c>
    </row>
    <row r="739">
      <c r="A739" t="inlineStr">
        <is>
          <t>ED210961</t>
        </is>
      </c>
      <c r="B739" t="inlineStr">
        <is>
          <t>PT10461</t>
        </is>
      </c>
      <c r="C739" s="26" t="n">
        <v>45949.73958333334</v>
      </c>
      <c r="D739" t="inlineStr">
        <is>
          <t>Sun</t>
        </is>
      </c>
      <c r="E739" s="27" t="n">
        <v>17</v>
      </c>
      <c r="F739" t="inlineStr">
        <is>
          <t>Walk-In</t>
        </is>
      </c>
      <c r="G739" s="27" t="n">
        <v>3</v>
      </c>
      <c r="H739" t="inlineStr">
        <is>
          <t>Painful Urination / Fever</t>
        </is>
      </c>
      <c r="I739" t="n">
        <v>80</v>
      </c>
      <c r="J739" t="n">
        <v>128</v>
      </c>
      <c r="K739" s="28">
        <f>I739/J739</f>
        <v/>
      </c>
      <c r="L739" s="27" t="n">
        <v>26</v>
      </c>
      <c r="M739" t="inlineStr">
        <is>
          <t>Discharged</t>
        </is>
      </c>
    </row>
    <row r="740">
      <c r="A740" t="inlineStr">
        <is>
          <t>ED210967</t>
        </is>
      </c>
      <c r="B740" t="inlineStr">
        <is>
          <t>PT12615</t>
        </is>
      </c>
      <c r="C740" s="26" t="n">
        <v>45949.9625</v>
      </c>
      <c r="D740" t="inlineStr">
        <is>
          <t>Sun</t>
        </is>
      </c>
      <c r="E740" s="27" t="n">
        <v>23</v>
      </c>
      <c r="F740" t="inlineStr">
        <is>
          <t>Ambulance</t>
        </is>
      </c>
      <c r="G740" s="27" t="n">
        <v>2</v>
      </c>
      <c r="H740" t="inlineStr">
        <is>
          <t>Skin Redness / Swelling</t>
        </is>
      </c>
      <c r="I740" t="n">
        <v>93</v>
      </c>
      <c r="J740" t="n">
        <v>134</v>
      </c>
      <c r="K740" s="28">
        <f>I740/J740</f>
        <v/>
      </c>
      <c r="L740" s="27" t="n">
        <v>8</v>
      </c>
      <c r="M740" t="inlineStr">
        <is>
          <t>Observation</t>
        </is>
      </c>
    </row>
    <row r="741">
      <c r="A741" t="inlineStr">
        <is>
          <t>ED210980</t>
        </is>
      </c>
      <c r="B741" t="inlineStr">
        <is>
          <t>PT13932</t>
        </is>
      </c>
      <c r="C741" s="26" t="n">
        <v>45950.99652777778</v>
      </c>
      <c r="D741" t="inlineStr">
        <is>
          <t>Mon</t>
        </is>
      </c>
      <c r="E741" s="27" t="n">
        <v>23</v>
      </c>
      <c r="F741" t="inlineStr">
        <is>
          <t>Walk-In</t>
        </is>
      </c>
      <c r="G741" s="27" t="n">
        <v>5</v>
      </c>
      <c r="H741" t="inlineStr">
        <is>
          <t>Cough / Fever</t>
        </is>
      </c>
      <c r="I741" t="n">
        <v>73</v>
      </c>
      <c r="J741" t="n">
        <v>118</v>
      </c>
      <c r="K741" s="28">
        <f>I741/J741</f>
        <v/>
      </c>
      <c r="L741" s="27" t="n">
        <v>46</v>
      </c>
      <c r="M741" t="inlineStr">
        <is>
          <t>Discharged</t>
        </is>
      </c>
    </row>
    <row r="742">
      <c r="A742" t="inlineStr">
        <is>
          <t>ED211003</t>
        </is>
      </c>
      <c r="B742" t="inlineStr">
        <is>
          <t>PT10254</t>
        </is>
      </c>
      <c r="C742" s="26" t="n">
        <v>45952.63611111111</v>
      </c>
      <c r="D742" t="inlineStr">
        <is>
          <t>Wed</t>
        </is>
      </c>
      <c r="E742" s="27" t="n">
        <v>15</v>
      </c>
      <c r="F742" t="inlineStr">
        <is>
          <t>Ambulance</t>
        </is>
      </c>
      <c r="G742" s="27" t="n">
        <v>3</v>
      </c>
      <c r="H742" t="inlineStr">
        <is>
          <t>Abdominal Pain</t>
        </is>
      </c>
      <c r="I742" t="n">
        <v>100</v>
      </c>
      <c r="J742" t="n">
        <v>143</v>
      </c>
      <c r="K742" s="28">
        <f>I742/J742</f>
        <v/>
      </c>
      <c r="L742" s="27" t="n">
        <v>39</v>
      </c>
      <c r="M742" t="inlineStr">
        <is>
          <t>Discharged</t>
        </is>
      </c>
    </row>
    <row r="743">
      <c r="A743" t="inlineStr">
        <is>
          <t>ED211010</t>
        </is>
      </c>
      <c r="B743" t="inlineStr">
        <is>
          <t>PT13516</t>
        </is>
      </c>
      <c r="C743" s="26" t="n">
        <v>45952.98541666667</v>
      </c>
      <c r="D743" t="inlineStr">
        <is>
          <t>Wed</t>
        </is>
      </c>
      <c r="E743" s="27" t="n">
        <v>23</v>
      </c>
      <c r="F743" t="inlineStr">
        <is>
          <t>Walk-In</t>
        </is>
      </c>
      <c r="G743" s="27" t="n">
        <v>3</v>
      </c>
      <c r="H743" t="inlineStr">
        <is>
          <t>Abdominal Pain / Vomiting</t>
        </is>
      </c>
      <c r="I743" t="n">
        <v>78</v>
      </c>
      <c r="J743" t="n">
        <v>139</v>
      </c>
      <c r="K743" s="28">
        <f>I743/J743</f>
        <v/>
      </c>
      <c r="L743" s="27" t="n">
        <v>39</v>
      </c>
      <c r="M743" t="inlineStr">
        <is>
          <t>Admitted</t>
        </is>
      </c>
    </row>
    <row r="744">
      <c r="A744" t="inlineStr">
        <is>
          <t>ED211011</t>
        </is>
      </c>
      <c r="B744" t="inlineStr">
        <is>
          <t>PT11265</t>
        </is>
      </c>
      <c r="C744" s="26" t="n">
        <v>45953.01527777778</v>
      </c>
      <c r="D744" t="inlineStr">
        <is>
          <t>Thu</t>
        </is>
      </c>
      <c r="E744" s="27" t="n">
        <v>0</v>
      </c>
      <c r="F744" t="inlineStr">
        <is>
          <t>Walk-In</t>
        </is>
      </c>
      <c r="G744" s="27" t="n">
        <v>3</v>
      </c>
      <c r="H744" t="inlineStr">
        <is>
          <t>Chest Pain</t>
        </is>
      </c>
      <c r="I744" t="n">
        <v>93</v>
      </c>
      <c r="J744" t="n">
        <v>140</v>
      </c>
      <c r="K744" s="28">
        <f>I744/J744</f>
        <v/>
      </c>
      <c r="L744" s="27" t="n">
        <v>39</v>
      </c>
      <c r="M744" t="inlineStr">
        <is>
          <t>Discharged</t>
        </is>
      </c>
    </row>
    <row r="745">
      <c r="A745" t="inlineStr">
        <is>
          <t>ED211021</t>
        </is>
      </c>
      <c r="B745" t="inlineStr">
        <is>
          <t>PT10789</t>
        </is>
      </c>
      <c r="C745" s="26" t="n">
        <v>45953.63125</v>
      </c>
      <c r="D745" t="inlineStr">
        <is>
          <t>Thu</t>
        </is>
      </c>
      <c r="E745" s="27" t="n">
        <v>15</v>
      </c>
      <c r="F745" t="inlineStr">
        <is>
          <t>Walk-In</t>
        </is>
      </c>
      <c r="G745" s="27" t="n">
        <v>5</v>
      </c>
      <c r="H745" t="inlineStr">
        <is>
          <t>Back Pain</t>
        </is>
      </c>
      <c r="I745" t="n">
        <v>82</v>
      </c>
      <c r="J745" t="n">
        <v>127</v>
      </c>
      <c r="K745" s="28">
        <f>I745/J745</f>
        <v/>
      </c>
      <c r="L745" s="27" t="n">
        <v>64</v>
      </c>
      <c r="M745" t="inlineStr">
        <is>
          <t>Discharged</t>
        </is>
      </c>
    </row>
    <row r="746">
      <c r="A746" t="inlineStr">
        <is>
          <t>ED211024</t>
        </is>
      </c>
      <c r="B746" t="inlineStr">
        <is>
          <t>PT10319</t>
        </is>
      </c>
      <c r="C746" s="26" t="n">
        <v>45953.80902777778</v>
      </c>
      <c r="D746" t="inlineStr">
        <is>
          <t>Thu</t>
        </is>
      </c>
      <c r="E746" s="27" t="n">
        <v>19</v>
      </c>
      <c r="F746" t="inlineStr">
        <is>
          <t>Walk-In</t>
        </is>
      </c>
      <c r="G746" s="27" t="n">
        <v>4</v>
      </c>
      <c r="H746" t="inlineStr">
        <is>
          <t>Painful Urination / Fever</t>
        </is>
      </c>
      <c r="I746" t="n">
        <v>76</v>
      </c>
      <c r="J746" t="n">
        <v>123</v>
      </c>
      <c r="K746" s="28">
        <f>I746/J746</f>
        <v/>
      </c>
      <c r="L746" s="27" t="n">
        <v>29</v>
      </c>
      <c r="M746" t="inlineStr">
        <is>
          <t>Discharged</t>
        </is>
      </c>
    </row>
    <row r="747">
      <c r="A747" t="inlineStr">
        <is>
          <t>ED211034</t>
        </is>
      </c>
      <c r="B747" t="inlineStr">
        <is>
          <t>PT13779</t>
        </is>
      </c>
      <c r="C747" s="26" t="n">
        <v>45954.54305555556</v>
      </c>
      <c r="D747" t="inlineStr">
        <is>
          <t>Fri</t>
        </is>
      </c>
      <c r="E747" s="27" t="n">
        <v>13</v>
      </c>
      <c r="F747" t="inlineStr">
        <is>
          <t>Walk-In</t>
        </is>
      </c>
      <c r="G747" s="27" t="n">
        <v>3</v>
      </c>
      <c r="H747" t="inlineStr">
        <is>
          <t>Shortness of Breath</t>
        </is>
      </c>
      <c r="I747" t="n">
        <v>116</v>
      </c>
      <c r="J747" t="n">
        <v>103</v>
      </c>
      <c r="K747" s="28">
        <f>I747/J747</f>
        <v/>
      </c>
      <c r="L747" s="27" t="n">
        <v>55</v>
      </c>
      <c r="M747" t="inlineStr">
        <is>
          <t>Observation</t>
        </is>
      </c>
    </row>
    <row r="748">
      <c r="A748" t="inlineStr">
        <is>
          <t>ED211037</t>
        </is>
      </c>
      <c r="B748" t="inlineStr">
        <is>
          <t>PT10101</t>
        </is>
      </c>
      <c r="C748" s="26" t="n">
        <v>45954.57152777778</v>
      </c>
      <c r="D748" t="inlineStr">
        <is>
          <t>Fri</t>
        </is>
      </c>
      <c r="E748" s="27" t="n">
        <v>13</v>
      </c>
      <c r="F748" t="inlineStr">
        <is>
          <t>Walk-In</t>
        </is>
      </c>
      <c r="G748" s="27" t="n">
        <v>4</v>
      </c>
      <c r="H748" t="inlineStr">
        <is>
          <t>Back Pain</t>
        </is>
      </c>
      <c r="I748" t="n">
        <v>83</v>
      </c>
      <c r="J748" t="n">
        <v>146</v>
      </c>
      <c r="K748" s="28">
        <f>I748/J748</f>
        <v/>
      </c>
      <c r="L748" s="27" t="n">
        <v>154</v>
      </c>
      <c r="M748" t="inlineStr">
        <is>
          <t>Discharged</t>
        </is>
      </c>
    </row>
    <row r="749">
      <c r="A749" t="inlineStr">
        <is>
          <t>ED211045</t>
        </is>
      </c>
      <c r="B749" t="inlineStr">
        <is>
          <t>PT12822</t>
        </is>
      </c>
      <c r="C749" s="26" t="n">
        <v>45954.97222222222</v>
      </c>
      <c r="D749" t="inlineStr">
        <is>
          <t>Fri</t>
        </is>
      </c>
      <c r="E749" s="27" t="n">
        <v>23</v>
      </c>
      <c r="F749" t="inlineStr">
        <is>
          <t>Ambulance</t>
        </is>
      </c>
      <c r="G749" s="27" t="n">
        <v>2</v>
      </c>
      <c r="H749" t="inlineStr">
        <is>
          <t>Abdominal Pain</t>
        </is>
      </c>
      <c r="I749" t="n">
        <v>67</v>
      </c>
      <c r="J749" t="n">
        <v>149</v>
      </c>
      <c r="K749" s="28">
        <f>I749/J749</f>
        <v/>
      </c>
      <c r="L749" s="27" t="n">
        <v>19</v>
      </c>
      <c r="M749" t="inlineStr">
        <is>
          <t>Discharged</t>
        </is>
      </c>
    </row>
    <row r="750">
      <c r="A750" t="inlineStr">
        <is>
          <t>ED211047</t>
        </is>
      </c>
      <c r="B750" t="inlineStr">
        <is>
          <t>PT10788</t>
        </is>
      </c>
      <c r="C750" s="26" t="n">
        <v>45955.48472222222</v>
      </c>
      <c r="D750" t="inlineStr">
        <is>
          <t>Sat</t>
        </is>
      </c>
      <c r="E750" s="27" t="n">
        <v>11</v>
      </c>
      <c r="F750" t="inlineStr">
        <is>
          <t>Walk-In</t>
        </is>
      </c>
      <c r="G750" s="27" t="n">
        <v>3</v>
      </c>
      <c r="H750" t="inlineStr">
        <is>
          <t>Painful Urination / Fever</t>
        </is>
      </c>
      <c r="I750" t="n">
        <v>92</v>
      </c>
      <c r="J750" t="n">
        <v>147</v>
      </c>
      <c r="K750" s="28">
        <f>I750/J750</f>
        <v/>
      </c>
      <c r="L750" s="27" t="n">
        <v>37</v>
      </c>
      <c r="M750" t="inlineStr">
        <is>
          <t>Discharged</t>
        </is>
      </c>
    </row>
    <row r="751">
      <c r="A751" t="inlineStr">
        <is>
          <t>ED211049</t>
        </is>
      </c>
      <c r="B751" t="inlineStr">
        <is>
          <t>PT13370</t>
        </is>
      </c>
      <c r="C751" s="26" t="n">
        <v>45955.67569444444</v>
      </c>
      <c r="D751" t="inlineStr">
        <is>
          <t>Sat</t>
        </is>
      </c>
      <c r="E751" s="27" t="n">
        <v>16</v>
      </c>
      <c r="F751" t="inlineStr">
        <is>
          <t>Walk-In</t>
        </is>
      </c>
      <c r="G751" s="27" t="n">
        <v>4</v>
      </c>
      <c r="H751" t="inlineStr">
        <is>
          <t>Fainting</t>
        </is>
      </c>
      <c r="I751" t="n">
        <v>93</v>
      </c>
      <c r="J751" t="n">
        <v>150</v>
      </c>
      <c r="K751" s="28">
        <f>I751/J751</f>
        <v/>
      </c>
      <c r="L751" s="27" t="n">
        <v>39</v>
      </c>
      <c r="M751" t="inlineStr">
        <is>
          <t>Discharged</t>
        </is>
      </c>
    </row>
    <row r="752">
      <c r="A752" t="inlineStr">
        <is>
          <t>ED211060</t>
        </is>
      </c>
      <c r="B752" t="inlineStr">
        <is>
          <t>PT12872</t>
        </is>
      </c>
      <c r="C752" s="26" t="n">
        <v>45956.62291666667</v>
      </c>
      <c r="D752" t="inlineStr">
        <is>
          <t>Sun</t>
        </is>
      </c>
      <c r="E752" s="27" t="n">
        <v>14</v>
      </c>
      <c r="F752" t="inlineStr">
        <is>
          <t>Walk-In</t>
        </is>
      </c>
      <c r="G752" s="27" t="n">
        <v>3</v>
      </c>
      <c r="H752" t="inlineStr">
        <is>
          <t>Shortness of Breath</t>
        </is>
      </c>
      <c r="I752" t="n">
        <v>105</v>
      </c>
      <c r="J752" t="n">
        <v>156</v>
      </c>
      <c r="K752" s="28">
        <f>I752/J752</f>
        <v/>
      </c>
      <c r="L752" s="27" t="n">
        <v>31</v>
      </c>
      <c r="M752" t="inlineStr">
        <is>
          <t>Discharged</t>
        </is>
      </c>
    </row>
    <row r="753">
      <c r="A753" t="inlineStr">
        <is>
          <t>ED211067</t>
        </is>
      </c>
      <c r="B753" t="inlineStr">
        <is>
          <t>PT11289</t>
        </is>
      </c>
      <c r="C753" s="26" t="n">
        <v>45956.93888888889</v>
      </c>
      <c r="D753" t="inlineStr">
        <is>
          <t>Sun</t>
        </is>
      </c>
      <c r="E753" s="27" t="n">
        <v>22</v>
      </c>
      <c r="F753" t="inlineStr">
        <is>
          <t>Ambulance</t>
        </is>
      </c>
      <c r="G753" s="27" t="n">
        <v>3</v>
      </c>
      <c r="H753" t="inlineStr">
        <is>
          <t>Palpitations</t>
        </is>
      </c>
      <c r="I753" t="n">
        <v>150</v>
      </c>
      <c r="J753" t="n">
        <v>130</v>
      </c>
      <c r="K753" s="28">
        <f>I753/J753</f>
        <v/>
      </c>
      <c r="L753" s="27" t="n">
        <v>9</v>
      </c>
      <c r="M753" t="inlineStr">
        <is>
          <t>Admitted</t>
        </is>
      </c>
    </row>
    <row r="754">
      <c r="A754" t="inlineStr">
        <is>
          <t>ED211070</t>
        </is>
      </c>
      <c r="B754" t="inlineStr">
        <is>
          <t>PT12891</t>
        </is>
      </c>
      <c r="C754" s="26" t="n">
        <v>45956.96875</v>
      </c>
      <c r="D754" t="inlineStr">
        <is>
          <t>Sun</t>
        </is>
      </c>
      <c r="E754" s="27" t="n">
        <v>23</v>
      </c>
      <c r="F754" t="inlineStr">
        <is>
          <t>Walk-In</t>
        </is>
      </c>
      <c r="G754" s="27" t="n">
        <v>3</v>
      </c>
      <c r="H754" t="inlineStr">
        <is>
          <t>High Blood Sugar</t>
        </is>
      </c>
      <c r="I754" t="n">
        <v>75</v>
      </c>
      <c r="J754" t="n">
        <v>114</v>
      </c>
      <c r="K754" s="28">
        <f>I754/J754</f>
        <v/>
      </c>
      <c r="L754" s="27" t="n">
        <v>39</v>
      </c>
      <c r="M754" t="inlineStr">
        <is>
          <t>Discharged</t>
        </is>
      </c>
    </row>
    <row r="755">
      <c r="A755" t="inlineStr">
        <is>
          <t>ED211074</t>
        </is>
      </c>
      <c r="B755" t="inlineStr">
        <is>
          <t>PT13821</t>
        </is>
      </c>
      <c r="C755" s="26" t="n">
        <v>45957.39236111111</v>
      </c>
      <c r="D755" t="inlineStr">
        <is>
          <t>Mon</t>
        </is>
      </c>
      <c r="E755" s="27" t="n">
        <v>9</v>
      </c>
      <c r="F755" t="inlineStr">
        <is>
          <t>Walk-In</t>
        </is>
      </c>
      <c r="G755" s="27" t="n">
        <v>3</v>
      </c>
      <c r="H755" t="inlineStr">
        <is>
          <t>High Blood Sugar</t>
        </is>
      </c>
      <c r="I755" t="n">
        <v>75</v>
      </c>
      <c r="J755" t="n">
        <v>149</v>
      </c>
      <c r="K755" s="28">
        <f>I755/J755</f>
        <v/>
      </c>
      <c r="L755" s="27" t="n">
        <v>12</v>
      </c>
      <c r="M755" t="inlineStr">
        <is>
          <t>Admitted</t>
        </is>
      </c>
    </row>
    <row r="756">
      <c r="A756" t="inlineStr">
        <is>
          <t>ED211076</t>
        </is>
      </c>
      <c r="B756" t="inlineStr">
        <is>
          <t>PT11258</t>
        </is>
      </c>
      <c r="C756" s="26" t="n">
        <v>45957.43541666667</v>
      </c>
      <c r="D756" t="inlineStr">
        <is>
          <t>Mon</t>
        </is>
      </c>
      <c r="E756" s="27" t="n">
        <v>10</v>
      </c>
      <c r="F756" t="inlineStr">
        <is>
          <t>Ambulance</t>
        </is>
      </c>
      <c r="G756" s="27" t="n">
        <v>2</v>
      </c>
      <c r="H756" t="inlineStr">
        <is>
          <t>Bloody Stool / Vomiting Blood</t>
        </is>
      </c>
      <c r="I756" t="n">
        <v>112</v>
      </c>
      <c r="J756" t="n">
        <v>131</v>
      </c>
      <c r="K756" s="28">
        <f>I756/J756</f>
        <v/>
      </c>
      <c r="L756" s="27" t="n">
        <v>16</v>
      </c>
      <c r="M756" t="inlineStr">
        <is>
          <t>Admitted</t>
        </is>
      </c>
    </row>
    <row r="757">
      <c r="A757" t="inlineStr">
        <is>
          <t>ED211080</t>
        </is>
      </c>
      <c r="B757" t="inlineStr">
        <is>
          <t>PT10550</t>
        </is>
      </c>
      <c r="C757" s="26" t="n">
        <v>45957.50347222222</v>
      </c>
      <c r="D757" t="inlineStr">
        <is>
          <t>Mon</t>
        </is>
      </c>
      <c r="E757" s="27" t="n">
        <v>12</v>
      </c>
      <c r="F757" t="inlineStr">
        <is>
          <t>Walk-In</t>
        </is>
      </c>
      <c r="G757" s="27" t="n">
        <v>3</v>
      </c>
      <c r="H757" t="inlineStr">
        <is>
          <t>High Blood Sugar</t>
        </is>
      </c>
      <c r="I757" t="n">
        <v>105</v>
      </c>
      <c r="J757" t="n">
        <v>104</v>
      </c>
      <c r="K757" s="28">
        <f>I757/J757</f>
        <v/>
      </c>
      <c r="L757" s="27" t="n">
        <v>29</v>
      </c>
      <c r="M757" t="inlineStr">
        <is>
          <t>Discharged</t>
        </is>
      </c>
    </row>
    <row r="758">
      <c r="A758" t="inlineStr">
        <is>
          <t>ED211108</t>
        </is>
      </c>
      <c r="B758" t="inlineStr">
        <is>
          <t>PT10495</t>
        </is>
      </c>
      <c r="C758" s="26" t="n">
        <v>45958.75625</v>
      </c>
      <c r="D758" t="inlineStr">
        <is>
          <t>Tue</t>
        </is>
      </c>
      <c r="E758" s="27" t="n">
        <v>18</v>
      </c>
      <c r="F758" t="inlineStr">
        <is>
          <t>Ambulance</t>
        </is>
      </c>
      <c r="G758" s="27" t="n">
        <v>2</v>
      </c>
      <c r="H758" t="inlineStr">
        <is>
          <t>Weakness / Fatigue</t>
        </is>
      </c>
      <c r="I758" t="n">
        <v>95</v>
      </c>
      <c r="J758" t="n">
        <v>158</v>
      </c>
      <c r="K758" s="28">
        <f>I758/J758</f>
        <v/>
      </c>
      <c r="L758" s="27" t="n">
        <v>11</v>
      </c>
      <c r="M758" t="inlineStr">
        <is>
          <t>Admitted</t>
        </is>
      </c>
    </row>
    <row r="759">
      <c r="A759" t="inlineStr">
        <is>
          <t>ED211119</t>
        </is>
      </c>
      <c r="B759" t="inlineStr">
        <is>
          <t>PT10025</t>
        </is>
      </c>
      <c r="C759" s="26" t="n">
        <v>45959.47777777778</v>
      </c>
      <c r="D759" t="inlineStr">
        <is>
          <t>Wed</t>
        </is>
      </c>
      <c r="E759" s="27" t="n">
        <v>11</v>
      </c>
      <c r="F759" t="inlineStr">
        <is>
          <t>Walk-In</t>
        </is>
      </c>
      <c r="G759" s="27" t="n">
        <v>3</v>
      </c>
      <c r="H759" t="inlineStr">
        <is>
          <t>Painful Urination / Fever</t>
        </is>
      </c>
      <c r="I759" t="n">
        <v>77</v>
      </c>
      <c r="J759" t="n">
        <v>121</v>
      </c>
      <c r="K759" s="28">
        <f>I759/J759</f>
        <v/>
      </c>
      <c r="L759" s="27" t="n">
        <v>30</v>
      </c>
      <c r="M759" t="inlineStr">
        <is>
          <t>Admitted</t>
        </is>
      </c>
    </row>
    <row r="760">
      <c r="A760" t="inlineStr">
        <is>
          <t>ED211121</t>
        </is>
      </c>
      <c r="B760" t="inlineStr">
        <is>
          <t>PT12026</t>
        </is>
      </c>
      <c r="C760" s="26" t="n">
        <v>45959.51527777778</v>
      </c>
      <c r="D760" t="inlineStr">
        <is>
          <t>Wed</t>
        </is>
      </c>
      <c r="E760" s="27" t="n">
        <v>12</v>
      </c>
      <c r="F760" t="inlineStr">
        <is>
          <t>Ambulance</t>
        </is>
      </c>
      <c r="G760" s="27" t="n">
        <v>1</v>
      </c>
      <c r="H760" t="inlineStr">
        <is>
          <t>Fever / Altered Mental Status</t>
        </is>
      </c>
      <c r="I760" t="n">
        <v>132</v>
      </c>
      <c r="J760" t="n">
        <v>93</v>
      </c>
      <c r="K760" s="28">
        <f>I760/J760</f>
        <v/>
      </c>
      <c r="L760" s="27" t="n">
        <v>2</v>
      </c>
      <c r="M760" t="inlineStr">
        <is>
          <t>Admitted</t>
        </is>
      </c>
    </row>
    <row r="761">
      <c r="A761" s="29" t="inlineStr">
        <is>
          <t>ED211129</t>
        </is>
      </c>
      <c r="B761" s="29" t="inlineStr">
        <is>
          <t>PT12139</t>
        </is>
      </c>
      <c r="C761" s="30" t="n">
        <v>45959.75972222222</v>
      </c>
      <c r="D761" s="29" t="inlineStr">
        <is>
          <t>Wed</t>
        </is>
      </c>
      <c r="E761" s="31" t="n">
        <v>18</v>
      </c>
      <c r="F761" s="29" t="inlineStr">
        <is>
          <t>Walk-In</t>
        </is>
      </c>
      <c r="G761" s="31" t="n">
        <v>4</v>
      </c>
      <c r="H761" s="29" t="inlineStr">
        <is>
          <t>Cough / Fever</t>
        </is>
      </c>
      <c r="I761" s="29" t="n">
        <v>122</v>
      </c>
      <c r="J761" s="29" t="n">
        <v>142</v>
      </c>
      <c r="K761" s="32">
        <f>I761/J761</f>
        <v/>
      </c>
      <c r="L761" s="31" t="n">
        <v>91</v>
      </c>
      <c r="M761" s="29" t="inlineStr">
        <is>
          <t>Admitted</t>
        </is>
      </c>
    </row>
    <row r="762">
      <c r="A762" t="inlineStr">
        <is>
          <t>ED211132</t>
        </is>
      </c>
      <c r="B762" t="inlineStr">
        <is>
          <t>PT10236</t>
        </is>
      </c>
      <c r="C762" s="26" t="n">
        <v>45959.94583333333</v>
      </c>
      <c r="D762" t="inlineStr">
        <is>
          <t>Wed</t>
        </is>
      </c>
      <c r="E762" s="27" t="n">
        <v>22</v>
      </c>
      <c r="F762" t="inlineStr">
        <is>
          <t>Walk-In</t>
        </is>
      </c>
      <c r="G762" s="27" t="n">
        <v>4</v>
      </c>
      <c r="H762" t="inlineStr">
        <is>
          <t>Vomiting / Diarrhea</t>
        </is>
      </c>
      <c r="I762" t="n">
        <v>95</v>
      </c>
      <c r="J762" t="n">
        <v>123</v>
      </c>
      <c r="K762" s="28">
        <f>I762/J762</f>
        <v/>
      </c>
      <c r="L762" s="27" t="n">
        <v>50</v>
      </c>
      <c r="M762" t="inlineStr">
        <is>
          <t>Discharged</t>
        </is>
      </c>
    </row>
    <row r="763">
      <c r="A763" s="29" t="inlineStr">
        <is>
          <t>ED211156</t>
        </is>
      </c>
      <c r="B763" s="29" t="inlineStr">
        <is>
          <t>PT10801</t>
        </is>
      </c>
      <c r="C763" s="30" t="n">
        <v>45961.35833333333</v>
      </c>
      <c r="D763" s="29" t="inlineStr">
        <is>
          <t>Fri</t>
        </is>
      </c>
      <c r="E763" s="31" t="n">
        <v>8</v>
      </c>
      <c r="F763" s="29" t="inlineStr">
        <is>
          <t>Walk-In</t>
        </is>
      </c>
      <c r="G763" s="31" t="n">
        <v>3</v>
      </c>
      <c r="H763" s="29" t="inlineStr">
        <is>
          <t>Cough / Fever</t>
        </is>
      </c>
      <c r="I763" s="29" t="n">
        <v>107</v>
      </c>
      <c r="J763" s="29" t="n">
        <v>138</v>
      </c>
      <c r="K763" s="32">
        <f>I763/J763</f>
        <v/>
      </c>
      <c r="L763" s="31" t="n">
        <v>19</v>
      </c>
      <c r="M763" s="29" t="inlineStr">
        <is>
          <t>Discharged</t>
        </is>
      </c>
    </row>
    <row r="764">
      <c r="A764" t="inlineStr">
        <is>
          <t>ED211163</t>
        </is>
      </c>
      <c r="B764" t="inlineStr">
        <is>
          <t>PT12060</t>
        </is>
      </c>
      <c r="C764" s="26" t="n">
        <v>45961.60208333333</v>
      </c>
      <c r="D764" t="inlineStr">
        <is>
          <t>Fri</t>
        </is>
      </c>
      <c r="E764" s="27" t="n">
        <v>14</v>
      </c>
      <c r="F764" t="inlineStr">
        <is>
          <t>Walk-In</t>
        </is>
      </c>
      <c r="G764" s="27" t="n">
        <v>4</v>
      </c>
      <c r="H764" t="inlineStr">
        <is>
          <t>Vomiting / Diarrhea</t>
        </is>
      </c>
      <c r="I764" t="n">
        <v>100</v>
      </c>
      <c r="J764" t="n">
        <v>138</v>
      </c>
      <c r="K764" s="28">
        <f>I764/J764</f>
        <v/>
      </c>
      <c r="L764" s="27" t="n">
        <v>112</v>
      </c>
      <c r="M764" t="inlineStr">
        <is>
          <t>Discharged</t>
        </is>
      </c>
    </row>
    <row r="765">
      <c r="A765" t="inlineStr">
        <is>
          <t>ED211164</t>
        </is>
      </c>
      <c r="B765" t="inlineStr">
        <is>
          <t>PT10369</t>
        </is>
      </c>
      <c r="C765" s="26" t="n">
        <v>45961.63402777778</v>
      </c>
      <c r="D765" t="inlineStr">
        <is>
          <t>Fri</t>
        </is>
      </c>
      <c r="E765" s="27" t="n">
        <v>15</v>
      </c>
      <c r="F765" t="inlineStr">
        <is>
          <t>Walk-In</t>
        </is>
      </c>
      <c r="G765" s="27" t="n">
        <v>3</v>
      </c>
      <c r="H765" t="inlineStr">
        <is>
          <t>Fall / Hip Pain</t>
        </is>
      </c>
      <c r="I765" t="n">
        <v>81</v>
      </c>
      <c r="J765" t="n">
        <v>135</v>
      </c>
      <c r="K765" s="28">
        <f>I765/J765</f>
        <v/>
      </c>
      <c r="L765" s="27" t="n">
        <v>106</v>
      </c>
      <c r="M765" t="inlineStr">
        <is>
          <t>Admitted</t>
        </is>
      </c>
    </row>
    <row r="766">
      <c r="A766" t="inlineStr">
        <is>
          <t>ED211177</t>
        </is>
      </c>
      <c r="B766" t="inlineStr">
        <is>
          <t>PT10005</t>
        </is>
      </c>
      <c r="C766" s="26" t="n">
        <v>45962.22708333333</v>
      </c>
      <c r="D766" t="inlineStr">
        <is>
          <t>Sat</t>
        </is>
      </c>
      <c r="E766" s="27" t="n">
        <v>5</v>
      </c>
      <c r="F766" t="inlineStr">
        <is>
          <t>Walk-In</t>
        </is>
      </c>
      <c r="G766" s="27" t="n">
        <v>2</v>
      </c>
      <c r="H766" t="inlineStr">
        <is>
          <t>Abdominal Pain / Vomiting</t>
        </is>
      </c>
      <c r="I766" t="n">
        <v>80</v>
      </c>
      <c r="J766" t="n">
        <v>134</v>
      </c>
      <c r="K766" s="28">
        <f>I766/J766</f>
        <v/>
      </c>
      <c r="L766" s="27" t="n">
        <v>6</v>
      </c>
      <c r="M766" t="inlineStr">
        <is>
          <t>Admitted</t>
        </is>
      </c>
    </row>
    <row r="767">
      <c r="A767" t="inlineStr">
        <is>
          <t>ED211179</t>
        </is>
      </c>
      <c r="B767" t="inlineStr">
        <is>
          <t>PT12166</t>
        </is>
      </c>
      <c r="C767" s="26" t="n">
        <v>45962.35902777778</v>
      </c>
      <c r="D767" t="inlineStr">
        <is>
          <t>Sat</t>
        </is>
      </c>
      <c r="E767" s="27" t="n">
        <v>8</v>
      </c>
      <c r="F767" t="inlineStr">
        <is>
          <t>Walk-In</t>
        </is>
      </c>
      <c r="G767" s="27" t="n">
        <v>4</v>
      </c>
      <c r="H767" t="inlineStr">
        <is>
          <t>Headache</t>
        </is>
      </c>
      <c r="I767" t="n">
        <v>95</v>
      </c>
      <c r="J767" t="n">
        <v>145</v>
      </c>
      <c r="K767" s="28">
        <f>I767/J767</f>
        <v/>
      </c>
      <c r="L767" s="27" t="n">
        <v>100</v>
      </c>
      <c r="M767" t="inlineStr">
        <is>
          <t>Discharged</t>
        </is>
      </c>
    </row>
    <row r="768">
      <c r="A768" t="inlineStr">
        <is>
          <t>ED211183</t>
        </is>
      </c>
      <c r="B768" t="inlineStr">
        <is>
          <t>PT10749</t>
        </is>
      </c>
      <c r="C768" s="26" t="n">
        <v>45962.53680555556</v>
      </c>
      <c r="D768" t="inlineStr">
        <is>
          <t>Sat</t>
        </is>
      </c>
      <c r="E768" s="27" t="n">
        <v>12</v>
      </c>
      <c r="F768" t="inlineStr">
        <is>
          <t>Walk-In</t>
        </is>
      </c>
      <c r="G768" s="27" t="n">
        <v>2</v>
      </c>
      <c r="H768" t="inlineStr">
        <is>
          <t>Fainting</t>
        </is>
      </c>
      <c r="I768" t="n">
        <v>80</v>
      </c>
      <c r="J768" t="n">
        <v>127</v>
      </c>
      <c r="K768" s="28">
        <f>I768/J768</f>
        <v/>
      </c>
      <c r="L768" s="27" t="n">
        <v>12</v>
      </c>
      <c r="M768" t="inlineStr">
        <is>
          <t>Observation</t>
        </is>
      </c>
    </row>
    <row r="769">
      <c r="A769" t="inlineStr">
        <is>
          <t>ED211191</t>
        </is>
      </c>
      <c r="B769" t="inlineStr">
        <is>
          <t>PT11231</t>
        </is>
      </c>
      <c r="C769" s="26" t="n">
        <v>45963.43402777778</v>
      </c>
      <c r="D769" t="inlineStr">
        <is>
          <t>Sun</t>
        </is>
      </c>
      <c r="E769" s="27" t="n">
        <v>10</v>
      </c>
      <c r="F769" t="inlineStr">
        <is>
          <t>Walk-In</t>
        </is>
      </c>
      <c r="G769" s="27" t="n">
        <v>5</v>
      </c>
      <c r="H769" t="inlineStr">
        <is>
          <t>Ankle Injury</t>
        </is>
      </c>
      <c r="I769" t="n">
        <v>92</v>
      </c>
      <c r="J769" t="n">
        <v>132</v>
      </c>
      <c r="K769" s="28">
        <f>I769/J769</f>
        <v/>
      </c>
      <c r="L769" s="27" t="n">
        <v>82</v>
      </c>
      <c r="M769" t="inlineStr">
        <is>
          <t>Discharged</t>
        </is>
      </c>
    </row>
    <row r="770">
      <c r="A770" t="inlineStr">
        <is>
          <t>ED211193</t>
        </is>
      </c>
      <c r="B770" t="inlineStr">
        <is>
          <t>PT13940</t>
        </is>
      </c>
      <c r="C770" s="26" t="n">
        <v>45963.57361111111</v>
      </c>
      <c r="D770" t="inlineStr">
        <is>
          <t>Sun</t>
        </is>
      </c>
      <c r="E770" s="27" t="n">
        <v>13</v>
      </c>
      <c r="F770" t="inlineStr">
        <is>
          <t>Ambulance</t>
        </is>
      </c>
      <c r="G770" s="27" t="n">
        <v>2</v>
      </c>
      <c r="H770" t="inlineStr">
        <is>
          <t>Skin Redness / Swelling</t>
        </is>
      </c>
      <c r="I770" t="n">
        <v>65</v>
      </c>
      <c r="J770" t="n">
        <v>120</v>
      </c>
      <c r="K770" s="28">
        <f>I770/J770</f>
        <v/>
      </c>
      <c r="L770" s="27" t="n">
        <v>12</v>
      </c>
      <c r="M770" t="inlineStr">
        <is>
          <t>Observation</t>
        </is>
      </c>
    </row>
    <row r="771">
      <c r="A771" t="inlineStr">
        <is>
          <t>ED211194</t>
        </is>
      </c>
      <c r="B771" t="inlineStr">
        <is>
          <t>PT12896</t>
        </is>
      </c>
      <c r="C771" s="26" t="n">
        <v>45963.58194444444</v>
      </c>
      <c r="D771" t="inlineStr">
        <is>
          <t>Sun</t>
        </is>
      </c>
      <c r="E771" s="27" t="n">
        <v>13</v>
      </c>
      <c r="F771" t="inlineStr">
        <is>
          <t>Ambulance</t>
        </is>
      </c>
      <c r="G771" s="27" t="n">
        <v>3</v>
      </c>
      <c r="H771" t="inlineStr">
        <is>
          <t>Skin Redness / Swelling</t>
        </is>
      </c>
      <c r="I771" t="n">
        <v>77</v>
      </c>
      <c r="J771" t="n">
        <v>162</v>
      </c>
      <c r="K771" s="28">
        <f>I771/J771</f>
        <v/>
      </c>
      <c r="L771" s="27" t="n">
        <v>24</v>
      </c>
      <c r="M771" t="inlineStr">
        <is>
          <t>Admitted</t>
        </is>
      </c>
    </row>
    <row r="772">
      <c r="A772" t="inlineStr">
        <is>
          <t>ED211198</t>
        </is>
      </c>
      <c r="B772" t="inlineStr">
        <is>
          <t>PT12749</t>
        </is>
      </c>
      <c r="C772" s="26" t="n">
        <v>45963.88263888889</v>
      </c>
      <c r="D772" t="inlineStr">
        <is>
          <t>Sun</t>
        </is>
      </c>
      <c r="E772" s="27" t="n">
        <v>21</v>
      </c>
      <c r="F772" t="inlineStr">
        <is>
          <t>Walk-In</t>
        </is>
      </c>
      <c r="G772" s="27" t="n">
        <v>3</v>
      </c>
      <c r="H772" t="inlineStr">
        <is>
          <t>Rash</t>
        </is>
      </c>
      <c r="I772" t="n">
        <v>93</v>
      </c>
      <c r="J772" t="n">
        <v>124</v>
      </c>
      <c r="K772" s="28">
        <f>I772/J772</f>
        <v/>
      </c>
      <c r="L772" s="27" t="n">
        <v>23</v>
      </c>
      <c r="M772" t="inlineStr">
        <is>
          <t>Admitted</t>
        </is>
      </c>
    </row>
    <row r="773">
      <c r="A773" t="inlineStr">
        <is>
          <t>ED211212</t>
        </is>
      </c>
      <c r="B773" t="inlineStr">
        <is>
          <t>PT12938</t>
        </is>
      </c>
      <c r="C773" s="26" t="n">
        <v>45964.40972222222</v>
      </c>
      <c r="D773" t="inlineStr">
        <is>
          <t>Mon</t>
        </is>
      </c>
      <c r="E773" s="27" t="n">
        <v>9</v>
      </c>
      <c r="F773" t="inlineStr">
        <is>
          <t>Walk-In</t>
        </is>
      </c>
      <c r="G773" s="27" t="n">
        <v>2</v>
      </c>
      <c r="H773" t="inlineStr">
        <is>
          <t>High Blood Sugar</t>
        </is>
      </c>
      <c r="I773" t="n">
        <v>72</v>
      </c>
      <c r="J773" t="n">
        <v>126</v>
      </c>
      <c r="K773" s="28">
        <f>I773/J773</f>
        <v/>
      </c>
      <c r="L773" s="27" t="n">
        <v>31</v>
      </c>
      <c r="M773" t="inlineStr">
        <is>
          <t>Discharged</t>
        </is>
      </c>
    </row>
    <row r="774">
      <c r="A774" t="inlineStr">
        <is>
          <t>ED211222</t>
        </is>
      </c>
      <c r="B774" t="inlineStr">
        <is>
          <t>PT11243</t>
        </is>
      </c>
      <c r="C774" s="26" t="n">
        <v>45964.74652777778</v>
      </c>
      <c r="D774" t="inlineStr">
        <is>
          <t>Mon</t>
        </is>
      </c>
      <c r="E774" s="27" t="n">
        <v>17</v>
      </c>
      <c r="F774" t="inlineStr">
        <is>
          <t>Walk-In</t>
        </is>
      </c>
      <c r="G774" s="27" t="n">
        <v>3</v>
      </c>
      <c r="H774" t="inlineStr">
        <is>
          <t>Headache</t>
        </is>
      </c>
      <c r="I774" t="n">
        <v>89</v>
      </c>
      <c r="J774" t="n">
        <v>131</v>
      </c>
      <c r="K774" s="28">
        <f>I774/J774</f>
        <v/>
      </c>
      <c r="L774" s="27" t="n">
        <v>43</v>
      </c>
      <c r="M774" t="inlineStr">
        <is>
          <t>Discharged</t>
        </is>
      </c>
    </row>
    <row r="775">
      <c r="A775" t="inlineStr">
        <is>
          <t>ED211223</t>
        </is>
      </c>
      <c r="B775" t="inlineStr">
        <is>
          <t>PT12735</t>
        </is>
      </c>
      <c r="C775" s="26" t="n">
        <v>45964.76944444444</v>
      </c>
      <c r="D775" t="inlineStr">
        <is>
          <t>Mon</t>
        </is>
      </c>
      <c r="E775" s="27" t="n">
        <v>18</v>
      </c>
      <c r="F775" t="inlineStr">
        <is>
          <t>Walk-In</t>
        </is>
      </c>
      <c r="G775" s="27" t="n">
        <v>3</v>
      </c>
      <c r="H775" t="inlineStr">
        <is>
          <t>Shortness of Breath</t>
        </is>
      </c>
      <c r="I775" t="n">
        <v>118</v>
      </c>
      <c r="J775" t="n">
        <v>144</v>
      </c>
      <c r="K775" s="28">
        <f>I775/J775</f>
        <v/>
      </c>
      <c r="L775" s="27" t="n">
        <v>28</v>
      </c>
      <c r="M775" t="inlineStr">
        <is>
          <t>Observation</t>
        </is>
      </c>
    </row>
    <row r="776">
      <c r="A776" t="inlineStr">
        <is>
          <t>ED211236</t>
        </is>
      </c>
      <c r="B776" t="inlineStr">
        <is>
          <t>PT11783</t>
        </is>
      </c>
      <c r="C776" s="26" t="n">
        <v>45965.52222222222</v>
      </c>
      <c r="D776" t="inlineStr">
        <is>
          <t>Tue</t>
        </is>
      </c>
      <c r="E776" s="27" t="n">
        <v>12</v>
      </c>
      <c r="F776" t="inlineStr">
        <is>
          <t>Walk-In</t>
        </is>
      </c>
      <c r="G776" s="27" t="n">
        <v>2</v>
      </c>
      <c r="H776" t="inlineStr">
        <is>
          <t>Nausea</t>
        </is>
      </c>
      <c r="I776" t="n">
        <v>120</v>
      </c>
      <c r="J776" t="n">
        <v>125</v>
      </c>
      <c r="K776" s="28">
        <f>I776/J776</f>
        <v/>
      </c>
      <c r="L776" s="27" t="n">
        <v>36</v>
      </c>
      <c r="M776" t="inlineStr">
        <is>
          <t>Discharged</t>
        </is>
      </c>
    </row>
    <row r="777">
      <c r="A777" t="inlineStr">
        <is>
          <t>ED211238</t>
        </is>
      </c>
      <c r="B777" t="inlineStr">
        <is>
          <t>PT12802</t>
        </is>
      </c>
      <c r="C777" s="26" t="n">
        <v>45965.56875</v>
      </c>
      <c r="D777" t="inlineStr">
        <is>
          <t>Tue</t>
        </is>
      </c>
      <c r="E777" s="27" t="n">
        <v>13</v>
      </c>
      <c r="F777" t="inlineStr">
        <is>
          <t>Walk-In</t>
        </is>
      </c>
      <c r="G777" s="27" t="n">
        <v>3</v>
      </c>
      <c r="H777" t="inlineStr">
        <is>
          <t>Abdominal Pain</t>
        </is>
      </c>
      <c r="I777" t="n">
        <v>90</v>
      </c>
      <c r="J777" t="n">
        <v>110</v>
      </c>
      <c r="K777" s="28">
        <f>I777/J777</f>
        <v/>
      </c>
      <c r="L777" s="27" t="n">
        <v>63</v>
      </c>
      <c r="M777" t="inlineStr">
        <is>
          <t>Discharged</t>
        </is>
      </c>
    </row>
    <row r="778">
      <c r="A778" t="inlineStr">
        <is>
          <t>ED211257</t>
        </is>
      </c>
      <c r="B778" t="inlineStr">
        <is>
          <t>PT10786</t>
        </is>
      </c>
      <c r="C778" s="26" t="n">
        <v>45966.63055555556</v>
      </c>
      <c r="D778" t="inlineStr">
        <is>
          <t>Wed</t>
        </is>
      </c>
      <c r="E778" s="27" t="n">
        <v>15</v>
      </c>
      <c r="F778" t="inlineStr">
        <is>
          <t>Walk-In</t>
        </is>
      </c>
      <c r="G778" s="27" t="n">
        <v>5</v>
      </c>
      <c r="H778" t="inlineStr">
        <is>
          <t>Shortness of Breath</t>
        </is>
      </c>
      <c r="I778" t="n">
        <v>64</v>
      </c>
      <c r="J778" t="n">
        <v>124</v>
      </c>
      <c r="K778" s="28">
        <f>I778/J778</f>
        <v/>
      </c>
      <c r="L778" s="27" t="n">
        <v>65</v>
      </c>
      <c r="M778" t="inlineStr">
        <is>
          <t>Discharged</t>
        </is>
      </c>
    </row>
    <row r="779">
      <c r="A779" t="inlineStr">
        <is>
          <t>ED211259</t>
        </is>
      </c>
      <c r="B779" t="inlineStr">
        <is>
          <t>PT10601</t>
        </is>
      </c>
      <c r="C779" s="26" t="n">
        <v>45966.72430555556</v>
      </c>
      <c r="D779" t="inlineStr">
        <is>
          <t>Wed</t>
        </is>
      </c>
      <c r="E779" s="27" t="n">
        <v>17</v>
      </c>
      <c r="F779" t="inlineStr">
        <is>
          <t>Walk-In</t>
        </is>
      </c>
      <c r="G779" s="27" t="n">
        <v>4</v>
      </c>
      <c r="H779" t="inlineStr">
        <is>
          <t>Cough / Fever</t>
        </is>
      </c>
      <c r="I779" t="n">
        <v>95</v>
      </c>
      <c r="J779" t="n">
        <v>132</v>
      </c>
      <c r="K779" s="28">
        <f>I779/J779</f>
        <v/>
      </c>
      <c r="L779" s="27" t="n">
        <v>15</v>
      </c>
      <c r="M779" t="inlineStr">
        <is>
          <t>Discharged</t>
        </is>
      </c>
    </row>
    <row r="780">
      <c r="A780" t="inlineStr">
        <is>
          <t>ED211264</t>
        </is>
      </c>
      <c r="B780" t="inlineStr">
        <is>
          <t>PT11381</t>
        </is>
      </c>
      <c r="C780" s="26" t="n">
        <v>45966.8875</v>
      </c>
      <c r="D780" t="inlineStr">
        <is>
          <t>Wed</t>
        </is>
      </c>
      <c r="E780" s="27" t="n">
        <v>21</v>
      </c>
      <c r="F780" t="inlineStr">
        <is>
          <t>Walk-In</t>
        </is>
      </c>
      <c r="G780" s="27" t="n">
        <v>3</v>
      </c>
      <c r="H780" t="inlineStr">
        <is>
          <t>High Blood Sugar</t>
        </is>
      </c>
      <c r="I780" t="n">
        <v>95</v>
      </c>
      <c r="J780" t="n">
        <v>114</v>
      </c>
      <c r="K780" s="28">
        <f>I780/J780</f>
        <v/>
      </c>
      <c r="L780" s="27" t="n">
        <v>67</v>
      </c>
      <c r="M780" t="inlineStr">
        <is>
          <t>Discharged</t>
        </is>
      </c>
    </row>
    <row r="781">
      <c r="A781" t="inlineStr">
        <is>
          <t>ED211266</t>
        </is>
      </c>
      <c r="B781" t="inlineStr">
        <is>
          <t>PT10956</t>
        </is>
      </c>
      <c r="C781" s="26" t="n">
        <v>45967.41458333333</v>
      </c>
      <c r="D781" t="inlineStr">
        <is>
          <t>Thu</t>
        </is>
      </c>
      <c r="E781" s="27" t="n">
        <v>9</v>
      </c>
      <c r="F781" t="inlineStr">
        <is>
          <t>Walk-In</t>
        </is>
      </c>
      <c r="G781" s="27" t="n">
        <v>3</v>
      </c>
      <c r="H781" t="inlineStr">
        <is>
          <t>Fall / Hip Pain</t>
        </is>
      </c>
      <c r="I781" t="n">
        <v>66</v>
      </c>
      <c r="J781" t="n">
        <v>141</v>
      </c>
      <c r="K781" s="28">
        <f>I781/J781</f>
        <v/>
      </c>
      <c r="L781" s="27" t="n">
        <v>27</v>
      </c>
      <c r="M781" t="inlineStr">
        <is>
          <t>Admitted</t>
        </is>
      </c>
    </row>
    <row r="782">
      <c r="A782" t="inlineStr">
        <is>
          <t>ED211269</t>
        </is>
      </c>
      <c r="B782" t="inlineStr">
        <is>
          <t>PT11456</t>
        </is>
      </c>
      <c r="C782" s="26" t="n">
        <v>45967.47361111111</v>
      </c>
      <c r="D782" t="inlineStr">
        <is>
          <t>Thu</t>
        </is>
      </c>
      <c r="E782" s="27" t="n">
        <v>11</v>
      </c>
      <c r="F782" t="inlineStr">
        <is>
          <t>Ambulance</t>
        </is>
      </c>
      <c r="G782" s="27" t="n">
        <v>2</v>
      </c>
      <c r="H782" t="inlineStr">
        <is>
          <t>Shortness of Breath</t>
        </is>
      </c>
      <c r="I782" t="n">
        <v>120</v>
      </c>
      <c r="J782" t="n">
        <v>137</v>
      </c>
      <c r="K782" s="28">
        <f>I782/J782</f>
        <v/>
      </c>
      <c r="L782" s="27" t="n">
        <v>23</v>
      </c>
      <c r="M782" t="inlineStr">
        <is>
          <t>Admitted</t>
        </is>
      </c>
    </row>
    <row r="783">
      <c r="A783" t="inlineStr">
        <is>
          <t>ED211273</t>
        </is>
      </c>
      <c r="B783" t="inlineStr">
        <is>
          <t>PT12242</t>
        </is>
      </c>
      <c r="C783" s="26" t="n">
        <v>45967.6375</v>
      </c>
      <c r="D783" t="inlineStr">
        <is>
          <t>Thu</t>
        </is>
      </c>
      <c r="E783" s="27" t="n">
        <v>15</v>
      </c>
      <c r="F783" t="inlineStr">
        <is>
          <t>Walk-In</t>
        </is>
      </c>
      <c r="G783" s="27" t="n">
        <v>2</v>
      </c>
      <c r="H783" t="inlineStr">
        <is>
          <t>Shortness of Breath</t>
        </is>
      </c>
      <c r="I783" t="n">
        <v>109</v>
      </c>
      <c r="J783" t="n">
        <v>120</v>
      </c>
      <c r="K783" s="28">
        <f>I783/J783</f>
        <v/>
      </c>
      <c r="L783" s="27" t="n">
        <v>29</v>
      </c>
      <c r="M783" t="inlineStr">
        <is>
          <t>Discharged</t>
        </is>
      </c>
    </row>
    <row r="784">
      <c r="A784" s="29" t="inlineStr">
        <is>
          <t>ED211274</t>
        </is>
      </c>
      <c r="B784" s="29" t="inlineStr">
        <is>
          <t>PT10398</t>
        </is>
      </c>
      <c r="C784" s="30" t="n">
        <v>45967.71111111111</v>
      </c>
      <c r="D784" s="29" t="inlineStr">
        <is>
          <t>Thu</t>
        </is>
      </c>
      <c r="E784" s="31" t="n">
        <v>17</v>
      </c>
      <c r="F784" s="29" t="inlineStr">
        <is>
          <t>Walk-In</t>
        </is>
      </c>
      <c r="G784" s="31" t="n">
        <v>3</v>
      </c>
      <c r="H784" s="29" t="inlineStr">
        <is>
          <t>Cough / Fever</t>
        </is>
      </c>
      <c r="I784" s="29" t="n">
        <v>116</v>
      </c>
      <c r="J784" s="29" t="n">
        <v>129</v>
      </c>
      <c r="K784" s="32">
        <f>I784/J784</f>
        <v/>
      </c>
      <c r="L784" s="31" t="n">
        <v>60</v>
      </c>
      <c r="M784" s="29" t="inlineStr">
        <is>
          <t>Discharged</t>
        </is>
      </c>
    </row>
    <row r="785">
      <c r="A785" t="inlineStr">
        <is>
          <t>ED211290</t>
        </is>
      </c>
      <c r="B785" t="inlineStr">
        <is>
          <t>PT10662</t>
        </is>
      </c>
      <c r="C785" s="26" t="n">
        <v>45968.65</v>
      </c>
      <c r="D785" t="inlineStr">
        <is>
          <t>Fri</t>
        </is>
      </c>
      <c r="E785" s="27" t="n">
        <v>15</v>
      </c>
      <c r="F785" t="inlineStr">
        <is>
          <t>Ambulance</t>
        </is>
      </c>
      <c r="G785" s="27" t="n">
        <v>3</v>
      </c>
      <c r="H785" t="inlineStr">
        <is>
          <t>Painful Urination / Fever</t>
        </is>
      </c>
      <c r="I785" t="n">
        <v>88</v>
      </c>
      <c r="J785" t="n">
        <v>121</v>
      </c>
      <c r="K785" s="28">
        <f>I785/J785</f>
        <v/>
      </c>
      <c r="L785" s="27" t="n">
        <v>65</v>
      </c>
      <c r="M785" t="inlineStr">
        <is>
          <t>Admitted</t>
        </is>
      </c>
    </row>
    <row r="786">
      <c r="A786" t="inlineStr">
        <is>
          <t>ED211294</t>
        </is>
      </c>
      <c r="B786" t="inlineStr">
        <is>
          <t>PT13601</t>
        </is>
      </c>
      <c r="C786" s="26" t="n">
        <v>45968.84861111111</v>
      </c>
      <c r="D786" t="inlineStr">
        <is>
          <t>Fri</t>
        </is>
      </c>
      <c r="E786" s="27" t="n">
        <v>20</v>
      </c>
      <c r="F786" t="inlineStr">
        <is>
          <t>Walk-In</t>
        </is>
      </c>
      <c r="G786" s="27" t="n">
        <v>4</v>
      </c>
      <c r="H786" t="inlineStr">
        <is>
          <t>Fall</t>
        </is>
      </c>
      <c r="I786" t="n">
        <v>78</v>
      </c>
      <c r="J786" t="n">
        <v>119</v>
      </c>
      <c r="K786" s="28">
        <f>I786/J786</f>
        <v/>
      </c>
      <c r="L786" s="27" t="n">
        <v>54</v>
      </c>
      <c r="M786" t="inlineStr">
        <is>
          <t>Discharged</t>
        </is>
      </c>
    </row>
    <row r="787">
      <c r="A787" t="inlineStr">
        <is>
          <t>ED211301</t>
        </is>
      </c>
      <c r="B787" t="inlineStr">
        <is>
          <t>PT12081</t>
        </is>
      </c>
      <c r="C787" s="26" t="n">
        <v>45969.28888888889</v>
      </c>
      <c r="D787" t="inlineStr">
        <is>
          <t>Sat</t>
        </is>
      </c>
      <c r="E787" s="27" t="n">
        <v>6</v>
      </c>
      <c r="F787" t="inlineStr">
        <is>
          <t>Walk-In</t>
        </is>
      </c>
      <c r="G787" s="27" t="n">
        <v>2</v>
      </c>
      <c r="H787" t="inlineStr">
        <is>
          <t>Fainting</t>
        </is>
      </c>
      <c r="I787" t="n">
        <v>90</v>
      </c>
      <c r="J787" t="n">
        <v>136</v>
      </c>
      <c r="K787" s="28">
        <f>I787/J787</f>
        <v/>
      </c>
      <c r="L787" s="27" t="n">
        <v>26</v>
      </c>
      <c r="M787" t="inlineStr">
        <is>
          <t>Discharged</t>
        </is>
      </c>
    </row>
    <row r="788">
      <c r="A788" t="inlineStr">
        <is>
          <t>ED211310</t>
        </is>
      </c>
      <c r="B788" t="inlineStr">
        <is>
          <t>PT12026</t>
        </is>
      </c>
      <c r="C788" s="26" t="n">
        <v>45969.66875</v>
      </c>
      <c r="D788" t="inlineStr">
        <is>
          <t>Sat</t>
        </is>
      </c>
      <c r="E788" s="27" t="n">
        <v>16</v>
      </c>
      <c r="F788" t="inlineStr">
        <is>
          <t>Walk-In</t>
        </is>
      </c>
      <c r="G788" s="27" t="n">
        <v>5</v>
      </c>
      <c r="H788" t="inlineStr">
        <is>
          <t>Back Pain</t>
        </is>
      </c>
      <c r="I788" t="n">
        <v>74</v>
      </c>
      <c r="J788" t="n">
        <v>142</v>
      </c>
      <c r="K788" s="28">
        <f>I788/J788</f>
        <v/>
      </c>
      <c r="L788" s="27" t="n">
        <v>29</v>
      </c>
      <c r="M788" t="inlineStr">
        <is>
          <t>Discharged</t>
        </is>
      </c>
    </row>
    <row r="789">
      <c r="A789" t="inlineStr">
        <is>
          <t>ED211316</t>
        </is>
      </c>
      <c r="B789" t="inlineStr">
        <is>
          <t>PT10891</t>
        </is>
      </c>
      <c r="C789" s="26" t="n">
        <v>45969.90069444444</v>
      </c>
      <c r="D789" t="inlineStr">
        <is>
          <t>Sat</t>
        </is>
      </c>
      <c r="E789" s="27" t="n">
        <v>21</v>
      </c>
      <c r="F789" t="inlineStr">
        <is>
          <t>Walk-In</t>
        </is>
      </c>
      <c r="G789" s="27" t="n">
        <v>2</v>
      </c>
      <c r="H789" t="inlineStr">
        <is>
          <t>Fever / Altered Mental Status</t>
        </is>
      </c>
      <c r="I789" t="n">
        <v>134</v>
      </c>
      <c r="J789" t="n">
        <v>97</v>
      </c>
      <c r="K789" s="28">
        <f>I789/J789</f>
        <v/>
      </c>
      <c r="L789" s="27" t="n">
        <v>10</v>
      </c>
      <c r="M789" t="inlineStr">
        <is>
          <t>Admitted</t>
        </is>
      </c>
    </row>
    <row r="790">
      <c r="A790" t="inlineStr">
        <is>
          <t>ED211318</t>
        </is>
      </c>
      <c r="B790" t="inlineStr">
        <is>
          <t>PT13110</t>
        </is>
      </c>
      <c r="C790" s="26" t="n">
        <v>45970.00972222222</v>
      </c>
      <c r="D790" t="inlineStr">
        <is>
          <t>Sun</t>
        </is>
      </c>
      <c r="E790" s="27" t="n">
        <v>0</v>
      </c>
      <c r="F790" t="inlineStr">
        <is>
          <t>Walk-In</t>
        </is>
      </c>
      <c r="G790" s="27" t="n">
        <v>2</v>
      </c>
      <c r="H790" t="inlineStr">
        <is>
          <t>Palpitations</t>
        </is>
      </c>
      <c r="I790" t="n">
        <v>105</v>
      </c>
      <c r="J790" t="n">
        <v>174</v>
      </c>
      <c r="K790" s="28">
        <f>I790/J790</f>
        <v/>
      </c>
      <c r="L790" s="27" t="n">
        <v>6</v>
      </c>
      <c r="M790" t="inlineStr">
        <is>
          <t>Discharged</t>
        </is>
      </c>
    </row>
    <row r="791">
      <c r="A791" t="inlineStr">
        <is>
          <t>ED211331</t>
        </is>
      </c>
      <c r="B791" t="inlineStr">
        <is>
          <t>PT12519</t>
        </is>
      </c>
      <c r="C791" s="26" t="n">
        <v>45971.49513888889</v>
      </c>
      <c r="D791" t="inlineStr">
        <is>
          <t>Mon</t>
        </is>
      </c>
      <c r="E791" s="27" t="n">
        <v>11</v>
      </c>
      <c r="F791" t="inlineStr">
        <is>
          <t>Ambulance</t>
        </is>
      </c>
      <c r="G791" s="27" t="n">
        <v>2</v>
      </c>
      <c r="H791" t="inlineStr">
        <is>
          <t>Weakness / Fatigue</t>
        </is>
      </c>
      <c r="I791" t="n">
        <v>69</v>
      </c>
      <c r="J791" t="n">
        <v>126</v>
      </c>
      <c r="K791" s="28">
        <f>I791/J791</f>
        <v/>
      </c>
      <c r="L791" s="27" t="n">
        <v>23</v>
      </c>
      <c r="M791" t="inlineStr">
        <is>
          <t>Admitted</t>
        </is>
      </c>
    </row>
    <row r="792">
      <c r="A792" t="inlineStr">
        <is>
          <t>ED211347</t>
        </is>
      </c>
      <c r="B792" t="inlineStr">
        <is>
          <t>PT11412</t>
        </is>
      </c>
      <c r="C792" s="26" t="n">
        <v>45972.04166666666</v>
      </c>
      <c r="D792" t="inlineStr">
        <is>
          <t>Tue</t>
        </is>
      </c>
      <c r="E792" s="27" t="n">
        <v>1</v>
      </c>
      <c r="F792" t="inlineStr">
        <is>
          <t>Walk-In</t>
        </is>
      </c>
      <c r="G792" s="27" t="n">
        <v>2</v>
      </c>
      <c r="H792" t="inlineStr">
        <is>
          <t>Shortness of Breath</t>
        </is>
      </c>
      <c r="I792" t="n">
        <v>87</v>
      </c>
      <c r="J792" t="n">
        <v>164</v>
      </c>
      <c r="K792" s="28">
        <f>I792/J792</f>
        <v/>
      </c>
      <c r="L792" s="27" t="n">
        <v>21</v>
      </c>
      <c r="M792" t="inlineStr">
        <is>
          <t>Admitted</t>
        </is>
      </c>
    </row>
    <row r="793">
      <c r="A793" t="inlineStr">
        <is>
          <t>ED211348</t>
        </is>
      </c>
      <c r="B793" t="inlineStr">
        <is>
          <t>PT13179</t>
        </is>
      </c>
      <c r="C793" s="26" t="n">
        <v>45972.275</v>
      </c>
      <c r="D793" t="inlineStr">
        <is>
          <t>Tue</t>
        </is>
      </c>
      <c r="E793" s="27" t="n">
        <v>6</v>
      </c>
      <c r="F793" t="inlineStr">
        <is>
          <t>Walk-In</t>
        </is>
      </c>
      <c r="G793" s="27" t="n">
        <v>3</v>
      </c>
      <c r="H793" t="inlineStr">
        <is>
          <t>Ankle Injury</t>
        </is>
      </c>
      <c r="I793" t="n">
        <v>94</v>
      </c>
      <c r="J793" t="n">
        <v>134</v>
      </c>
      <c r="K793" s="28">
        <f>I793/J793</f>
        <v/>
      </c>
      <c r="L793" s="27" t="n">
        <v>17</v>
      </c>
      <c r="M793" t="inlineStr">
        <is>
          <t>Discharged</t>
        </is>
      </c>
    </row>
    <row r="794">
      <c r="A794" s="29" t="inlineStr">
        <is>
          <t>ED211350</t>
        </is>
      </c>
      <c r="B794" s="29" t="inlineStr">
        <is>
          <t>PT12206</t>
        </is>
      </c>
      <c r="C794" s="30" t="n">
        <v>45972.43958333333</v>
      </c>
      <c r="D794" s="29" t="inlineStr">
        <is>
          <t>Tue</t>
        </is>
      </c>
      <c r="E794" s="31" t="n">
        <v>10</v>
      </c>
      <c r="F794" s="29" t="inlineStr">
        <is>
          <t>Ambulance</t>
        </is>
      </c>
      <c r="G794" s="31" t="n">
        <v>2</v>
      </c>
      <c r="H794" s="29" t="inlineStr">
        <is>
          <t>Fever / Altered Mental Status</t>
        </is>
      </c>
      <c r="I794" s="29" t="n">
        <v>120</v>
      </c>
      <c r="J794" s="29" t="n">
        <v>99</v>
      </c>
      <c r="K794" s="32">
        <f>I794/J794</f>
        <v/>
      </c>
      <c r="L794" s="31" t="n">
        <v>25</v>
      </c>
      <c r="M794" s="29" t="inlineStr">
        <is>
          <t>Admitted</t>
        </is>
      </c>
    </row>
    <row r="795">
      <c r="A795" t="inlineStr">
        <is>
          <t>ED211374</t>
        </is>
      </c>
      <c r="B795" t="inlineStr">
        <is>
          <t>PT10932</t>
        </is>
      </c>
      <c r="C795" s="26" t="n">
        <v>45973.47986111111</v>
      </c>
      <c r="D795" t="inlineStr">
        <is>
          <t>Wed</t>
        </is>
      </c>
      <c r="E795" s="27" t="n">
        <v>11</v>
      </c>
      <c r="F795" t="inlineStr">
        <is>
          <t>Walk-In</t>
        </is>
      </c>
      <c r="G795" s="27" t="n">
        <v>3</v>
      </c>
      <c r="H795" t="inlineStr">
        <is>
          <t>Headache</t>
        </is>
      </c>
      <c r="I795" t="n">
        <v>92</v>
      </c>
      <c r="J795" t="n">
        <v>175</v>
      </c>
      <c r="K795" s="28">
        <f>I795/J795</f>
        <v/>
      </c>
      <c r="L795" s="27" t="n">
        <v>31</v>
      </c>
      <c r="M795" t="inlineStr">
        <is>
          <t>Discharged</t>
        </is>
      </c>
    </row>
    <row r="796">
      <c r="A796" t="inlineStr">
        <is>
          <t>ED211375</t>
        </is>
      </c>
      <c r="B796" t="inlineStr">
        <is>
          <t>PT11401</t>
        </is>
      </c>
      <c r="C796" s="26" t="n">
        <v>45973.4875</v>
      </c>
      <c r="D796" t="inlineStr">
        <is>
          <t>Wed</t>
        </is>
      </c>
      <c r="E796" s="27" t="n">
        <v>11</v>
      </c>
      <c r="F796" t="inlineStr">
        <is>
          <t>Walk-In</t>
        </is>
      </c>
      <c r="G796" s="27" t="n">
        <v>5</v>
      </c>
      <c r="H796" t="inlineStr">
        <is>
          <t>Cough / Fever</t>
        </is>
      </c>
      <c r="I796" t="n">
        <v>80</v>
      </c>
      <c r="J796" t="n">
        <v>145</v>
      </c>
      <c r="K796" s="28">
        <f>I796/J796</f>
        <v/>
      </c>
      <c r="L796" s="27" t="n">
        <v>120</v>
      </c>
      <c r="M796" t="inlineStr">
        <is>
          <t>Discharged</t>
        </is>
      </c>
    </row>
    <row r="797">
      <c r="A797" s="29" t="inlineStr">
        <is>
          <t>ED211376</t>
        </is>
      </c>
      <c r="B797" s="29" t="inlineStr">
        <is>
          <t>PT11188</t>
        </is>
      </c>
      <c r="C797" s="30" t="n">
        <v>45973.53888888889</v>
      </c>
      <c r="D797" s="29" t="inlineStr">
        <is>
          <t>Wed</t>
        </is>
      </c>
      <c r="E797" s="31" t="n">
        <v>12</v>
      </c>
      <c r="F797" s="29" t="inlineStr">
        <is>
          <t>Walk-In</t>
        </is>
      </c>
      <c r="G797" s="31" t="n">
        <v>3</v>
      </c>
      <c r="H797" s="29" t="inlineStr">
        <is>
          <t>Cough / Fever</t>
        </is>
      </c>
      <c r="I797" s="29" t="n">
        <v>104</v>
      </c>
      <c r="J797" s="29" t="n">
        <v>143</v>
      </c>
      <c r="K797" s="32">
        <f>I797/J797</f>
        <v/>
      </c>
      <c r="L797" s="31" t="n">
        <v>28</v>
      </c>
      <c r="M797" s="29" t="inlineStr">
        <is>
          <t>Discharged</t>
        </is>
      </c>
    </row>
    <row r="798">
      <c r="A798" t="inlineStr">
        <is>
          <t>ED211385</t>
        </is>
      </c>
      <c r="B798" t="inlineStr">
        <is>
          <t>PT12166</t>
        </is>
      </c>
      <c r="C798" s="26" t="n">
        <v>45973.89791666667</v>
      </c>
      <c r="D798" t="inlineStr">
        <is>
          <t>Wed</t>
        </is>
      </c>
      <c r="E798" s="27" t="n">
        <v>21</v>
      </c>
      <c r="F798" t="inlineStr">
        <is>
          <t>Ambulance</t>
        </is>
      </c>
      <c r="G798" s="27" t="n">
        <v>2</v>
      </c>
      <c r="H798" t="inlineStr">
        <is>
          <t>Bloody Stool / Vomiting Blood</t>
        </is>
      </c>
      <c r="I798" t="n">
        <v>105</v>
      </c>
      <c r="J798" t="n">
        <v>91</v>
      </c>
      <c r="K798" s="28">
        <f>I798/J798</f>
        <v/>
      </c>
      <c r="L798" s="27" t="n">
        <v>11</v>
      </c>
      <c r="M798" t="inlineStr">
        <is>
          <t>Admitted</t>
        </is>
      </c>
    </row>
    <row r="799">
      <c r="A799" s="29" t="inlineStr">
        <is>
          <t>ED211386</t>
        </is>
      </c>
      <c r="B799" s="29" t="inlineStr">
        <is>
          <t>PT11485</t>
        </is>
      </c>
      <c r="C799" s="30" t="n">
        <v>45973.91736111111</v>
      </c>
      <c r="D799" s="29" t="inlineStr">
        <is>
          <t>Wed</t>
        </is>
      </c>
      <c r="E799" s="31" t="n">
        <v>22</v>
      </c>
      <c r="F799" s="29" t="inlineStr">
        <is>
          <t>Walk-In</t>
        </is>
      </c>
      <c r="G799" s="31" t="n">
        <v>2</v>
      </c>
      <c r="H799" s="29" t="inlineStr">
        <is>
          <t>Cough / Fever</t>
        </is>
      </c>
      <c r="I799" s="29" t="n">
        <v>106</v>
      </c>
      <c r="J799" s="29" t="n">
        <v>103</v>
      </c>
      <c r="K799" s="32">
        <f>I799/J799</f>
        <v/>
      </c>
      <c r="L799" s="31" t="n">
        <v>9</v>
      </c>
      <c r="M799" s="29" t="inlineStr">
        <is>
          <t>Discharged</t>
        </is>
      </c>
    </row>
    <row r="800">
      <c r="A800" t="inlineStr">
        <is>
          <t>ED211391</t>
        </is>
      </c>
      <c r="B800" t="inlineStr">
        <is>
          <t>PT12299</t>
        </is>
      </c>
      <c r="C800" s="26" t="n">
        <v>45974.40555555555</v>
      </c>
      <c r="D800" t="inlineStr">
        <is>
          <t>Thu</t>
        </is>
      </c>
      <c r="E800" s="27" t="n">
        <v>9</v>
      </c>
      <c r="F800" t="inlineStr">
        <is>
          <t>Walk-In</t>
        </is>
      </c>
      <c r="G800" s="27" t="n">
        <v>4</v>
      </c>
      <c r="H800" t="inlineStr">
        <is>
          <t>Dizziness</t>
        </is>
      </c>
      <c r="I800" t="n">
        <v>78</v>
      </c>
      <c r="J800" t="n">
        <v>129</v>
      </c>
      <c r="K800" s="28">
        <f>I800/J800</f>
        <v/>
      </c>
      <c r="L800" s="27" t="n">
        <v>93</v>
      </c>
      <c r="M800" t="inlineStr">
        <is>
          <t>Observation</t>
        </is>
      </c>
    </row>
    <row r="801">
      <c r="A801" t="inlineStr">
        <is>
          <t>ED211403</t>
        </is>
      </c>
      <c r="B801" t="inlineStr">
        <is>
          <t>PT11591</t>
        </is>
      </c>
      <c r="C801" s="26" t="n">
        <v>45974.81458333333</v>
      </c>
      <c r="D801" t="inlineStr">
        <is>
          <t>Thu</t>
        </is>
      </c>
      <c r="E801" s="27" t="n">
        <v>19</v>
      </c>
      <c r="F801" t="inlineStr">
        <is>
          <t>Walk-In</t>
        </is>
      </c>
      <c r="G801" s="27" t="n">
        <v>4</v>
      </c>
      <c r="H801" t="inlineStr">
        <is>
          <t>Anxiety / Palpitations</t>
        </is>
      </c>
      <c r="I801" t="n">
        <v>89</v>
      </c>
      <c r="J801" t="n">
        <v>117</v>
      </c>
      <c r="K801" s="28">
        <f>I801/J801</f>
        <v/>
      </c>
      <c r="L801" s="27" t="n">
        <v>10</v>
      </c>
      <c r="M801" t="inlineStr">
        <is>
          <t>Discharged</t>
        </is>
      </c>
    </row>
    <row r="802">
      <c r="A802" t="inlineStr">
        <is>
          <t>ED211414</t>
        </is>
      </c>
      <c r="B802" t="inlineStr">
        <is>
          <t>PT10062</t>
        </is>
      </c>
      <c r="C802" s="26" t="n">
        <v>45976.31527777778</v>
      </c>
      <c r="D802" t="inlineStr">
        <is>
          <t>Sat</t>
        </is>
      </c>
      <c r="E802" s="27" t="n">
        <v>7</v>
      </c>
      <c r="F802" t="inlineStr">
        <is>
          <t>Walk-In</t>
        </is>
      </c>
      <c r="G802" s="27" t="n">
        <v>3</v>
      </c>
      <c r="H802" t="inlineStr">
        <is>
          <t>Abdominal Pain</t>
        </is>
      </c>
      <c r="I802" t="n">
        <v>92</v>
      </c>
      <c r="J802" t="n">
        <v>144</v>
      </c>
      <c r="K802" s="28">
        <f>I802/J802</f>
        <v/>
      </c>
      <c r="L802" s="27" t="n">
        <v>57</v>
      </c>
      <c r="M802" t="inlineStr">
        <is>
          <t>Discharged</t>
        </is>
      </c>
    </row>
    <row r="803">
      <c r="A803" t="inlineStr">
        <is>
          <t>ED211428</t>
        </is>
      </c>
      <c r="B803" t="inlineStr">
        <is>
          <t>PT12735</t>
        </is>
      </c>
      <c r="C803" s="26" t="n">
        <v>45977.00694444445</v>
      </c>
      <c r="D803" t="inlineStr">
        <is>
          <t>Sun</t>
        </is>
      </c>
      <c r="E803" s="27" t="n">
        <v>0</v>
      </c>
      <c r="F803" t="inlineStr">
        <is>
          <t>Walk-In</t>
        </is>
      </c>
      <c r="G803" s="27" t="n">
        <v>3</v>
      </c>
      <c r="H803" t="inlineStr">
        <is>
          <t>Chest Pain</t>
        </is>
      </c>
      <c r="I803" t="n">
        <v>83</v>
      </c>
      <c r="J803" t="n">
        <v>163</v>
      </c>
      <c r="K803" s="28">
        <f>I803/J803</f>
        <v/>
      </c>
      <c r="L803" s="27" t="n">
        <v>42</v>
      </c>
      <c r="M803" t="inlineStr">
        <is>
          <t>Discharged</t>
        </is>
      </c>
    </row>
    <row r="804">
      <c r="A804" t="inlineStr">
        <is>
          <t>ED211429</t>
        </is>
      </c>
      <c r="B804" t="inlineStr">
        <is>
          <t>PT12851</t>
        </is>
      </c>
      <c r="C804" s="26" t="n">
        <v>45977.26041666666</v>
      </c>
      <c r="D804" t="inlineStr">
        <is>
          <t>Sun</t>
        </is>
      </c>
      <c r="E804" s="27" t="n">
        <v>6</v>
      </c>
      <c r="F804" t="inlineStr">
        <is>
          <t>Walk-In</t>
        </is>
      </c>
      <c r="G804" s="27" t="n">
        <v>3</v>
      </c>
      <c r="H804" t="inlineStr">
        <is>
          <t>Shortness of Breath</t>
        </is>
      </c>
      <c r="I804" t="n">
        <v>120</v>
      </c>
      <c r="J804" t="n">
        <v>134</v>
      </c>
      <c r="K804" s="28">
        <f>I804/J804</f>
        <v/>
      </c>
      <c r="L804" s="27" t="n">
        <v>15</v>
      </c>
      <c r="M804" t="inlineStr">
        <is>
          <t>Admitted</t>
        </is>
      </c>
    </row>
    <row r="805">
      <c r="A805" t="inlineStr">
        <is>
          <t>ED211445</t>
        </is>
      </c>
      <c r="B805" t="inlineStr">
        <is>
          <t>PT11926</t>
        </is>
      </c>
      <c r="C805" s="26" t="n">
        <v>45977.91319444445</v>
      </c>
      <c r="D805" t="inlineStr">
        <is>
          <t>Sun</t>
        </is>
      </c>
      <c r="E805" s="27" t="n">
        <v>21</v>
      </c>
      <c r="F805" t="inlineStr">
        <is>
          <t>Ambulance</t>
        </is>
      </c>
      <c r="G805" s="27" t="n">
        <v>2</v>
      </c>
      <c r="H805" t="inlineStr">
        <is>
          <t>Fall</t>
        </is>
      </c>
      <c r="I805" t="n">
        <v>75</v>
      </c>
      <c r="J805" t="n">
        <v>122</v>
      </c>
      <c r="K805" s="28">
        <f>I805/J805</f>
        <v/>
      </c>
      <c r="L805" s="27" t="n">
        <v>12</v>
      </c>
      <c r="M805" t="inlineStr">
        <is>
          <t>Admitted</t>
        </is>
      </c>
    </row>
    <row r="806">
      <c r="A806" t="inlineStr">
        <is>
          <t>ED211447</t>
        </is>
      </c>
      <c r="B806" t="inlineStr">
        <is>
          <t>PT11141</t>
        </is>
      </c>
      <c r="C806" s="26" t="n">
        <v>45977.93055555555</v>
      </c>
      <c r="D806" t="inlineStr">
        <is>
          <t>Sun</t>
        </is>
      </c>
      <c r="E806" s="27" t="n">
        <v>22</v>
      </c>
      <c r="F806" t="inlineStr">
        <is>
          <t>Walk-In</t>
        </is>
      </c>
      <c r="G806" s="27" t="n">
        <v>3</v>
      </c>
      <c r="H806" t="inlineStr">
        <is>
          <t>Skin Redness / Swelling</t>
        </is>
      </c>
      <c r="I806" t="n">
        <v>91</v>
      </c>
      <c r="J806" t="n">
        <v>135</v>
      </c>
      <c r="K806" s="28">
        <f>I806/J806</f>
        <v/>
      </c>
      <c r="L806" s="27" t="n">
        <v>76</v>
      </c>
      <c r="M806" t="inlineStr">
        <is>
          <t>Discharged</t>
        </is>
      </c>
    </row>
    <row r="807">
      <c r="A807" t="inlineStr">
        <is>
          <t>ED211450</t>
        </is>
      </c>
      <c r="B807" t="inlineStr">
        <is>
          <t>PT10568</t>
        </is>
      </c>
      <c r="C807" s="26" t="n">
        <v>45978.12638888889</v>
      </c>
      <c r="D807" t="inlineStr">
        <is>
          <t>Mon</t>
        </is>
      </c>
      <c r="E807" s="27" t="n">
        <v>3</v>
      </c>
      <c r="F807" t="inlineStr">
        <is>
          <t>Walk-In</t>
        </is>
      </c>
      <c r="G807" s="27" t="n">
        <v>3</v>
      </c>
      <c r="H807" t="inlineStr">
        <is>
          <t>Cough / Fever</t>
        </is>
      </c>
      <c r="I807" t="n">
        <v>113</v>
      </c>
      <c r="J807" t="n">
        <v>155</v>
      </c>
      <c r="K807" s="28">
        <f>I807/J807</f>
        <v/>
      </c>
      <c r="L807" s="27" t="n">
        <v>17</v>
      </c>
      <c r="M807" t="inlineStr">
        <is>
          <t>Discharged</t>
        </is>
      </c>
    </row>
    <row r="808">
      <c r="A808" t="inlineStr">
        <is>
          <t>ED211454</t>
        </is>
      </c>
      <c r="B808" t="inlineStr">
        <is>
          <t>PT11443</t>
        </is>
      </c>
      <c r="C808" s="26" t="n">
        <v>45978.29791666667</v>
      </c>
      <c r="D808" t="inlineStr">
        <is>
          <t>Mon</t>
        </is>
      </c>
      <c r="E808" s="27" t="n">
        <v>7</v>
      </c>
      <c r="F808" t="inlineStr">
        <is>
          <t>Walk-In</t>
        </is>
      </c>
      <c r="G808" s="27" t="n">
        <v>4</v>
      </c>
      <c r="H808" t="inlineStr">
        <is>
          <t>Anxiety / Palpitations</t>
        </is>
      </c>
      <c r="I808" t="n">
        <v>85</v>
      </c>
      <c r="J808" t="n">
        <v>130</v>
      </c>
      <c r="K808" s="28">
        <f>I808/J808</f>
        <v/>
      </c>
      <c r="L808" s="27" t="n">
        <v>39</v>
      </c>
      <c r="M808" t="inlineStr">
        <is>
          <t>Discharged</t>
        </is>
      </c>
    </row>
    <row r="809">
      <c r="A809" t="inlineStr">
        <is>
          <t>ED211461</t>
        </is>
      </c>
      <c r="B809" t="inlineStr">
        <is>
          <t>PT10074</t>
        </is>
      </c>
      <c r="C809" s="26" t="n">
        <v>45978.54583333333</v>
      </c>
      <c r="D809" t="inlineStr">
        <is>
          <t>Mon</t>
        </is>
      </c>
      <c r="E809" s="27" t="n">
        <v>13</v>
      </c>
      <c r="F809" t="inlineStr">
        <is>
          <t>Walk-In</t>
        </is>
      </c>
      <c r="G809" s="27" t="n">
        <v>3</v>
      </c>
      <c r="H809" t="inlineStr">
        <is>
          <t>Chest Pain</t>
        </is>
      </c>
      <c r="I809" t="n">
        <v>87</v>
      </c>
      <c r="J809" t="n">
        <v>140</v>
      </c>
      <c r="K809" s="28">
        <f>I809/J809</f>
        <v/>
      </c>
      <c r="L809" s="27" t="n">
        <v>19</v>
      </c>
      <c r="M809" t="inlineStr">
        <is>
          <t>Discharged</t>
        </is>
      </c>
    </row>
    <row r="810">
      <c r="A810" t="inlineStr">
        <is>
          <t>ED211464</t>
        </is>
      </c>
      <c r="B810" t="inlineStr">
        <is>
          <t>PT10537</t>
        </is>
      </c>
      <c r="C810" s="26" t="n">
        <v>45978.65069444444</v>
      </c>
      <c r="D810" t="inlineStr">
        <is>
          <t>Mon</t>
        </is>
      </c>
      <c r="E810" s="27" t="n">
        <v>15</v>
      </c>
      <c r="F810" t="inlineStr">
        <is>
          <t>Walk-In</t>
        </is>
      </c>
      <c r="G810" s="27" t="n">
        <v>3</v>
      </c>
      <c r="H810" t="inlineStr">
        <is>
          <t>Vomiting / Dizziness</t>
        </is>
      </c>
      <c r="I810" t="n">
        <v>79</v>
      </c>
      <c r="J810" t="n">
        <v>134</v>
      </c>
      <c r="K810" s="28">
        <f>I810/J810</f>
        <v/>
      </c>
      <c r="L810" s="27" t="n">
        <v>103</v>
      </c>
      <c r="M810" t="inlineStr">
        <is>
          <t>Admitted</t>
        </is>
      </c>
    </row>
    <row r="811">
      <c r="A811" t="inlineStr">
        <is>
          <t>ED211467</t>
        </is>
      </c>
      <c r="B811" t="inlineStr">
        <is>
          <t>PT13560</t>
        </is>
      </c>
      <c r="C811" s="26" t="n">
        <v>45978.92708333334</v>
      </c>
      <c r="D811" t="inlineStr">
        <is>
          <t>Mon</t>
        </is>
      </c>
      <c r="E811" s="27" t="n">
        <v>22</v>
      </c>
      <c r="F811" t="inlineStr">
        <is>
          <t>Walk-In</t>
        </is>
      </c>
      <c r="G811" s="27" t="n">
        <v>3</v>
      </c>
      <c r="H811" t="inlineStr">
        <is>
          <t>Shortness of Breath</t>
        </is>
      </c>
      <c r="I811" t="n">
        <v>87</v>
      </c>
      <c r="K811" s="28">
        <f>I811/J811</f>
        <v/>
      </c>
      <c r="L811" s="27" t="n"/>
      <c r="M811" t="inlineStr">
        <is>
          <t>LWBS</t>
        </is>
      </c>
    </row>
    <row r="812">
      <c r="A812" t="inlineStr">
        <is>
          <t>ED211470</t>
        </is>
      </c>
      <c r="B812" t="inlineStr">
        <is>
          <t>PT10774</t>
        </is>
      </c>
      <c r="C812" s="26" t="n">
        <v>45978.95694444444</v>
      </c>
      <c r="D812" t="inlineStr">
        <is>
          <t>Mon</t>
        </is>
      </c>
      <c r="E812" s="27" t="n">
        <v>22</v>
      </c>
      <c r="F812" t="inlineStr">
        <is>
          <t>Walk-In</t>
        </is>
      </c>
      <c r="G812" s="27" t="n">
        <v>3</v>
      </c>
      <c r="H812" t="inlineStr">
        <is>
          <t>Shortness of Breath</t>
        </is>
      </c>
      <c r="I812" t="n">
        <v>93</v>
      </c>
      <c r="J812" t="n">
        <v>136</v>
      </c>
      <c r="K812" s="28">
        <f>I812/J812</f>
        <v/>
      </c>
      <c r="L812" s="27" t="n">
        <v>31</v>
      </c>
      <c r="M812" t="inlineStr">
        <is>
          <t>Discharged</t>
        </is>
      </c>
    </row>
    <row r="813">
      <c r="A813" t="inlineStr">
        <is>
          <t>ED211480</t>
        </is>
      </c>
      <c r="B813" t="inlineStr">
        <is>
          <t>PT10177</t>
        </is>
      </c>
      <c r="C813" s="26" t="n">
        <v>45979.63611111111</v>
      </c>
      <c r="D813" t="inlineStr">
        <is>
          <t>Tue</t>
        </is>
      </c>
      <c r="E813" s="27" t="n">
        <v>15</v>
      </c>
      <c r="F813" t="inlineStr">
        <is>
          <t>Walk-In</t>
        </is>
      </c>
      <c r="G813" s="27" t="n">
        <v>3</v>
      </c>
      <c r="H813" t="inlineStr">
        <is>
          <t>Tremors / Alcohol Withdrawal</t>
        </is>
      </c>
      <c r="I813" t="n">
        <v>84</v>
      </c>
      <c r="J813" t="n">
        <v>126</v>
      </c>
      <c r="K813" s="28">
        <f>I813/J813</f>
        <v/>
      </c>
      <c r="L813" s="27" t="n">
        <v>25</v>
      </c>
      <c r="M813" t="inlineStr">
        <is>
          <t>Discharged</t>
        </is>
      </c>
    </row>
    <row r="814">
      <c r="A814" t="inlineStr">
        <is>
          <t>ED211499</t>
        </is>
      </c>
      <c r="B814" t="inlineStr">
        <is>
          <t>PT11274</t>
        </is>
      </c>
      <c r="C814" s="26" t="n">
        <v>45980.45763888889</v>
      </c>
      <c r="D814" t="inlineStr">
        <is>
          <t>Wed</t>
        </is>
      </c>
      <c r="E814" s="27" t="n">
        <v>10</v>
      </c>
      <c r="F814" t="inlineStr">
        <is>
          <t>Walk-In</t>
        </is>
      </c>
      <c r="G814" s="27" t="n">
        <v>3</v>
      </c>
      <c r="H814" t="inlineStr">
        <is>
          <t>Cough / Fever</t>
        </is>
      </c>
      <c r="I814" t="n">
        <v>106</v>
      </c>
      <c r="J814" t="n">
        <v>143</v>
      </c>
      <c r="K814" s="28">
        <f>I814/J814</f>
        <v/>
      </c>
      <c r="L814" s="27" t="n">
        <v>88</v>
      </c>
      <c r="M814" t="inlineStr">
        <is>
          <t>Discharged</t>
        </is>
      </c>
    </row>
    <row r="815">
      <c r="A815" t="inlineStr">
        <is>
          <t>ED211508</t>
        </is>
      </c>
      <c r="B815" t="inlineStr">
        <is>
          <t>PT11816</t>
        </is>
      </c>
      <c r="C815" s="26" t="n">
        <v>45980.73888888889</v>
      </c>
      <c r="D815" t="inlineStr">
        <is>
          <t>Wed</t>
        </is>
      </c>
      <c r="E815" s="27" t="n">
        <v>17</v>
      </c>
      <c r="F815" t="inlineStr">
        <is>
          <t>Ambulance</t>
        </is>
      </c>
      <c r="G815" s="27" t="n">
        <v>4</v>
      </c>
      <c r="H815" t="inlineStr">
        <is>
          <t>Headache</t>
        </is>
      </c>
      <c r="I815" t="n">
        <v>74</v>
      </c>
      <c r="J815" t="n">
        <v>152</v>
      </c>
      <c r="K815" s="28">
        <f>I815/J815</f>
        <v/>
      </c>
      <c r="L815" s="27" t="n">
        <v>102</v>
      </c>
      <c r="M815" t="inlineStr">
        <is>
          <t>Discharged</t>
        </is>
      </c>
    </row>
    <row r="816">
      <c r="A816" t="inlineStr">
        <is>
          <t>ED211509</t>
        </is>
      </c>
      <c r="B816" t="inlineStr">
        <is>
          <t>PT10510</t>
        </is>
      </c>
      <c r="C816" s="26" t="n">
        <v>45980.76944444444</v>
      </c>
      <c r="D816" t="inlineStr">
        <is>
          <t>Wed</t>
        </is>
      </c>
      <c r="E816" s="27" t="n">
        <v>18</v>
      </c>
      <c r="F816" t="inlineStr">
        <is>
          <t>Walk-In</t>
        </is>
      </c>
      <c r="G816" s="27" t="n">
        <v>3</v>
      </c>
      <c r="H816" t="inlineStr">
        <is>
          <t>Cough / Fever</t>
        </is>
      </c>
      <c r="I816" t="n">
        <v>96</v>
      </c>
      <c r="J816" t="n">
        <v>135</v>
      </c>
      <c r="K816" s="28">
        <f>I816/J816</f>
        <v/>
      </c>
      <c r="L816" s="27" t="n">
        <v>35</v>
      </c>
      <c r="M816" t="inlineStr">
        <is>
          <t>Admitted</t>
        </is>
      </c>
    </row>
    <row r="817">
      <c r="A817" t="inlineStr">
        <is>
          <t>ED211519</t>
        </is>
      </c>
      <c r="B817" t="inlineStr">
        <is>
          <t>PT12123</t>
        </is>
      </c>
      <c r="C817" s="26" t="n">
        <v>45981.42222222222</v>
      </c>
      <c r="D817" t="inlineStr">
        <is>
          <t>Thu</t>
        </is>
      </c>
      <c r="E817" s="27" t="n">
        <v>10</v>
      </c>
      <c r="F817" t="inlineStr">
        <is>
          <t>Walk-In</t>
        </is>
      </c>
      <c r="G817" s="27" t="n">
        <v>5</v>
      </c>
      <c r="H817" t="inlineStr">
        <is>
          <t>Ankle Injury</t>
        </is>
      </c>
      <c r="I817" t="n">
        <v>89</v>
      </c>
      <c r="J817" t="n">
        <v>94</v>
      </c>
      <c r="K817" s="28">
        <f>I817/J817</f>
        <v/>
      </c>
      <c r="L817" s="27" t="n">
        <v>40</v>
      </c>
      <c r="M817" t="inlineStr">
        <is>
          <t>Discharged</t>
        </is>
      </c>
    </row>
    <row r="818">
      <c r="A818" t="inlineStr">
        <is>
          <t>ED211535</t>
        </is>
      </c>
      <c r="B818" t="inlineStr">
        <is>
          <t>PT12929</t>
        </is>
      </c>
      <c r="C818" s="26" t="n">
        <v>45982.09166666667</v>
      </c>
      <c r="D818" t="inlineStr">
        <is>
          <t>Fri</t>
        </is>
      </c>
      <c r="E818" s="27" t="n">
        <v>2</v>
      </c>
      <c r="F818" t="inlineStr">
        <is>
          <t>Walk-In</t>
        </is>
      </c>
      <c r="G818" s="27" t="n">
        <v>4</v>
      </c>
      <c r="H818" t="inlineStr">
        <is>
          <t>Painful Urination / Fever</t>
        </is>
      </c>
      <c r="I818" t="n">
        <v>92</v>
      </c>
      <c r="J818" t="n">
        <v>120</v>
      </c>
      <c r="K818" s="28">
        <f>I818/J818</f>
        <v/>
      </c>
      <c r="L818" s="27" t="n">
        <v>28</v>
      </c>
      <c r="M818" t="inlineStr">
        <is>
          <t>Discharged</t>
        </is>
      </c>
    </row>
    <row r="819">
      <c r="A819" t="inlineStr">
        <is>
          <t>ED211536</t>
        </is>
      </c>
      <c r="B819" t="inlineStr">
        <is>
          <t>PT10463</t>
        </is>
      </c>
      <c r="C819" s="26" t="n">
        <v>45982.24513888889</v>
      </c>
      <c r="D819" t="inlineStr">
        <is>
          <t>Fri</t>
        </is>
      </c>
      <c r="E819" s="27" t="n">
        <v>5</v>
      </c>
      <c r="F819" t="inlineStr">
        <is>
          <t>Walk-In</t>
        </is>
      </c>
      <c r="G819" s="27" t="n">
        <v>3</v>
      </c>
      <c r="H819" t="inlineStr">
        <is>
          <t>Cough / Fever</t>
        </is>
      </c>
      <c r="I819" t="n">
        <v>84</v>
      </c>
      <c r="J819" t="n">
        <v>123</v>
      </c>
      <c r="K819" s="28">
        <f>I819/J819</f>
        <v/>
      </c>
      <c r="L819" s="27" t="n">
        <v>17</v>
      </c>
      <c r="M819" t="inlineStr">
        <is>
          <t>Discharged</t>
        </is>
      </c>
    </row>
    <row r="820">
      <c r="A820" t="inlineStr">
        <is>
          <t>ED211537</t>
        </is>
      </c>
      <c r="B820" t="inlineStr">
        <is>
          <t>PT11433</t>
        </is>
      </c>
      <c r="C820" s="26" t="n">
        <v>45982.39097222222</v>
      </c>
      <c r="D820" t="inlineStr">
        <is>
          <t>Fri</t>
        </is>
      </c>
      <c r="E820" s="27" t="n">
        <v>9</v>
      </c>
      <c r="F820" t="inlineStr">
        <is>
          <t>Ambulance</t>
        </is>
      </c>
      <c r="G820" s="27" t="n">
        <v>2</v>
      </c>
      <c r="H820" t="inlineStr">
        <is>
          <t>Fainting</t>
        </is>
      </c>
      <c r="I820" t="n">
        <v>74</v>
      </c>
      <c r="J820" t="n">
        <v>152</v>
      </c>
      <c r="K820" s="28">
        <f>I820/J820</f>
        <v/>
      </c>
      <c r="L820" s="27" t="n">
        <v>19</v>
      </c>
      <c r="M820" t="inlineStr">
        <is>
          <t>Discharged</t>
        </is>
      </c>
    </row>
    <row r="821">
      <c r="A821" t="inlineStr">
        <is>
          <t>ED211539</t>
        </is>
      </c>
      <c r="B821" t="inlineStr">
        <is>
          <t>PT12641</t>
        </is>
      </c>
      <c r="C821" s="26" t="n">
        <v>45982.55347222222</v>
      </c>
      <c r="D821" t="inlineStr">
        <is>
          <t>Fri</t>
        </is>
      </c>
      <c r="E821" s="27" t="n">
        <v>13</v>
      </c>
      <c r="F821" t="inlineStr">
        <is>
          <t>Walk-In</t>
        </is>
      </c>
      <c r="G821" s="27" t="n">
        <v>4</v>
      </c>
      <c r="H821" t="inlineStr">
        <is>
          <t>Vomiting / Diarrhea</t>
        </is>
      </c>
      <c r="I821" t="n">
        <v>109</v>
      </c>
      <c r="J821" t="n">
        <v>143</v>
      </c>
      <c r="K821" s="28">
        <f>I821/J821</f>
        <v/>
      </c>
      <c r="L821" s="27" t="n">
        <v>106</v>
      </c>
      <c r="M821" t="inlineStr">
        <is>
          <t>Discharged</t>
        </is>
      </c>
    </row>
    <row r="822">
      <c r="A822" t="inlineStr">
        <is>
          <t>ED211544</t>
        </is>
      </c>
      <c r="B822" t="inlineStr">
        <is>
          <t>PT10460</t>
        </is>
      </c>
      <c r="C822" s="26" t="n">
        <v>45982.75833333333</v>
      </c>
      <c r="D822" t="inlineStr">
        <is>
          <t>Fri</t>
        </is>
      </c>
      <c r="E822" s="27" t="n">
        <v>18</v>
      </c>
      <c r="F822" t="inlineStr">
        <is>
          <t>Walk-In</t>
        </is>
      </c>
      <c r="G822" s="27" t="n">
        <v>3</v>
      </c>
      <c r="H822" t="inlineStr">
        <is>
          <t>Shortness of Breath</t>
        </is>
      </c>
      <c r="I822" t="n">
        <v>89</v>
      </c>
      <c r="J822" t="n">
        <v>89</v>
      </c>
      <c r="K822" s="28">
        <f>I822/J822</f>
        <v/>
      </c>
      <c r="L822" s="27" t="n">
        <v>40</v>
      </c>
      <c r="M822" t="inlineStr">
        <is>
          <t>Discharged</t>
        </is>
      </c>
    </row>
    <row r="823">
      <c r="A823" t="inlineStr">
        <is>
          <t>ED211545</t>
        </is>
      </c>
      <c r="B823" t="inlineStr">
        <is>
          <t>PT11188</t>
        </is>
      </c>
      <c r="C823" s="26" t="n">
        <v>45982.75833333333</v>
      </c>
      <c r="D823" t="inlineStr">
        <is>
          <t>Fri</t>
        </is>
      </c>
      <c r="E823" s="27" t="n">
        <v>18</v>
      </c>
      <c r="F823" t="inlineStr">
        <is>
          <t>Walk-In</t>
        </is>
      </c>
      <c r="G823" s="27" t="n">
        <v>3</v>
      </c>
      <c r="H823" t="inlineStr">
        <is>
          <t>Fainting</t>
        </is>
      </c>
      <c r="I823" t="n">
        <v>84</v>
      </c>
      <c r="J823" t="n">
        <v>119</v>
      </c>
      <c r="K823" s="28">
        <f>I823/J823</f>
        <v/>
      </c>
      <c r="L823" s="27" t="n">
        <v>36</v>
      </c>
      <c r="M823" t="inlineStr">
        <is>
          <t>Discharged</t>
        </is>
      </c>
    </row>
    <row r="824">
      <c r="A824" t="inlineStr">
        <is>
          <t>ED211547</t>
        </is>
      </c>
      <c r="B824" t="inlineStr">
        <is>
          <t>PT13628</t>
        </is>
      </c>
      <c r="C824" s="26" t="n">
        <v>45982.79513888889</v>
      </c>
      <c r="D824" t="inlineStr">
        <is>
          <t>Fri</t>
        </is>
      </c>
      <c r="E824" s="27" t="n">
        <v>19</v>
      </c>
      <c r="F824" t="inlineStr">
        <is>
          <t>Walk-In</t>
        </is>
      </c>
      <c r="G824" s="27" t="n">
        <v>4</v>
      </c>
      <c r="H824" t="inlineStr">
        <is>
          <t>Abdominal Pain</t>
        </is>
      </c>
      <c r="I824" t="n">
        <v>92</v>
      </c>
      <c r="J824" t="n">
        <v>159</v>
      </c>
      <c r="K824" s="28">
        <f>I824/J824</f>
        <v/>
      </c>
      <c r="L824" s="27" t="n">
        <v>70</v>
      </c>
      <c r="M824" t="inlineStr">
        <is>
          <t>Discharged</t>
        </is>
      </c>
    </row>
    <row r="825">
      <c r="A825" t="inlineStr">
        <is>
          <t>ED211558</t>
        </is>
      </c>
      <c r="B825" t="inlineStr">
        <is>
          <t>PT10866</t>
        </is>
      </c>
      <c r="C825" s="26" t="n">
        <v>45983.75902777778</v>
      </c>
      <c r="D825" t="inlineStr">
        <is>
          <t>Sat</t>
        </is>
      </c>
      <c r="E825" s="27" t="n">
        <v>18</v>
      </c>
      <c r="F825" t="inlineStr">
        <is>
          <t>Ambulance</t>
        </is>
      </c>
      <c r="G825" s="27" t="n">
        <v>2</v>
      </c>
      <c r="H825" t="inlineStr">
        <is>
          <t>Abdominal Pain</t>
        </is>
      </c>
      <c r="I825" t="n">
        <v>84</v>
      </c>
      <c r="J825" t="n">
        <v>137</v>
      </c>
      <c r="K825" s="28">
        <f>I825/J825</f>
        <v/>
      </c>
      <c r="L825" s="27" t="n">
        <v>26</v>
      </c>
      <c r="M825" t="inlineStr">
        <is>
          <t>Admitted</t>
        </is>
      </c>
    </row>
    <row r="826">
      <c r="A826" t="inlineStr">
        <is>
          <t>ED211575</t>
        </is>
      </c>
      <c r="B826" t="inlineStr">
        <is>
          <t>PT13217</t>
        </is>
      </c>
      <c r="C826" s="26" t="n">
        <v>45984.72847222222</v>
      </c>
      <c r="D826" t="inlineStr">
        <is>
          <t>Sun</t>
        </is>
      </c>
      <c r="E826" s="27" t="n">
        <v>17</v>
      </c>
      <c r="F826" t="inlineStr">
        <is>
          <t>Walk-In</t>
        </is>
      </c>
      <c r="G826" s="27" t="n">
        <v>3</v>
      </c>
      <c r="H826" t="inlineStr">
        <is>
          <t>Painful Urination / Fever</t>
        </is>
      </c>
      <c r="I826" t="n">
        <v>95</v>
      </c>
      <c r="J826" t="n">
        <v>133</v>
      </c>
      <c r="K826" s="28">
        <f>I826/J826</f>
        <v/>
      </c>
      <c r="L826" s="27" t="n">
        <v>45</v>
      </c>
      <c r="M826" t="inlineStr">
        <is>
          <t>Observation</t>
        </is>
      </c>
    </row>
    <row r="827">
      <c r="A827" t="inlineStr">
        <is>
          <t>ED211576</t>
        </is>
      </c>
      <c r="B827" t="inlineStr">
        <is>
          <t>PT12774</t>
        </is>
      </c>
      <c r="C827" s="26" t="n">
        <v>45984.73333333333</v>
      </c>
      <c r="D827" t="inlineStr">
        <is>
          <t>Sun</t>
        </is>
      </c>
      <c r="E827" s="27" t="n">
        <v>17</v>
      </c>
      <c r="F827" t="inlineStr">
        <is>
          <t>Walk-In</t>
        </is>
      </c>
      <c r="G827" s="27" t="n">
        <v>4</v>
      </c>
      <c r="H827" t="inlineStr">
        <is>
          <t>Cough / Fever</t>
        </is>
      </c>
      <c r="I827" t="n">
        <v>98</v>
      </c>
      <c r="K827" s="28">
        <f>I827/J827</f>
        <v/>
      </c>
      <c r="L827" s="27" t="n"/>
      <c r="M827" t="inlineStr">
        <is>
          <t>LWBS</t>
        </is>
      </c>
    </row>
    <row r="828">
      <c r="A828" t="inlineStr">
        <is>
          <t>ED211580</t>
        </is>
      </c>
      <c r="B828" t="inlineStr">
        <is>
          <t>PT13575</t>
        </is>
      </c>
      <c r="C828" s="26" t="n">
        <v>45984.97152777778</v>
      </c>
      <c r="D828" t="inlineStr">
        <is>
          <t>Sun</t>
        </is>
      </c>
      <c r="E828" s="27" t="n">
        <v>23</v>
      </c>
      <c r="F828" t="inlineStr">
        <is>
          <t>Ambulance</t>
        </is>
      </c>
      <c r="G828" s="27" t="n">
        <v>5</v>
      </c>
      <c r="H828" t="inlineStr">
        <is>
          <t>Nausea</t>
        </is>
      </c>
      <c r="I828" t="n">
        <v>93</v>
      </c>
      <c r="J828" t="n">
        <v>96</v>
      </c>
      <c r="K828" s="28">
        <f>I828/J828</f>
        <v/>
      </c>
      <c r="L828" s="27" t="n">
        <v>14</v>
      </c>
      <c r="M828" t="inlineStr">
        <is>
          <t>Discharged</t>
        </is>
      </c>
    </row>
    <row r="829">
      <c r="A829" t="inlineStr">
        <is>
          <t>ED211590</t>
        </is>
      </c>
      <c r="B829" t="inlineStr">
        <is>
          <t>PT10387</t>
        </is>
      </c>
      <c r="C829" s="26" t="n">
        <v>45985.55</v>
      </c>
      <c r="D829" t="inlineStr">
        <is>
          <t>Mon</t>
        </is>
      </c>
      <c r="E829" s="27" t="n">
        <v>13</v>
      </c>
      <c r="F829" t="inlineStr">
        <is>
          <t>Ambulance</t>
        </is>
      </c>
      <c r="G829" s="27" t="n">
        <v>2</v>
      </c>
      <c r="H829" t="inlineStr">
        <is>
          <t>Fever / Altered Mental Status</t>
        </is>
      </c>
      <c r="I829" t="n">
        <v>116</v>
      </c>
      <c r="J829" t="n">
        <v>101</v>
      </c>
      <c r="K829" s="28">
        <f>I829/J829</f>
        <v/>
      </c>
      <c r="L829" s="27" t="n">
        <v>8</v>
      </c>
      <c r="M829" t="inlineStr">
        <is>
          <t>Admitted</t>
        </is>
      </c>
    </row>
    <row r="830">
      <c r="A830" t="inlineStr">
        <is>
          <t>ED211591</t>
        </is>
      </c>
      <c r="B830" t="inlineStr">
        <is>
          <t>PT12285</t>
        </is>
      </c>
      <c r="C830" s="26" t="n">
        <v>45985.57569444444</v>
      </c>
      <c r="D830" t="inlineStr">
        <is>
          <t>Mon</t>
        </is>
      </c>
      <c r="E830" s="27" t="n">
        <v>13</v>
      </c>
      <c r="F830" t="inlineStr">
        <is>
          <t>Walk-In</t>
        </is>
      </c>
      <c r="G830" s="27" t="n">
        <v>4</v>
      </c>
      <c r="H830" t="inlineStr">
        <is>
          <t>Laceration</t>
        </is>
      </c>
      <c r="I830" t="n">
        <v>112</v>
      </c>
      <c r="J830" t="n">
        <v>115</v>
      </c>
      <c r="K830" s="28">
        <f>I830/J830</f>
        <v/>
      </c>
      <c r="L830" s="27" t="n">
        <v>116</v>
      </c>
      <c r="M830" t="inlineStr">
        <is>
          <t>Observation</t>
        </is>
      </c>
    </row>
    <row r="831">
      <c r="A831" t="inlineStr">
        <is>
          <t>ED211595</t>
        </is>
      </c>
      <c r="B831" t="inlineStr">
        <is>
          <t>PT12989</t>
        </is>
      </c>
      <c r="C831" s="26" t="n">
        <v>45985.6875</v>
      </c>
      <c r="D831" t="inlineStr">
        <is>
          <t>Mon</t>
        </is>
      </c>
      <c r="E831" s="27" t="n">
        <v>16</v>
      </c>
      <c r="F831" t="inlineStr">
        <is>
          <t>Walk-In</t>
        </is>
      </c>
      <c r="G831" s="27" t="n">
        <v>3</v>
      </c>
      <c r="H831" t="inlineStr">
        <is>
          <t>Vomiting / Dizziness</t>
        </is>
      </c>
      <c r="I831" t="n">
        <v>90</v>
      </c>
      <c r="K831" s="28">
        <f>I831/J831</f>
        <v/>
      </c>
      <c r="L831" s="27" t="n"/>
      <c r="M831" t="inlineStr">
        <is>
          <t>LWBS</t>
        </is>
      </c>
    </row>
    <row r="832">
      <c r="A832" t="inlineStr">
        <is>
          <t>ED211597</t>
        </is>
      </c>
      <c r="B832" t="inlineStr">
        <is>
          <t>PT10181</t>
        </is>
      </c>
      <c r="C832" s="26" t="n">
        <v>45985.73125</v>
      </c>
      <c r="D832" t="inlineStr">
        <is>
          <t>Mon</t>
        </is>
      </c>
      <c r="E832" s="27" t="n">
        <v>17</v>
      </c>
      <c r="F832" t="inlineStr">
        <is>
          <t>Walk-In</t>
        </is>
      </c>
      <c r="G832" s="27" t="n">
        <v>4</v>
      </c>
      <c r="H832" t="inlineStr">
        <is>
          <t>Nausea</t>
        </is>
      </c>
      <c r="I832" t="n">
        <v>77</v>
      </c>
      <c r="J832" t="n">
        <v>130</v>
      </c>
      <c r="K832" s="28">
        <f>I832/J832</f>
        <v/>
      </c>
      <c r="L832" s="27" t="n">
        <v>108</v>
      </c>
      <c r="M832" t="inlineStr">
        <is>
          <t>Discharged</t>
        </is>
      </c>
    </row>
    <row r="833">
      <c r="A833" t="inlineStr">
        <is>
          <t>ED211600</t>
        </is>
      </c>
      <c r="B833" t="inlineStr">
        <is>
          <t>PT10943</t>
        </is>
      </c>
      <c r="C833" s="26" t="n">
        <v>45986.31041666667</v>
      </c>
      <c r="D833" t="inlineStr">
        <is>
          <t>Tue</t>
        </is>
      </c>
      <c r="E833" s="27" t="n">
        <v>7</v>
      </c>
      <c r="F833" t="inlineStr">
        <is>
          <t>Walk-In</t>
        </is>
      </c>
      <c r="G833" s="27" t="n">
        <v>3</v>
      </c>
      <c r="H833" t="inlineStr">
        <is>
          <t>Painful Urination / Fever</t>
        </is>
      </c>
      <c r="I833" t="n">
        <v>77</v>
      </c>
      <c r="J833" t="n">
        <v>116</v>
      </c>
      <c r="K833" s="28">
        <f>I833/J833</f>
        <v/>
      </c>
      <c r="L833" s="27" t="n">
        <v>39</v>
      </c>
      <c r="M833" t="inlineStr">
        <is>
          <t>Discharged</t>
        </is>
      </c>
    </row>
    <row r="834">
      <c r="A834" t="inlineStr">
        <is>
          <t>ED211602</t>
        </is>
      </c>
      <c r="B834" t="inlineStr">
        <is>
          <t>PT12105</t>
        </is>
      </c>
      <c r="C834" s="26" t="n">
        <v>45986.35</v>
      </c>
      <c r="D834" t="inlineStr">
        <is>
          <t>Tue</t>
        </is>
      </c>
      <c r="E834" s="27" t="n">
        <v>8</v>
      </c>
      <c r="F834" t="inlineStr">
        <is>
          <t>Walk-In</t>
        </is>
      </c>
      <c r="G834" s="27" t="n">
        <v>4</v>
      </c>
      <c r="H834" t="inlineStr">
        <is>
          <t>Abdominal Pain</t>
        </is>
      </c>
      <c r="I834" t="n">
        <v>100</v>
      </c>
      <c r="J834" t="n">
        <v>119</v>
      </c>
      <c r="K834" s="28">
        <f>I834/J834</f>
        <v/>
      </c>
      <c r="L834" s="27" t="n">
        <v>31</v>
      </c>
      <c r="M834" t="inlineStr">
        <is>
          <t>Discharged</t>
        </is>
      </c>
    </row>
    <row r="835">
      <c r="A835" t="inlineStr">
        <is>
          <t>ED211612</t>
        </is>
      </c>
      <c r="B835" t="inlineStr">
        <is>
          <t>PT11832</t>
        </is>
      </c>
      <c r="C835" s="26" t="n">
        <v>45986.54097222222</v>
      </c>
      <c r="D835" t="inlineStr">
        <is>
          <t>Tue</t>
        </is>
      </c>
      <c r="E835" s="27" t="n">
        <v>12</v>
      </c>
      <c r="F835" t="inlineStr">
        <is>
          <t>Walk-In</t>
        </is>
      </c>
      <c r="G835" s="27" t="n">
        <v>3</v>
      </c>
      <c r="H835" t="inlineStr">
        <is>
          <t>Chest Pain</t>
        </is>
      </c>
      <c r="I835" t="n">
        <v>79</v>
      </c>
      <c r="J835" t="n">
        <v>149</v>
      </c>
      <c r="K835" s="28">
        <f>I835/J835</f>
        <v/>
      </c>
      <c r="L835" s="27" t="n">
        <v>42</v>
      </c>
      <c r="M835" t="inlineStr">
        <is>
          <t>Discharged</t>
        </is>
      </c>
    </row>
    <row r="836">
      <c r="A836" t="inlineStr">
        <is>
          <t>ED211616</t>
        </is>
      </c>
      <c r="B836" t="inlineStr">
        <is>
          <t>PT12314</t>
        </is>
      </c>
      <c r="C836" s="26" t="n">
        <v>45987.23402777778</v>
      </c>
      <c r="D836" t="inlineStr">
        <is>
          <t>Wed</t>
        </is>
      </c>
      <c r="E836" s="27" t="n">
        <v>5</v>
      </c>
      <c r="F836" t="inlineStr">
        <is>
          <t>Walk-In</t>
        </is>
      </c>
      <c r="G836" s="27" t="n">
        <v>3</v>
      </c>
      <c r="H836" t="inlineStr">
        <is>
          <t>Anxiety / Palpitations</t>
        </is>
      </c>
      <c r="I836" t="n">
        <v>75</v>
      </c>
      <c r="J836" t="n">
        <v>133</v>
      </c>
      <c r="K836" s="28">
        <f>I836/J836</f>
        <v/>
      </c>
      <c r="L836" s="27" t="n">
        <v>44</v>
      </c>
      <c r="M836" t="inlineStr">
        <is>
          <t>Discharged</t>
        </is>
      </c>
    </row>
    <row r="837">
      <c r="A837" t="inlineStr">
        <is>
          <t>ED211631</t>
        </is>
      </c>
      <c r="B837" t="inlineStr">
        <is>
          <t>PT12893</t>
        </is>
      </c>
      <c r="C837" s="26" t="n">
        <v>45988.59583333333</v>
      </c>
      <c r="D837" t="inlineStr">
        <is>
          <t>Thu</t>
        </is>
      </c>
      <c r="E837" s="27" t="n">
        <v>14</v>
      </c>
      <c r="F837" t="inlineStr">
        <is>
          <t>Walk-In</t>
        </is>
      </c>
      <c r="G837" s="27" t="n">
        <v>4</v>
      </c>
      <c r="H837" t="inlineStr">
        <is>
          <t>Cough / Fever</t>
        </is>
      </c>
      <c r="I837" t="n">
        <v>90</v>
      </c>
      <c r="J837" t="n">
        <v>115</v>
      </c>
      <c r="K837" s="28">
        <f>I837/J837</f>
        <v/>
      </c>
      <c r="L837" s="27" t="n">
        <v>80</v>
      </c>
      <c r="M837" t="inlineStr">
        <is>
          <t>Discharged</t>
        </is>
      </c>
    </row>
    <row r="838">
      <c r="A838" t="inlineStr">
        <is>
          <t>ED211633</t>
        </is>
      </c>
      <c r="B838" t="inlineStr">
        <is>
          <t>PT10010</t>
        </is>
      </c>
      <c r="C838" s="26" t="n">
        <v>45988.65208333333</v>
      </c>
      <c r="D838" t="inlineStr">
        <is>
          <t>Thu</t>
        </is>
      </c>
      <c r="E838" s="27" t="n">
        <v>15</v>
      </c>
      <c r="F838" t="inlineStr">
        <is>
          <t>Walk-In</t>
        </is>
      </c>
      <c r="G838" s="27" t="n">
        <v>4</v>
      </c>
      <c r="H838" t="inlineStr">
        <is>
          <t>Ankle Injury</t>
        </is>
      </c>
      <c r="I838" t="n">
        <v>76</v>
      </c>
      <c r="J838" t="n">
        <v>123</v>
      </c>
      <c r="K838" s="28">
        <f>I838/J838</f>
        <v/>
      </c>
      <c r="L838" s="27" t="n">
        <v>28</v>
      </c>
      <c r="M838" t="inlineStr">
        <is>
          <t>Discharged</t>
        </is>
      </c>
    </row>
    <row r="839">
      <c r="A839" t="inlineStr">
        <is>
          <t>ED211662</t>
        </is>
      </c>
      <c r="B839" t="inlineStr">
        <is>
          <t>PT12695</t>
        </is>
      </c>
      <c r="C839" s="26" t="n">
        <v>45989.82986111111</v>
      </c>
      <c r="D839" t="inlineStr">
        <is>
          <t>Fri</t>
        </is>
      </c>
      <c r="E839" s="27" t="n">
        <v>19</v>
      </c>
      <c r="F839" t="inlineStr">
        <is>
          <t>Walk-In</t>
        </is>
      </c>
      <c r="G839" s="27" t="n">
        <v>3</v>
      </c>
      <c r="H839" t="inlineStr">
        <is>
          <t>Painful Urination / Fever</t>
        </is>
      </c>
      <c r="I839" t="n">
        <v>70</v>
      </c>
      <c r="J839" t="n">
        <v>131</v>
      </c>
      <c r="K839" s="28">
        <f>I839/J839</f>
        <v/>
      </c>
      <c r="L839" s="27" t="n">
        <v>99</v>
      </c>
      <c r="M839" t="inlineStr">
        <is>
          <t>Discharged</t>
        </is>
      </c>
    </row>
    <row r="840">
      <c r="A840" t="inlineStr">
        <is>
          <t>ED211669</t>
        </is>
      </c>
      <c r="B840" t="inlineStr">
        <is>
          <t>PT13427</t>
        </is>
      </c>
      <c r="C840" s="26" t="n">
        <v>45990.44930555556</v>
      </c>
      <c r="D840" t="inlineStr">
        <is>
          <t>Sat</t>
        </is>
      </c>
      <c r="E840" s="27" t="n">
        <v>10</v>
      </c>
      <c r="F840" t="inlineStr">
        <is>
          <t>Walk-In</t>
        </is>
      </c>
      <c r="G840" s="27" t="n">
        <v>3</v>
      </c>
      <c r="H840" t="inlineStr">
        <is>
          <t>Abdominal Pain</t>
        </is>
      </c>
      <c r="I840" t="n">
        <v>96</v>
      </c>
      <c r="J840" t="n">
        <v>152</v>
      </c>
      <c r="K840" s="28">
        <f>I840/J840</f>
        <v/>
      </c>
      <c r="L840" s="27" t="n">
        <v>41</v>
      </c>
      <c r="M840" t="inlineStr">
        <is>
          <t>Discharged</t>
        </is>
      </c>
    </row>
    <row r="841">
      <c r="A841" t="inlineStr">
        <is>
          <t>ED211673</t>
        </is>
      </c>
      <c r="B841" t="inlineStr">
        <is>
          <t>PT13869</t>
        </is>
      </c>
      <c r="C841" s="26" t="n">
        <v>45990.72847222222</v>
      </c>
      <c r="D841" t="inlineStr">
        <is>
          <t>Sat</t>
        </is>
      </c>
      <c r="E841" s="27" t="n">
        <v>17</v>
      </c>
      <c r="F841" t="inlineStr">
        <is>
          <t>Walk-In</t>
        </is>
      </c>
      <c r="G841" s="27" t="n">
        <v>3</v>
      </c>
      <c r="H841" t="inlineStr">
        <is>
          <t>Cough / Fever</t>
        </is>
      </c>
      <c r="I841" t="n">
        <v>98</v>
      </c>
      <c r="J841" t="n">
        <v>127</v>
      </c>
      <c r="K841" s="28">
        <f>I841/J841</f>
        <v/>
      </c>
      <c r="L841" s="27" t="n">
        <v>17</v>
      </c>
      <c r="M841" t="inlineStr">
        <is>
          <t>Discharged</t>
        </is>
      </c>
    </row>
    <row r="842">
      <c r="A842" t="inlineStr">
        <is>
          <t>ED211680</t>
        </is>
      </c>
      <c r="B842" t="inlineStr">
        <is>
          <t>PT12563</t>
        </is>
      </c>
      <c r="C842" s="26" t="n">
        <v>45991.15972222222</v>
      </c>
      <c r="D842" t="inlineStr">
        <is>
          <t>Sun</t>
        </is>
      </c>
      <c r="E842" s="27" t="n">
        <v>3</v>
      </c>
      <c r="F842" t="inlineStr">
        <is>
          <t>Walk-In</t>
        </is>
      </c>
      <c r="G842" s="27" t="n">
        <v>3</v>
      </c>
      <c r="H842" t="inlineStr">
        <is>
          <t>Abdominal Pain</t>
        </is>
      </c>
      <c r="I842" t="n">
        <v>86</v>
      </c>
      <c r="J842" t="n">
        <v>143</v>
      </c>
      <c r="K842" s="28">
        <f>I842/J842</f>
        <v/>
      </c>
      <c r="L842" s="27" t="n">
        <v>9</v>
      </c>
      <c r="M842" t="inlineStr">
        <is>
          <t>Admitted</t>
        </is>
      </c>
    </row>
    <row r="843">
      <c r="A843" t="inlineStr">
        <is>
          <t>ED211684</t>
        </is>
      </c>
      <c r="B843" t="inlineStr">
        <is>
          <t>PT13702</t>
        </is>
      </c>
      <c r="C843" s="26" t="n">
        <v>45991.50069444445</v>
      </c>
      <c r="D843" t="inlineStr">
        <is>
          <t>Sun</t>
        </is>
      </c>
      <c r="E843" s="27" t="n">
        <v>12</v>
      </c>
      <c r="F843" t="inlineStr">
        <is>
          <t>Walk-In</t>
        </is>
      </c>
      <c r="G843" s="27" t="n">
        <v>2</v>
      </c>
      <c r="H843" t="inlineStr">
        <is>
          <t>Fainting</t>
        </is>
      </c>
      <c r="I843" t="n">
        <v>83</v>
      </c>
      <c r="J843" t="n">
        <v>137</v>
      </c>
      <c r="K843" s="28">
        <f>I843/J843</f>
        <v/>
      </c>
      <c r="L843" s="27" t="n">
        <v>13</v>
      </c>
      <c r="M843" t="inlineStr">
        <is>
          <t>Discharged</t>
        </is>
      </c>
    </row>
    <row r="844">
      <c r="A844" t="inlineStr">
        <is>
          <t>ED211686</t>
        </is>
      </c>
      <c r="B844" t="inlineStr">
        <is>
          <t>PT10475</t>
        </is>
      </c>
      <c r="C844" s="26" t="n">
        <v>45991.58055555556</v>
      </c>
      <c r="D844" t="inlineStr">
        <is>
          <t>Sun</t>
        </is>
      </c>
      <c r="E844" s="27" t="n">
        <v>13</v>
      </c>
      <c r="F844" t="inlineStr">
        <is>
          <t>Walk-In</t>
        </is>
      </c>
      <c r="G844" s="27" t="n">
        <v>4</v>
      </c>
      <c r="H844" t="inlineStr">
        <is>
          <t>Cough / Fever</t>
        </is>
      </c>
      <c r="I844" t="n">
        <v>71</v>
      </c>
      <c r="J844" t="n">
        <v>141</v>
      </c>
      <c r="K844" s="28">
        <f>I844/J844</f>
        <v/>
      </c>
      <c r="L844" s="27" t="n">
        <v>48</v>
      </c>
      <c r="M844" t="inlineStr">
        <is>
          <t>Discharged</t>
        </is>
      </c>
    </row>
    <row r="845">
      <c r="A845" t="inlineStr">
        <is>
          <t>ED211693</t>
        </is>
      </c>
      <c r="B845" t="inlineStr">
        <is>
          <t>PT13519</t>
        </is>
      </c>
      <c r="C845" s="26" t="n">
        <v>45991.72430555556</v>
      </c>
      <c r="D845" t="inlineStr">
        <is>
          <t>Sun</t>
        </is>
      </c>
      <c r="E845" s="27" t="n">
        <v>17</v>
      </c>
      <c r="F845" t="inlineStr">
        <is>
          <t>Walk-In</t>
        </is>
      </c>
      <c r="G845" s="27" t="n">
        <v>4</v>
      </c>
      <c r="H845" t="inlineStr">
        <is>
          <t>Skin Redness / Swelling</t>
        </is>
      </c>
      <c r="I845" t="n">
        <v>69</v>
      </c>
      <c r="J845" t="n">
        <v>153</v>
      </c>
      <c r="K845" s="28">
        <f>I845/J845</f>
        <v/>
      </c>
      <c r="L845" s="27" t="n">
        <v>32</v>
      </c>
      <c r="M845" t="inlineStr">
        <is>
          <t>Admitted</t>
        </is>
      </c>
    </row>
    <row r="846">
      <c r="A846" t="inlineStr">
        <is>
          <t>ED211706</t>
        </is>
      </c>
      <c r="B846" t="inlineStr">
        <is>
          <t>PT12989</t>
        </is>
      </c>
      <c r="C846" s="26" t="n">
        <v>45992.5125</v>
      </c>
      <c r="D846" t="inlineStr">
        <is>
          <t>Mon</t>
        </is>
      </c>
      <c r="E846" s="27" t="n">
        <v>12</v>
      </c>
      <c r="F846" t="inlineStr">
        <is>
          <t>Ambulance</t>
        </is>
      </c>
      <c r="G846" s="27" t="n">
        <v>1</v>
      </c>
      <c r="H846" t="inlineStr">
        <is>
          <t>Shortness of Breath</t>
        </is>
      </c>
      <c r="I846" t="n">
        <v>81</v>
      </c>
      <c r="J846" t="n">
        <v>86</v>
      </c>
      <c r="K846" s="28">
        <f>I846/J846</f>
        <v/>
      </c>
      <c r="L846" s="27" t="n">
        <v>2</v>
      </c>
      <c r="M846" t="inlineStr">
        <is>
          <t>Admitted</t>
        </is>
      </c>
    </row>
    <row r="847">
      <c r="A847" t="inlineStr">
        <is>
          <t>ED211708</t>
        </is>
      </c>
      <c r="B847" t="inlineStr">
        <is>
          <t>PT11168</t>
        </is>
      </c>
      <c r="C847" s="26" t="n">
        <v>45992.59166666667</v>
      </c>
      <c r="D847" t="inlineStr">
        <is>
          <t>Mon</t>
        </is>
      </c>
      <c r="E847" s="27" t="n">
        <v>14</v>
      </c>
      <c r="F847" t="inlineStr">
        <is>
          <t>Walk-In</t>
        </is>
      </c>
      <c r="G847" s="27" t="n">
        <v>4</v>
      </c>
      <c r="H847" t="inlineStr">
        <is>
          <t>Cough / Fever</t>
        </is>
      </c>
      <c r="I847" t="n">
        <v>94</v>
      </c>
      <c r="J847" t="n">
        <v>136</v>
      </c>
      <c r="K847" s="28">
        <f>I847/J847</f>
        <v/>
      </c>
      <c r="L847" s="27" t="n">
        <v>52</v>
      </c>
      <c r="M847" t="inlineStr">
        <is>
          <t>Discharged</t>
        </is>
      </c>
    </row>
    <row r="848">
      <c r="A848" t="inlineStr">
        <is>
          <t>ED211711</t>
        </is>
      </c>
      <c r="B848" t="inlineStr">
        <is>
          <t>PT12187</t>
        </is>
      </c>
      <c r="C848" s="26" t="n">
        <v>45992.74791666667</v>
      </c>
      <c r="D848" t="inlineStr">
        <is>
          <t>Mon</t>
        </is>
      </c>
      <c r="E848" s="27" t="n">
        <v>17</v>
      </c>
      <c r="F848" t="inlineStr">
        <is>
          <t>Walk-In</t>
        </is>
      </c>
      <c r="G848" s="27" t="n">
        <v>3</v>
      </c>
      <c r="H848" t="inlineStr">
        <is>
          <t>Headache</t>
        </is>
      </c>
      <c r="I848" t="n">
        <v>83</v>
      </c>
      <c r="J848" t="n">
        <v>112</v>
      </c>
      <c r="K848" s="28">
        <f>I848/J848</f>
        <v/>
      </c>
      <c r="L848" s="27" t="n">
        <v>105</v>
      </c>
      <c r="M848" t="inlineStr">
        <is>
          <t>Discharged</t>
        </is>
      </c>
    </row>
    <row r="849">
      <c r="A849" t="inlineStr">
        <is>
          <t>ED211712</t>
        </is>
      </c>
      <c r="B849" t="inlineStr">
        <is>
          <t>PT13601</t>
        </is>
      </c>
      <c r="C849" s="26" t="n">
        <v>45992.75555555556</v>
      </c>
      <c r="D849" t="inlineStr">
        <is>
          <t>Mon</t>
        </is>
      </c>
      <c r="E849" s="27" t="n">
        <v>18</v>
      </c>
      <c r="F849" t="inlineStr">
        <is>
          <t>Walk-In</t>
        </is>
      </c>
      <c r="G849" s="27" t="n">
        <v>4</v>
      </c>
      <c r="H849" t="inlineStr">
        <is>
          <t>Skin Redness / Swelling</t>
        </is>
      </c>
      <c r="I849" t="n">
        <v>93</v>
      </c>
      <c r="J849" t="n">
        <v>118</v>
      </c>
      <c r="K849" s="28">
        <f>I849/J849</f>
        <v/>
      </c>
      <c r="L849" s="27" t="n">
        <v>20</v>
      </c>
      <c r="M849" t="inlineStr">
        <is>
          <t>Discharged</t>
        </is>
      </c>
    </row>
    <row r="850">
      <c r="A850" t="inlineStr">
        <is>
          <t>ED211715</t>
        </is>
      </c>
      <c r="B850" t="inlineStr">
        <is>
          <t>PT11247</t>
        </is>
      </c>
      <c r="C850" s="26" t="n">
        <v>45992.84583333333</v>
      </c>
      <c r="D850" t="inlineStr">
        <is>
          <t>Mon</t>
        </is>
      </c>
      <c r="E850" s="27" t="n">
        <v>20</v>
      </c>
      <c r="F850" t="inlineStr">
        <is>
          <t>Ambulance</t>
        </is>
      </c>
      <c r="G850" s="27" t="n">
        <v>2</v>
      </c>
      <c r="H850" t="inlineStr">
        <is>
          <t>Cough / Fever</t>
        </is>
      </c>
      <c r="I850" t="n">
        <v>111</v>
      </c>
      <c r="J850" t="n">
        <v>109</v>
      </c>
      <c r="K850" s="28">
        <f>I850/J850</f>
        <v/>
      </c>
      <c r="L850" s="27" t="n">
        <v>29</v>
      </c>
      <c r="M850" t="inlineStr">
        <is>
          <t>Observation</t>
        </is>
      </c>
    </row>
    <row r="851">
      <c r="A851" t="inlineStr">
        <is>
          <t>ED211722</t>
        </is>
      </c>
      <c r="B851" t="inlineStr">
        <is>
          <t>PT10969</t>
        </is>
      </c>
      <c r="C851" s="26" t="n">
        <v>45993.33888888889</v>
      </c>
      <c r="D851" t="inlineStr">
        <is>
          <t>Tue</t>
        </is>
      </c>
      <c r="E851" s="27" t="n">
        <v>8</v>
      </c>
      <c r="F851" t="inlineStr">
        <is>
          <t>Walk-In</t>
        </is>
      </c>
      <c r="G851" s="27" t="n">
        <v>3</v>
      </c>
      <c r="H851" t="inlineStr">
        <is>
          <t>Weakness / Fatigue</t>
        </is>
      </c>
      <c r="I851" t="n">
        <v>108</v>
      </c>
      <c r="J851" t="n">
        <v>121</v>
      </c>
      <c r="K851" s="28">
        <f>I851/J851</f>
        <v/>
      </c>
      <c r="L851" s="27" t="n">
        <v>73</v>
      </c>
      <c r="M851" t="inlineStr">
        <is>
          <t>Observation</t>
        </is>
      </c>
    </row>
    <row r="852">
      <c r="A852" t="inlineStr">
        <is>
          <t>ED211730</t>
        </is>
      </c>
      <c r="B852" t="inlineStr">
        <is>
          <t>PT12307</t>
        </is>
      </c>
      <c r="C852" s="26" t="n">
        <v>45993.67083333333</v>
      </c>
      <c r="D852" t="inlineStr">
        <is>
          <t>Tue</t>
        </is>
      </c>
      <c r="E852" s="27" t="n">
        <v>16</v>
      </c>
      <c r="F852" t="inlineStr">
        <is>
          <t>Walk-In</t>
        </is>
      </c>
      <c r="G852" s="27" t="n">
        <v>5</v>
      </c>
      <c r="H852" t="inlineStr">
        <is>
          <t>Cough / Fever</t>
        </is>
      </c>
      <c r="I852" t="n">
        <v>64</v>
      </c>
      <c r="J852" t="n">
        <v>100</v>
      </c>
      <c r="K852" s="28">
        <f>I852/J852</f>
        <v/>
      </c>
      <c r="L852" s="27" t="n">
        <v>103</v>
      </c>
      <c r="M852" t="inlineStr">
        <is>
          <t>Discharged</t>
        </is>
      </c>
    </row>
    <row r="853">
      <c r="A853" t="inlineStr">
        <is>
          <t>ED211735</t>
        </is>
      </c>
      <c r="B853" t="inlineStr">
        <is>
          <t>PT11673</t>
        </is>
      </c>
      <c r="C853" s="26" t="n">
        <v>45993.775</v>
      </c>
      <c r="D853" t="inlineStr">
        <is>
          <t>Tue</t>
        </is>
      </c>
      <c r="E853" s="27" t="n">
        <v>18</v>
      </c>
      <c r="F853" t="inlineStr">
        <is>
          <t>Walk-In</t>
        </is>
      </c>
      <c r="G853" s="27" t="n">
        <v>5</v>
      </c>
      <c r="H853" t="inlineStr">
        <is>
          <t>Cough / Fever</t>
        </is>
      </c>
      <c r="I853" t="n">
        <v>89</v>
      </c>
      <c r="J853" t="n">
        <v>105</v>
      </c>
      <c r="K853" s="28">
        <f>I853/J853</f>
        <v/>
      </c>
      <c r="L853" s="27" t="n">
        <v>58</v>
      </c>
      <c r="M853" t="inlineStr">
        <is>
          <t>Left AMA</t>
        </is>
      </c>
    </row>
    <row r="854">
      <c r="A854" t="inlineStr">
        <is>
          <t>ED211739</t>
        </is>
      </c>
      <c r="B854" t="inlineStr">
        <is>
          <t>PT10523</t>
        </is>
      </c>
      <c r="C854" s="26" t="n">
        <v>45994.00208333333</v>
      </c>
      <c r="D854" t="inlineStr">
        <is>
          <t>Wed</t>
        </is>
      </c>
      <c r="E854" s="27" t="n">
        <v>0</v>
      </c>
      <c r="F854" t="inlineStr">
        <is>
          <t>Ambulance</t>
        </is>
      </c>
      <c r="G854" s="27" t="n">
        <v>2</v>
      </c>
      <c r="H854" t="inlineStr">
        <is>
          <t>Shortness of Breath</t>
        </is>
      </c>
      <c r="I854" t="n">
        <v>107</v>
      </c>
      <c r="J854" t="n">
        <v>134</v>
      </c>
      <c r="K854" s="28">
        <f>I854/J854</f>
        <v/>
      </c>
      <c r="L854" s="27" t="n">
        <v>7</v>
      </c>
      <c r="M854" t="inlineStr">
        <is>
          <t>Discharged</t>
        </is>
      </c>
    </row>
    <row r="855">
      <c r="A855" t="inlineStr">
        <is>
          <t>ED211742</t>
        </is>
      </c>
      <c r="B855" t="inlineStr">
        <is>
          <t>PT13632</t>
        </is>
      </c>
      <c r="C855" s="26" t="n">
        <v>45994.4</v>
      </c>
      <c r="D855" t="inlineStr">
        <is>
          <t>Wed</t>
        </is>
      </c>
      <c r="E855" s="27" t="n">
        <v>9</v>
      </c>
      <c r="F855" t="inlineStr">
        <is>
          <t>Ambulance</t>
        </is>
      </c>
      <c r="G855" s="27" t="n">
        <v>2</v>
      </c>
      <c r="H855" t="inlineStr">
        <is>
          <t>Dizziness</t>
        </is>
      </c>
      <c r="I855" t="n">
        <v>117</v>
      </c>
      <c r="J855" t="n">
        <v>133</v>
      </c>
      <c r="K855" s="28">
        <f>I855/J855</f>
        <v/>
      </c>
      <c r="L855" s="27" t="n">
        <v>53</v>
      </c>
      <c r="M855" t="inlineStr">
        <is>
          <t>Admitted</t>
        </is>
      </c>
    </row>
    <row r="856">
      <c r="A856" t="inlineStr">
        <is>
          <t>ED211744</t>
        </is>
      </c>
      <c r="B856" t="inlineStr">
        <is>
          <t>PT13672</t>
        </is>
      </c>
      <c r="C856" s="26" t="n">
        <v>45994.45208333333</v>
      </c>
      <c r="D856" t="inlineStr">
        <is>
          <t>Wed</t>
        </is>
      </c>
      <c r="E856" s="27" t="n">
        <v>10</v>
      </c>
      <c r="F856" t="inlineStr">
        <is>
          <t>Walk-In</t>
        </is>
      </c>
      <c r="G856" s="27" t="n">
        <v>3</v>
      </c>
      <c r="H856" t="inlineStr">
        <is>
          <t>Shortness of Breath</t>
        </is>
      </c>
      <c r="I856" t="n">
        <v>65</v>
      </c>
      <c r="J856" t="n">
        <v>132</v>
      </c>
      <c r="K856" s="28">
        <f>I856/J856</f>
        <v/>
      </c>
      <c r="L856" s="27" t="n">
        <v>47</v>
      </c>
      <c r="M856" t="inlineStr">
        <is>
          <t>Admitted</t>
        </is>
      </c>
    </row>
    <row r="857">
      <c r="A857" s="29" t="inlineStr">
        <is>
          <t>ED211749</t>
        </is>
      </c>
      <c r="B857" s="29" t="inlineStr">
        <is>
          <t>PT10668</t>
        </is>
      </c>
      <c r="C857" s="30" t="n">
        <v>45994.56319444445</v>
      </c>
      <c r="D857" s="29" t="inlineStr">
        <is>
          <t>Wed</t>
        </is>
      </c>
      <c r="E857" s="31" t="n">
        <v>13</v>
      </c>
      <c r="F857" s="29" t="inlineStr">
        <is>
          <t>Ambulance</t>
        </is>
      </c>
      <c r="G857" s="31" t="n">
        <v>1</v>
      </c>
      <c r="H857" s="29" t="inlineStr">
        <is>
          <t>Fever / Altered Mental Status</t>
        </is>
      </c>
      <c r="I857" s="29" t="n">
        <v>118</v>
      </c>
      <c r="J857" s="29" t="n">
        <v>83</v>
      </c>
      <c r="K857" s="32">
        <f>I857/J857</f>
        <v/>
      </c>
      <c r="L857" s="31" t="n">
        <v>3</v>
      </c>
      <c r="M857" s="29" t="inlineStr">
        <is>
          <t>Admitted</t>
        </is>
      </c>
    </row>
    <row r="858">
      <c r="A858" t="inlineStr">
        <is>
          <t>ED211759</t>
        </is>
      </c>
      <c r="B858" t="inlineStr">
        <is>
          <t>PT12677</t>
        </is>
      </c>
      <c r="C858" s="26" t="n">
        <v>45995.16388888889</v>
      </c>
      <c r="D858" t="inlineStr">
        <is>
          <t>Thu</t>
        </is>
      </c>
      <c r="E858" s="27" t="n">
        <v>3</v>
      </c>
      <c r="F858" t="inlineStr">
        <is>
          <t>Ambulance</t>
        </is>
      </c>
      <c r="G858" s="27" t="n">
        <v>3</v>
      </c>
      <c r="H858" t="inlineStr">
        <is>
          <t>Abdominal Pain</t>
        </is>
      </c>
      <c r="I858" t="n">
        <v>80</v>
      </c>
      <c r="J858" t="n">
        <v>126</v>
      </c>
      <c r="K858" s="28">
        <f>I858/J858</f>
        <v/>
      </c>
      <c r="L858" s="27" t="n">
        <v>15</v>
      </c>
      <c r="M858" t="inlineStr">
        <is>
          <t>Observation</t>
        </is>
      </c>
    </row>
    <row r="859">
      <c r="A859" t="inlineStr">
        <is>
          <t>ED211764</t>
        </is>
      </c>
      <c r="B859" t="inlineStr">
        <is>
          <t>PT10032</t>
        </is>
      </c>
      <c r="C859" s="26" t="n">
        <v>45995.46180555555</v>
      </c>
      <c r="D859" t="inlineStr">
        <is>
          <t>Thu</t>
        </is>
      </c>
      <c r="E859" s="27" t="n">
        <v>11</v>
      </c>
      <c r="F859" t="inlineStr">
        <is>
          <t>Walk-In</t>
        </is>
      </c>
      <c r="G859" s="27" t="n">
        <v>5</v>
      </c>
      <c r="H859" t="inlineStr">
        <is>
          <t>Ankle Injury</t>
        </is>
      </c>
      <c r="I859" t="n">
        <v>83</v>
      </c>
      <c r="J859" t="n">
        <v>125</v>
      </c>
      <c r="K859" s="28">
        <f>I859/J859</f>
        <v/>
      </c>
      <c r="L859" s="27" t="n">
        <v>168</v>
      </c>
      <c r="M859" t="inlineStr">
        <is>
          <t>Discharged</t>
        </is>
      </c>
    </row>
    <row r="860">
      <c r="A860" t="inlineStr">
        <is>
          <t>ED211789</t>
        </is>
      </c>
      <c r="B860" t="inlineStr">
        <is>
          <t>PT12826</t>
        </is>
      </c>
      <c r="C860" s="26" t="n">
        <v>45996.64097222222</v>
      </c>
      <c r="D860" t="inlineStr">
        <is>
          <t>Fri</t>
        </is>
      </c>
      <c r="E860" s="27" t="n">
        <v>15</v>
      </c>
      <c r="F860" t="inlineStr">
        <is>
          <t>Walk-In</t>
        </is>
      </c>
      <c r="G860" s="27" t="n">
        <v>5</v>
      </c>
      <c r="H860" t="inlineStr">
        <is>
          <t>Ankle Injury</t>
        </is>
      </c>
      <c r="I860" t="n">
        <v>76</v>
      </c>
      <c r="J860" t="n">
        <v>139</v>
      </c>
      <c r="K860" s="28">
        <f>I860/J860</f>
        <v/>
      </c>
      <c r="L860" s="27" t="n">
        <v>74</v>
      </c>
      <c r="M860" t="inlineStr">
        <is>
          <t>Discharged</t>
        </is>
      </c>
    </row>
    <row r="861">
      <c r="A861" t="inlineStr">
        <is>
          <t>ED211803</t>
        </is>
      </c>
      <c r="B861" t="inlineStr">
        <is>
          <t>PT12890</t>
        </is>
      </c>
      <c r="C861" s="26" t="n">
        <v>45997.28680555556</v>
      </c>
      <c r="D861" t="inlineStr">
        <is>
          <t>Sat</t>
        </is>
      </c>
      <c r="E861" s="27" t="n">
        <v>6</v>
      </c>
      <c r="F861" t="inlineStr">
        <is>
          <t>Ambulance</t>
        </is>
      </c>
      <c r="G861" s="27" t="n">
        <v>2</v>
      </c>
      <c r="H861" t="inlineStr">
        <is>
          <t>Shortness of Breath</t>
        </is>
      </c>
      <c r="I861" t="n">
        <v>105</v>
      </c>
      <c r="J861" t="n">
        <v>151</v>
      </c>
      <c r="K861" s="28">
        <f>I861/J861</f>
        <v/>
      </c>
      <c r="L861" s="27" t="n">
        <v>23</v>
      </c>
      <c r="M861" t="inlineStr">
        <is>
          <t>Admitted</t>
        </is>
      </c>
    </row>
    <row r="862">
      <c r="A862" t="inlineStr">
        <is>
          <t>ED211812</t>
        </is>
      </c>
      <c r="B862" t="inlineStr">
        <is>
          <t>PT10721</t>
        </is>
      </c>
      <c r="C862" s="26" t="n">
        <v>45997.6875</v>
      </c>
      <c r="D862" t="inlineStr">
        <is>
          <t>Sat</t>
        </is>
      </c>
      <c r="E862" s="27" t="n">
        <v>16</v>
      </c>
      <c r="F862" t="inlineStr">
        <is>
          <t>Ambulance</t>
        </is>
      </c>
      <c r="G862" s="27" t="n">
        <v>3</v>
      </c>
      <c r="H862" t="inlineStr">
        <is>
          <t>Shortness of Breath</t>
        </is>
      </c>
      <c r="I862" t="n">
        <v>115</v>
      </c>
      <c r="J862" t="n">
        <v>120</v>
      </c>
      <c r="K862" s="28">
        <f>I862/J862</f>
        <v/>
      </c>
      <c r="L862" s="27" t="n">
        <v>43</v>
      </c>
      <c r="M862" t="inlineStr">
        <is>
          <t>Observation</t>
        </is>
      </c>
    </row>
    <row r="863">
      <c r="A863" s="29" t="inlineStr">
        <is>
          <t>ED211817</t>
        </is>
      </c>
      <c r="B863" s="29" t="inlineStr">
        <is>
          <t>PT11149</t>
        </is>
      </c>
      <c r="C863" s="30" t="n">
        <v>45998.05208333334</v>
      </c>
      <c r="D863" s="29" t="inlineStr">
        <is>
          <t>Sun</t>
        </is>
      </c>
      <c r="E863" s="31" t="n">
        <v>1</v>
      </c>
      <c r="F863" s="29" t="inlineStr">
        <is>
          <t>Ambulance</t>
        </is>
      </c>
      <c r="G863" s="31" t="n">
        <v>2</v>
      </c>
      <c r="H863" s="29" t="inlineStr">
        <is>
          <t>Cough / Fever</t>
        </is>
      </c>
      <c r="I863" s="29" t="n">
        <v>118</v>
      </c>
      <c r="J863" s="29" t="n">
        <v>136</v>
      </c>
      <c r="K863" s="32">
        <f>I863/J863</f>
        <v/>
      </c>
      <c r="L863" s="31" t="n">
        <v>7</v>
      </c>
      <c r="M863" s="29" t="inlineStr">
        <is>
          <t>Admitted</t>
        </is>
      </c>
    </row>
    <row r="864">
      <c r="A864" t="inlineStr">
        <is>
          <t>ED211818</t>
        </is>
      </c>
      <c r="B864" t="inlineStr">
        <is>
          <t>PT12770</t>
        </is>
      </c>
      <c r="C864" s="26" t="n">
        <v>45998.23958333334</v>
      </c>
      <c r="D864" t="inlineStr">
        <is>
          <t>Sun</t>
        </is>
      </c>
      <c r="E864" s="27" t="n">
        <v>5</v>
      </c>
      <c r="F864" t="inlineStr">
        <is>
          <t>Walk-In</t>
        </is>
      </c>
      <c r="G864" s="27" t="n">
        <v>4</v>
      </c>
      <c r="H864" t="inlineStr">
        <is>
          <t>Anxiety / Palpitations</t>
        </is>
      </c>
      <c r="I864" t="n">
        <v>94</v>
      </c>
      <c r="J864" t="n">
        <v>102</v>
      </c>
      <c r="K864" s="28">
        <f>I864/J864</f>
        <v/>
      </c>
      <c r="L864" s="27" t="n">
        <v>13</v>
      </c>
      <c r="M864" t="inlineStr">
        <is>
          <t>Discharged</t>
        </is>
      </c>
    </row>
    <row r="865">
      <c r="A865" s="29" t="inlineStr">
        <is>
          <t>ED211822</t>
        </is>
      </c>
      <c r="B865" s="29" t="inlineStr">
        <is>
          <t>PT11122</t>
        </is>
      </c>
      <c r="C865" s="30" t="n">
        <v>45998.40277777778</v>
      </c>
      <c r="D865" s="29" t="inlineStr">
        <is>
          <t>Sun</t>
        </is>
      </c>
      <c r="E865" s="31" t="n">
        <v>9</v>
      </c>
      <c r="F865" s="29" t="inlineStr">
        <is>
          <t>Ambulance</t>
        </is>
      </c>
      <c r="G865" s="31" t="n">
        <v>2</v>
      </c>
      <c r="H865" s="29" t="inlineStr">
        <is>
          <t>Fever / Altered Mental Status</t>
        </is>
      </c>
      <c r="I865" s="29" t="n">
        <v>157</v>
      </c>
      <c r="J865" s="29" t="n">
        <v>105</v>
      </c>
      <c r="K865" s="32">
        <f>I865/J865</f>
        <v/>
      </c>
      <c r="L865" s="31" t="n">
        <v>18</v>
      </c>
      <c r="M865" s="29" t="inlineStr">
        <is>
          <t>Admitted</t>
        </is>
      </c>
    </row>
    <row r="866">
      <c r="A866" t="inlineStr">
        <is>
          <t>ED211824</t>
        </is>
      </c>
      <c r="B866" t="inlineStr">
        <is>
          <t>PT13305</t>
        </is>
      </c>
      <c r="C866" s="26" t="n">
        <v>45998.60486111111</v>
      </c>
      <c r="D866" t="inlineStr">
        <is>
          <t>Sun</t>
        </is>
      </c>
      <c r="E866" s="27" t="n">
        <v>14</v>
      </c>
      <c r="F866" t="inlineStr">
        <is>
          <t>Walk-In</t>
        </is>
      </c>
      <c r="G866" s="27" t="n">
        <v>3</v>
      </c>
      <c r="H866" t="inlineStr">
        <is>
          <t>Vomiting / Dizziness</t>
        </is>
      </c>
      <c r="I866" t="n">
        <v>92</v>
      </c>
      <c r="J866" t="n">
        <v>144</v>
      </c>
      <c r="K866" s="28">
        <f>I866/J866</f>
        <v/>
      </c>
      <c r="L866" s="27" t="n">
        <v>17</v>
      </c>
      <c r="M866" t="inlineStr">
        <is>
          <t>Observation</t>
        </is>
      </c>
    </row>
    <row r="867">
      <c r="A867" t="inlineStr">
        <is>
          <t>ED211825</t>
        </is>
      </c>
      <c r="B867" t="inlineStr">
        <is>
          <t>PT12485</t>
        </is>
      </c>
      <c r="C867" s="26" t="n">
        <v>45998.61875</v>
      </c>
      <c r="D867" t="inlineStr">
        <is>
          <t>Sun</t>
        </is>
      </c>
      <c r="E867" s="27" t="n">
        <v>14</v>
      </c>
      <c r="F867" t="inlineStr">
        <is>
          <t>Walk-In</t>
        </is>
      </c>
      <c r="G867" s="27" t="n">
        <v>5</v>
      </c>
      <c r="H867" t="inlineStr">
        <is>
          <t>Head Injury</t>
        </is>
      </c>
      <c r="I867" t="n">
        <v>73</v>
      </c>
      <c r="J867" t="n">
        <v>150</v>
      </c>
      <c r="K867" s="28">
        <f>I867/J867</f>
        <v/>
      </c>
      <c r="L867" s="27" t="n">
        <v>68</v>
      </c>
      <c r="M867" t="inlineStr">
        <is>
          <t>Discharged</t>
        </is>
      </c>
    </row>
    <row r="868">
      <c r="A868" t="inlineStr">
        <is>
          <t>ED211826</t>
        </is>
      </c>
      <c r="B868" t="inlineStr">
        <is>
          <t>PT10971</t>
        </is>
      </c>
      <c r="C868" s="26" t="n">
        <v>45998.72013888889</v>
      </c>
      <c r="D868" t="inlineStr">
        <is>
          <t>Sun</t>
        </is>
      </c>
      <c r="E868" s="27" t="n">
        <v>17</v>
      </c>
      <c r="F868" t="inlineStr">
        <is>
          <t>Walk-In</t>
        </is>
      </c>
      <c r="G868" s="27" t="n">
        <v>3</v>
      </c>
      <c r="H868" t="inlineStr">
        <is>
          <t>Painful Urination / Fever</t>
        </is>
      </c>
      <c r="I868" t="n">
        <v>75</v>
      </c>
      <c r="J868" t="n">
        <v>153</v>
      </c>
      <c r="K868" s="28">
        <f>I868/J868</f>
        <v/>
      </c>
      <c r="L868" s="27" t="n">
        <v>104</v>
      </c>
      <c r="M868" t="inlineStr">
        <is>
          <t>Discharged</t>
        </is>
      </c>
    </row>
    <row r="869">
      <c r="A869" t="inlineStr">
        <is>
          <t>ED211827</t>
        </is>
      </c>
      <c r="B869" t="inlineStr">
        <is>
          <t>PT11968</t>
        </is>
      </c>
      <c r="C869" s="26" t="n">
        <v>45998.75555555556</v>
      </c>
      <c r="D869" t="inlineStr">
        <is>
          <t>Sun</t>
        </is>
      </c>
      <c r="E869" s="27" t="n">
        <v>18</v>
      </c>
      <c r="F869" t="inlineStr">
        <is>
          <t>Walk-In</t>
        </is>
      </c>
      <c r="G869" s="27" t="n">
        <v>3</v>
      </c>
      <c r="H869" t="inlineStr">
        <is>
          <t>Cough / Fever</t>
        </is>
      </c>
      <c r="I869" t="n">
        <v>82</v>
      </c>
      <c r="J869" t="n">
        <v>119</v>
      </c>
      <c r="K869" s="28">
        <f>I869/J869</f>
        <v/>
      </c>
      <c r="L869" s="27" t="n">
        <v>15</v>
      </c>
      <c r="M869" t="inlineStr">
        <is>
          <t>Admitted</t>
        </is>
      </c>
    </row>
    <row r="870">
      <c r="A870" t="inlineStr">
        <is>
          <t>ED211831</t>
        </is>
      </c>
      <c r="B870" t="inlineStr">
        <is>
          <t>PT10299</t>
        </is>
      </c>
      <c r="C870" s="26" t="n">
        <v>45999.15555555555</v>
      </c>
      <c r="D870" t="inlineStr">
        <is>
          <t>Mon</t>
        </is>
      </c>
      <c r="E870" s="27" t="n">
        <v>3</v>
      </c>
      <c r="F870" t="inlineStr">
        <is>
          <t>Walk-In</t>
        </is>
      </c>
      <c r="G870" s="27" t="n">
        <v>3</v>
      </c>
      <c r="H870" t="inlineStr">
        <is>
          <t>Abdominal Pain</t>
        </is>
      </c>
      <c r="I870" t="n">
        <v>74</v>
      </c>
      <c r="J870" t="n">
        <v>138</v>
      </c>
      <c r="K870" s="28">
        <f>I870/J870</f>
        <v/>
      </c>
      <c r="L870" s="27" t="n">
        <v>28</v>
      </c>
      <c r="M870" t="inlineStr">
        <is>
          <t>Discharged</t>
        </is>
      </c>
    </row>
    <row r="871">
      <c r="A871" t="inlineStr">
        <is>
          <t>ED211837</t>
        </is>
      </c>
      <c r="B871" t="inlineStr">
        <is>
          <t>PT12963</t>
        </is>
      </c>
      <c r="C871" s="26" t="n">
        <v>45999.46319444444</v>
      </c>
      <c r="D871" t="inlineStr">
        <is>
          <t>Mon</t>
        </is>
      </c>
      <c r="E871" s="27" t="n">
        <v>11</v>
      </c>
      <c r="F871" t="inlineStr">
        <is>
          <t>Walk-In</t>
        </is>
      </c>
      <c r="G871" s="27" t="n">
        <v>2</v>
      </c>
      <c r="H871" t="inlineStr">
        <is>
          <t>Cough / Fever</t>
        </is>
      </c>
      <c r="I871" t="n">
        <v>106</v>
      </c>
      <c r="J871" t="n">
        <v>149</v>
      </c>
      <c r="K871" s="28">
        <f>I871/J871</f>
        <v/>
      </c>
      <c r="L871" s="27" t="n">
        <v>26</v>
      </c>
      <c r="M871" t="inlineStr">
        <is>
          <t>Discharged</t>
        </is>
      </c>
    </row>
    <row r="872">
      <c r="A872" t="inlineStr">
        <is>
          <t>ED211856</t>
        </is>
      </c>
      <c r="B872" t="inlineStr">
        <is>
          <t>PT10815</t>
        </is>
      </c>
      <c r="C872" s="26" t="n">
        <v>45999.85347222222</v>
      </c>
      <c r="D872" t="inlineStr">
        <is>
          <t>Mon</t>
        </is>
      </c>
      <c r="E872" s="27" t="n">
        <v>20</v>
      </c>
      <c r="F872" t="inlineStr">
        <is>
          <t>Ambulance</t>
        </is>
      </c>
      <c r="G872" s="27" t="n">
        <v>1</v>
      </c>
      <c r="H872" t="inlineStr">
        <is>
          <t>Shortness of Breath</t>
        </is>
      </c>
      <c r="I872" t="n">
        <v>110</v>
      </c>
      <c r="J872" t="n">
        <v>91</v>
      </c>
      <c r="K872" s="28">
        <f>I872/J872</f>
        <v/>
      </c>
      <c r="L872" s="27" t="n">
        <v>2</v>
      </c>
      <c r="M872" t="inlineStr">
        <is>
          <t>Admitted</t>
        </is>
      </c>
    </row>
    <row r="873">
      <c r="A873" s="29" t="inlineStr">
        <is>
          <t>ED211864</t>
        </is>
      </c>
      <c r="B873" s="29" t="inlineStr">
        <is>
          <t>PT10886</t>
        </is>
      </c>
      <c r="C873" s="30" t="n">
        <v>46000.38263888889</v>
      </c>
      <c r="D873" s="29" t="inlineStr">
        <is>
          <t>Tue</t>
        </is>
      </c>
      <c r="E873" s="31" t="n">
        <v>9</v>
      </c>
      <c r="F873" s="29" t="inlineStr">
        <is>
          <t>Walk-In</t>
        </is>
      </c>
      <c r="G873" s="31" t="n">
        <v>2</v>
      </c>
      <c r="H873" s="29" t="inlineStr">
        <is>
          <t>Cough / Fever</t>
        </is>
      </c>
      <c r="I873" s="29" t="n">
        <v>93</v>
      </c>
      <c r="J873" s="29" t="n">
        <v>108</v>
      </c>
      <c r="K873" s="32">
        <f>I873/J873</f>
        <v/>
      </c>
      <c r="L873" s="31" t="n">
        <v>45</v>
      </c>
      <c r="M873" s="29" t="inlineStr">
        <is>
          <t>Discharged</t>
        </is>
      </c>
    </row>
    <row r="874">
      <c r="A874" t="inlineStr">
        <is>
          <t>ED211866</t>
        </is>
      </c>
      <c r="B874" t="inlineStr">
        <is>
          <t>PT12454</t>
        </is>
      </c>
      <c r="C874" s="26" t="n">
        <v>46000.40277777778</v>
      </c>
      <c r="D874" t="inlineStr">
        <is>
          <t>Tue</t>
        </is>
      </c>
      <c r="E874" s="27" t="n">
        <v>9</v>
      </c>
      <c r="F874" t="inlineStr">
        <is>
          <t>Walk-In</t>
        </is>
      </c>
      <c r="G874" s="27" t="n">
        <v>3</v>
      </c>
      <c r="H874" t="inlineStr">
        <is>
          <t>Abdominal Pain</t>
        </is>
      </c>
      <c r="I874" t="n">
        <v>87</v>
      </c>
      <c r="J874" t="n">
        <v>155</v>
      </c>
      <c r="K874" s="28">
        <f>I874/J874</f>
        <v/>
      </c>
      <c r="L874" s="27" t="n">
        <v>39</v>
      </c>
      <c r="M874" t="inlineStr">
        <is>
          <t>Admitted</t>
        </is>
      </c>
    </row>
    <row r="875">
      <c r="A875" t="inlineStr">
        <is>
          <t>ED211886</t>
        </is>
      </c>
      <c r="B875" t="inlineStr">
        <is>
          <t>PT11816</t>
        </is>
      </c>
      <c r="C875" s="26" t="n">
        <v>46001.32847222222</v>
      </c>
      <c r="D875" t="inlineStr">
        <is>
          <t>Wed</t>
        </is>
      </c>
      <c r="E875" s="27" t="n">
        <v>7</v>
      </c>
      <c r="F875" t="inlineStr">
        <is>
          <t>Ambulance</t>
        </is>
      </c>
      <c r="G875" s="27" t="n">
        <v>2</v>
      </c>
      <c r="H875" t="inlineStr">
        <is>
          <t>Shortness of Breath</t>
        </is>
      </c>
      <c r="I875" t="n">
        <v>97</v>
      </c>
      <c r="J875" t="n">
        <v>141</v>
      </c>
      <c r="K875" s="28">
        <f>I875/J875</f>
        <v/>
      </c>
      <c r="L875" s="27" t="n">
        <v>8</v>
      </c>
      <c r="M875" t="inlineStr">
        <is>
          <t>Admitted</t>
        </is>
      </c>
    </row>
    <row r="876">
      <c r="A876" t="inlineStr">
        <is>
          <t>ED211894</t>
        </is>
      </c>
      <c r="B876" t="inlineStr">
        <is>
          <t>PT13869</t>
        </is>
      </c>
      <c r="C876" s="26" t="n">
        <v>46001.64791666667</v>
      </c>
      <c r="D876" t="inlineStr">
        <is>
          <t>Wed</t>
        </is>
      </c>
      <c r="E876" s="27" t="n">
        <v>15</v>
      </c>
      <c r="F876" t="inlineStr">
        <is>
          <t>Walk-In</t>
        </is>
      </c>
      <c r="G876" s="27" t="n">
        <v>4</v>
      </c>
      <c r="H876" t="inlineStr">
        <is>
          <t>Cough / Fever</t>
        </is>
      </c>
      <c r="I876" t="n">
        <v>84</v>
      </c>
      <c r="J876" t="n">
        <v>148</v>
      </c>
      <c r="K876" s="28">
        <f>I876/J876</f>
        <v/>
      </c>
      <c r="L876" s="27" t="n">
        <v>128</v>
      </c>
      <c r="M876" t="inlineStr">
        <is>
          <t>Discharged</t>
        </is>
      </c>
    </row>
    <row r="877">
      <c r="A877" t="inlineStr">
        <is>
          <t>ED211897</t>
        </is>
      </c>
      <c r="B877" t="inlineStr">
        <is>
          <t>PT12024</t>
        </is>
      </c>
      <c r="C877" s="26" t="n">
        <v>46001.67569444444</v>
      </c>
      <c r="D877" t="inlineStr">
        <is>
          <t>Wed</t>
        </is>
      </c>
      <c r="E877" s="27" t="n">
        <v>16</v>
      </c>
      <c r="F877" t="inlineStr">
        <is>
          <t>Walk-In</t>
        </is>
      </c>
      <c r="G877" s="27" t="n">
        <v>2</v>
      </c>
      <c r="H877" t="inlineStr">
        <is>
          <t>Laceration</t>
        </is>
      </c>
      <c r="I877" t="n">
        <v>98</v>
      </c>
      <c r="J877" t="n">
        <v>160</v>
      </c>
      <c r="K877" s="28">
        <f>I877/J877</f>
        <v/>
      </c>
      <c r="L877" s="27" t="n">
        <v>39</v>
      </c>
      <c r="M877" t="inlineStr">
        <is>
          <t>Observation</t>
        </is>
      </c>
    </row>
    <row r="878">
      <c r="A878" t="inlineStr">
        <is>
          <t>ED211905</t>
        </is>
      </c>
      <c r="B878" t="inlineStr">
        <is>
          <t>PT13806</t>
        </is>
      </c>
      <c r="C878" s="26" t="n">
        <v>46002.34930555556</v>
      </c>
      <c r="D878" t="inlineStr">
        <is>
          <t>Thu</t>
        </is>
      </c>
      <c r="E878" s="27" t="n">
        <v>8</v>
      </c>
      <c r="F878" t="inlineStr">
        <is>
          <t>Ambulance</t>
        </is>
      </c>
      <c r="G878" s="27" t="n">
        <v>2</v>
      </c>
      <c r="H878" t="inlineStr">
        <is>
          <t>Head Injury</t>
        </is>
      </c>
      <c r="I878" t="n">
        <v>73</v>
      </c>
      <c r="J878" t="n">
        <v>142</v>
      </c>
      <c r="K878" s="28">
        <f>I878/J878</f>
        <v/>
      </c>
      <c r="L878" s="27" t="n">
        <v>7</v>
      </c>
      <c r="M878" t="inlineStr">
        <is>
          <t>Discharged</t>
        </is>
      </c>
    </row>
    <row r="879">
      <c r="A879" t="inlineStr">
        <is>
          <t>ED211919</t>
        </is>
      </c>
      <c r="B879" t="inlineStr">
        <is>
          <t>PT11968</t>
        </is>
      </c>
      <c r="C879" s="26" t="n">
        <v>46003.28333333333</v>
      </c>
      <c r="D879" t="inlineStr">
        <is>
          <t>Fri</t>
        </is>
      </c>
      <c r="E879" s="27" t="n">
        <v>6</v>
      </c>
      <c r="F879" t="inlineStr">
        <is>
          <t>Walk-In</t>
        </is>
      </c>
      <c r="G879" s="27" t="n">
        <v>3</v>
      </c>
      <c r="H879" t="inlineStr">
        <is>
          <t>Painful Urination / Fever</t>
        </is>
      </c>
      <c r="I879" t="n">
        <v>88</v>
      </c>
      <c r="J879" t="n">
        <v>130</v>
      </c>
      <c r="K879" s="28">
        <f>I879/J879</f>
        <v/>
      </c>
      <c r="L879" s="27" t="n">
        <v>33</v>
      </c>
      <c r="M879" t="inlineStr">
        <is>
          <t>Admitted</t>
        </is>
      </c>
    </row>
    <row r="880">
      <c r="A880" s="29" t="inlineStr">
        <is>
          <t>ED211922</t>
        </is>
      </c>
      <c r="B880" s="29" t="inlineStr">
        <is>
          <t>PT11034</t>
        </is>
      </c>
      <c r="C880" s="30" t="n">
        <v>46003.49722222222</v>
      </c>
      <c r="D880" s="29" t="inlineStr">
        <is>
          <t>Fri</t>
        </is>
      </c>
      <c r="E880" s="31" t="n">
        <v>11</v>
      </c>
      <c r="F880" s="29" t="inlineStr">
        <is>
          <t>Ambulance</t>
        </is>
      </c>
      <c r="G880" s="31" t="n">
        <v>2</v>
      </c>
      <c r="H880" s="29" t="inlineStr">
        <is>
          <t>Cough / Fever</t>
        </is>
      </c>
      <c r="I880" s="29" t="n">
        <v>120</v>
      </c>
      <c r="J880" s="29" t="n">
        <v>115</v>
      </c>
      <c r="K880" s="32">
        <f>I880/J880</f>
        <v/>
      </c>
      <c r="L880" s="31" t="n">
        <v>48</v>
      </c>
      <c r="M880" s="29" t="inlineStr">
        <is>
          <t>Admitted</t>
        </is>
      </c>
    </row>
    <row r="881">
      <c r="A881" t="inlineStr">
        <is>
          <t>ED211928</t>
        </is>
      </c>
      <c r="B881" t="inlineStr">
        <is>
          <t>PT13330</t>
        </is>
      </c>
      <c r="C881" s="26" t="n">
        <v>46003.71527777778</v>
      </c>
      <c r="D881" t="inlineStr">
        <is>
          <t>Fri</t>
        </is>
      </c>
      <c r="E881" s="27" t="n">
        <v>17</v>
      </c>
      <c r="F881" t="inlineStr">
        <is>
          <t>Walk-In</t>
        </is>
      </c>
      <c r="G881" s="27" t="n">
        <v>4</v>
      </c>
      <c r="H881" t="inlineStr">
        <is>
          <t>Cough / Fever</t>
        </is>
      </c>
      <c r="I881" t="n">
        <v>89</v>
      </c>
      <c r="J881" t="n">
        <v>127</v>
      </c>
      <c r="K881" s="28">
        <f>I881/J881</f>
        <v/>
      </c>
      <c r="L881" s="27" t="n">
        <v>58</v>
      </c>
      <c r="M881" t="inlineStr">
        <is>
          <t>Discharged</t>
        </is>
      </c>
    </row>
    <row r="882">
      <c r="A882" t="inlineStr">
        <is>
          <t>ED211929</t>
        </is>
      </c>
      <c r="B882" t="inlineStr">
        <is>
          <t>PT11214</t>
        </is>
      </c>
      <c r="C882" s="26" t="n">
        <v>46003.74444444444</v>
      </c>
      <c r="D882" t="inlineStr">
        <is>
          <t>Fri</t>
        </is>
      </c>
      <c r="E882" s="27" t="n">
        <v>17</v>
      </c>
      <c r="F882" t="inlineStr">
        <is>
          <t>Ambulance</t>
        </is>
      </c>
      <c r="G882" s="27" t="n">
        <v>2</v>
      </c>
      <c r="H882" t="inlineStr">
        <is>
          <t>Chest Pain</t>
        </is>
      </c>
      <c r="I882" t="n">
        <v>80</v>
      </c>
      <c r="J882" t="n">
        <v>123</v>
      </c>
      <c r="K882" s="28">
        <f>I882/J882</f>
        <v/>
      </c>
      <c r="L882" s="27" t="n">
        <v>28</v>
      </c>
      <c r="M882" t="inlineStr">
        <is>
          <t>Admitted</t>
        </is>
      </c>
    </row>
    <row r="883">
      <c r="A883" t="inlineStr">
        <is>
          <t>ED211937</t>
        </is>
      </c>
      <c r="B883" t="inlineStr">
        <is>
          <t>PT11115</t>
        </is>
      </c>
      <c r="C883" s="26" t="n">
        <v>46004.24375</v>
      </c>
      <c r="D883" t="inlineStr">
        <is>
          <t>Sat</t>
        </is>
      </c>
      <c r="E883" s="27" t="n">
        <v>5</v>
      </c>
      <c r="F883" t="inlineStr">
        <is>
          <t>Ambulance</t>
        </is>
      </c>
      <c r="G883" s="27" t="n">
        <v>2</v>
      </c>
      <c r="H883" t="inlineStr">
        <is>
          <t>Shortness of Breath</t>
        </is>
      </c>
      <c r="I883" t="n">
        <v>80</v>
      </c>
      <c r="J883" t="n">
        <v>144</v>
      </c>
      <c r="K883" s="28">
        <f>I883/J883</f>
        <v/>
      </c>
      <c r="L883" s="27" t="n">
        <v>15</v>
      </c>
      <c r="M883" t="inlineStr">
        <is>
          <t>Admitted</t>
        </is>
      </c>
    </row>
    <row r="884">
      <c r="A884" t="inlineStr">
        <is>
          <t>ED211943</t>
        </is>
      </c>
      <c r="B884" t="inlineStr">
        <is>
          <t>PT11548</t>
        </is>
      </c>
      <c r="C884" s="26" t="n">
        <v>46004.5375</v>
      </c>
      <c r="D884" t="inlineStr">
        <is>
          <t>Sat</t>
        </is>
      </c>
      <c r="E884" s="27" t="n">
        <v>12</v>
      </c>
      <c r="F884" t="inlineStr">
        <is>
          <t>Walk-In</t>
        </is>
      </c>
      <c r="G884" s="27" t="n">
        <v>3</v>
      </c>
      <c r="H884" t="inlineStr">
        <is>
          <t>Headache</t>
        </is>
      </c>
      <c r="I884" t="n">
        <v>107</v>
      </c>
      <c r="J884" t="n">
        <v>140</v>
      </c>
      <c r="K884" s="28">
        <f>I884/J884</f>
        <v/>
      </c>
      <c r="L884" s="27" t="n">
        <v>34</v>
      </c>
      <c r="M884" t="inlineStr">
        <is>
          <t>Discharged</t>
        </is>
      </c>
    </row>
    <row r="885">
      <c r="A885" t="inlineStr">
        <is>
          <t>ED211945</t>
        </is>
      </c>
      <c r="B885" t="inlineStr">
        <is>
          <t>PT11518</t>
        </is>
      </c>
      <c r="C885" s="26" t="n">
        <v>46004.63194444445</v>
      </c>
      <c r="D885" t="inlineStr">
        <is>
          <t>Sat</t>
        </is>
      </c>
      <c r="E885" s="27" t="n">
        <v>15</v>
      </c>
      <c r="F885" t="inlineStr">
        <is>
          <t>Walk-In</t>
        </is>
      </c>
      <c r="G885" s="27" t="n">
        <v>3</v>
      </c>
      <c r="H885" t="inlineStr">
        <is>
          <t>Vomiting / Diarrhea</t>
        </is>
      </c>
      <c r="I885" t="n">
        <v>97</v>
      </c>
      <c r="J885" t="n">
        <v>125</v>
      </c>
      <c r="K885" s="28">
        <f>I885/J885</f>
        <v/>
      </c>
      <c r="L885" s="27" t="n">
        <v>68</v>
      </c>
      <c r="M885" t="inlineStr">
        <is>
          <t>Discharged</t>
        </is>
      </c>
    </row>
    <row r="886">
      <c r="A886" t="inlineStr">
        <is>
          <t>ED211949</t>
        </is>
      </c>
      <c r="B886" t="inlineStr">
        <is>
          <t>PT12426</t>
        </is>
      </c>
      <c r="C886" s="26" t="n">
        <v>46004.79097222222</v>
      </c>
      <c r="D886" t="inlineStr">
        <is>
          <t>Sat</t>
        </is>
      </c>
      <c r="E886" s="27" t="n">
        <v>18</v>
      </c>
      <c r="F886" t="inlineStr">
        <is>
          <t>Walk-In</t>
        </is>
      </c>
      <c r="G886" s="27" t="n">
        <v>4</v>
      </c>
      <c r="H886" t="inlineStr">
        <is>
          <t>Cough / Fever</t>
        </is>
      </c>
      <c r="I886" t="n">
        <v>64</v>
      </c>
      <c r="J886" t="n">
        <v>135</v>
      </c>
      <c r="K886" s="28">
        <f>I886/J886</f>
        <v/>
      </c>
      <c r="L886" s="27" t="n">
        <v>31</v>
      </c>
      <c r="M886" t="inlineStr">
        <is>
          <t>Discharged</t>
        </is>
      </c>
    </row>
    <row r="887">
      <c r="A887" t="inlineStr">
        <is>
          <t>ED211958</t>
        </is>
      </c>
      <c r="B887" t="inlineStr">
        <is>
          <t>PT13682</t>
        </is>
      </c>
      <c r="C887" s="26" t="n">
        <v>46005.61458333334</v>
      </c>
      <c r="D887" t="inlineStr">
        <is>
          <t>Sun</t>
        </is>
      </c>
      <c r="E887" s="27" t="n">
        <v>14</v>
      </c>
      <c r="F887" t="inlineStr">
        <is>
          <t>Walk-In</t>
        </is>
      </c>
      <c r="G887" s="27" t="n">
        <v>4</v>
      </c>
      <c r="H887" t="inlineStr">
        <is>
          <t>Headache</t>
        </is>
      </c>
      <c r="I887" t="n">
        <v>88</v>
      </c>
      <c r="J887" t="n">
        <v>104</v>
      </c>
      <c r="K887" s="28">
        <f>I887/J887</f>
        <v/>
      </c>
      <c r="L887" s="27" t="n">
        <v>49</v>
      </c>
      <c r="M887" t="inlineStr">
        <is>
          <t>Discharged</t>
        </is>
      </c>
    </row>
    <row r="888">
      <c r="A888" t="inlineStr">
        <is>
          <t>ED211960</t>
        </is>
      </c>
      <c r="B888" t="inlineStr">
        <is>
          <t>PT12544</t>
        </is>
      </c>
      <c r="C888" s="26" t="n">
        <v>46005.71666666667</v>
      </c>
      <c r="D888" t="inlineStr">
        <is>
          <t>Sun</t>
        </is>
      </c>
      <c r="E888" s="27" t="n">
        <v>17</v>
      </c>
      <c r="F888" t="inlineStr">
        <is>
          <t>Walk-In</t>
        </is>
      </c>
      <c r="G888" s="27" t="n">
        <v>3</v>
      </c>
      <c r="H888" t="inlineStr">
        <is>
          <t>Chest Pain</t>
        </is>
      </c>
      <c r="I888" t="n">
        <v>108</v>
      </c>
      <c r="J888" t="n">
        <v>152</v>
      </c>
      <c r="K888" s="28">
        <f>I888/J888</f>
        <v/>
      </c>
      <c r="L888" s="27" t="n">
        <v>99</v>
      </c>
      <c r="M888" t="inlineStr">
        <is>
          <t>Discharged</t>
        </is>
      </c>
    </row>
    <row r="889">
      <c r="A889" s="29" t="inlineStr">
        <is>
          <t>ED211972</t>
        </is>
      </c>
      <c r="B889" s="29" t="inlineStr">
        <is>
          <t>PT11727</t>
        </is>
      </c>
      <c r="C889" s="30" t="n">
        <v>46006.34444444445</v>
      </c>
      <c r="D889" s="29" t="inlineStr">
        <is>
          <t>Mon</t>
        </is>
      </c>
      <c r="E889" s="31" t="n">
        <v>8</v>
      </c>
      <c r="F889" s="29" t="inlineStr">
        <is>
          <t>Ambulance</t>
        </is>
      </c>
      <c r="G889" s="31" t="n">
        <v>2</v>
      </c>
      <c r="H889" s="29" t="inlineStr">
        <is>
          <t>Cough / Fever</t>
        </is>
      </c>
      <c r="I889" s="29" t="n">
        <v>108</v>
      </c>
      <c r="J889" s="29" t="n">
        <v>103</v>
      </c>
      <c r="K889" s="32">
        <f>I889/J889</f>
        <v/>
      </c>
      <c r="L889" s="31" t="n">
        <v>11</v>
      </c>
      <c r="M889" s="29" t="inlineStr">
        <is>
          <t>Discharged</t>
        </is>
      </c>
    </row>
    <row r="890">
      <c r="A890" s="29" t="inlineStr">
        <is>
          <t>ED211977</t>
        </is>
      </c>
      <c r="B890" s="29" t="inlineStr">
        <is>
          <t>PT13158</t>
        </is>
      </c>
      <c r="C890" s="30" t="n">
        <v>46006.4375</v>
      </c>
      <c r="D890" s="29" t="inlineStr">
        <is>
          <t>Mon</t>
        </is>
      </c>
      <c r="E890" s="31" t="n">
        <v>10</v>
      </c>
      <c r="F890" s="29" t="inlineStr">
        <is>
          <t>Walk-In</t>
        </is>
      </c>
      <c r="G890" s="31" t="n">
        <v>4</v>
      </c>
      <c r="H890" s="29" t="inlineStr">
        <is>
          <t>Cough / Fever</t>
        </is>
      </c>
      <c r="I890" s="29" t="n">
        <v>133</v>
      </c>
      <c r="J890" s="29" t="n">
        <v>160</v>
      </c>
      <c r="K890" s="32">
        <f>I890/J890</f>
        <v/>
      </c>
      <c r="L890" s="31" t="n">
        <v>31</v>
      </c>
      <c r="M890" s="29" t="inlineStr">
        <is>
          <t>Discharged</t>
        </is>
      </c>
    </row>
    <row r="891">
      <c r="A891" t="inlineStr">
        <is>
          <t>ED211981</t>
        </is>
      </c>
      <c r="B891" t="inlineStr">
        <is>
          <t>PT10495</t>
        </is>
      </c>
      <c r="C891" s="26" t="n">
        <v>46006.52083333334</v>
      </c>
      <c r="D891" t="inlineStr">
        <is>
          <t>Mon</t>
        </is>
      </c>
      <c r="E891" s="27" t="n">
        <v>12</v>
      </c>
      <c r="F891" t="inlineStr">
        <is>
          <t>Walk-In</t>
        </is>
      </c>
      <c r="G891" s="27" t="n">
        <v>4</v>
      </c>
      <c r="H891" t="inlineStr">
        <is>
          <t>Cough / Fever</t>
        </is>
      </c>
      <c r="I891" t="n">
        <v>122</v>
      </c>
      <c r="J891" t="n">
        <v>147</v>
      </c>
      <c r="K891" s="28">
        <f>I891/J891</f>
        <v/>
      </c>
      <c r="L891" s="27" t="n">
        <v>37</v>
      </c>
      <c r="M891" t="inlineStr">
        <is>
          <t>Discharged</t>
        </is>
      </c>
    </row>
    <row r="892">
      <c r="A892" t="inlineStr">
        <is>
          <t>ED211985</t>
        </is>
      </c>
      <c r="B892" t="inlineStr">
        <is>
          <t>PT12893</t>
        </is>
      </c>
      <c r="C892" s="26" t="n">
        <v>46006.75902777778</v>
      </c>
      <c r="D892" t="inlineStr">
        <is>
          <t>Mon</t>
        </is>
      </c>
      <c r="E892" s="27" t="n">
        <v>18</v>
      </c>
      <c r="F892" t="inlineStr">
        <is>
          <t>Walk-In</t>
        </is>
      </c>
      <c r="G892" s="27" t="n">
        <v>4</v>
      </c>
      <c r="H892" t="inlineStr">
        <is>
          <t>Cough / Fever</t>
        </is>
      </c>
      <c r="I892" t="n">
        <v>71</v>
      </c>
      <c r="J892" t="n">
        <v>133</v>
      </c>
      <c r="K892" s="28">
        <f>I892/J892</f>
        <v/>
      </c>
      <c r="L892" s="27" t="n">
        <v>124</v>
      </c>
      <c r="M892" t="inlineStr">
        <is>
          <t>Discharged</t>
        </is>
      </c>
    </row>
    <row r="893">
      <c r="A893" t="inlineStr">
        <is>
          <t>ED211988</t>
        </is>
      </c>
      <c r="B893" t="inlineStr">
        <is>
          <t>PT11101</t>
        </is>
      </c>
      <c r="C893" s="26" t="n">
        <v>46006.94791666666</v>
      </c>
      <c r="D893" t="inlineStr">
        <is>
          <t>Mon</t>
        </is>
      </c>
      <c r="E893" s="27" t="n">
        <v>22</v>
      </c>
      <c r="F893" t="inlineStr">
        <is>
          <t>Ambulance</t>
        </is>
      </c>
      <c r="G893" s="27" t="n">
        <v>2</v>
      </c>
      <c r="H893" t="inlineStr">
        <is>
          <t>Shortness of Breath</t>
        </is>
      </c>
      <c r="I893" t="n">
        <v>106</v>
      </c>
      <c r="J893" t="n">
        <v>153</v>
      </c>
      <c r="K893" s="28">
        <f>I893/J893</f>
        <v/>
      </c>
      <c r="L893" s="27" t="n">
        <v>10</v>
      </c>
      <c r="M893" t="inlineStr">
        <is>
          <t>Observation</t>
        </is>
      </c>
    </row>
    <row r="894">
      <c r="A894" t="inlineStr">
        <is>
          <t>ED212009</t>
        </is>
      </c>
      <c r="B894" t="inlineStr">
        <is>
          <t>PT12159</t>
        </is>
      </c>
      <c r="C894" s="26" t="n">
        <v>46007.76736111111</v>
      </c>
      <c r="D894" t="inlineStr">
        <is>
          <t>Tue</t>
        </is>
      </c>
      <c r="E894" s="27" t="n">
        <v>18</v>
      </c>
      <c r="F894" t="inlineStr">
        <is>
          <t>Walk-In</t>
        </is>
      </c>
      <c r="G894" s="27" t="n">
        <v>3</v>
      </c>
      <c r="H894" t="inlineStr">
        <is>
          <t>Shortness of Breath</t>
        </is>
      </c>
      <c r="I894" t="n">
        <v>75</v>
      </c>
      <c r="J894" t="n">
        <v>149</v>
      </c>
      <c r="K894" s="28">
        <f>I894/J894</f>
        <v/>
      </c>
      <c r="L894" s="27" t="n">
        <v>30</v>
      </c>
      <c r="M894" t="inlineStr">
        <is>
          <t>Admitted</t>
        </is>
      </c>
    </row>
    <row r="895">
      <c r="A895" t="inlineStr">
        <is>
          <t>ED212010</t>
        </is>
      </c>
      <c r="B895" t="inlineStr">
        <is>
          <t>PT11977</t>
        </is>
      </c>
      <c r="C895" s="26" t="n">
        <v>46007.77708333333</v>
      </c>
      <c r="D895" t="inlineStr">
        <is>
          <t>Tue</t>
        </is>
      </c>
      <c r="E895" s="27" t="n">
        <v>18</v>
      </c>
      <c r="F895" t="inlineStr">
        <is>
          <t>Ambulance</t>
        </is>
      </c>
      <c r="G895" s="27" t="n">
        <v>2</v>
      </c>
      <c r="H895" t="inlineStr">
        <is>
          <t>Bloody Stool / Vomiting Blood</t>
        </is>
      </c>
      <c r="I895" t="n">
        <v>84</v>
      </c>
      <c r="J895" t="n">
        <v>109</v>
      </c>
      <c r="K895" s="28">
        <f>I895/J895</f>
        <v/>
      </c>
      <c r="L895" s="27" t="n">
        <v>50</v>
      </c>
      <c r="M895" t="inlineStr">
        <is>
          <t>Admitted</t>
        </is>
      </c>
    </row>
    <row r="896">
      <c r="A896" t="inlineStr">
        <is>
          <t>ED212012</t>
        </is>
      </c>
      <c r="B896" t="inlineStr">
        <is>
          <t>PT12983</t>
        </is>
      </c>
      <c r="C896" s="26" t="n">
        <v>46007.86041666667</v>
      </c>
      <c r="D896" t="inlineStr">
        <is>
          <t>Tue</t>
        </is>
      </c>
      <c r="E896" s="27" t="n">
        <v>20</v>
      </c>
      <c r="F896" t="inlineStr">
        <is>
          <t>Walk-In</t>
        </is>
      </c>
      <c r="G896" s="27" t="n">
        <v>4</v>
      </c>
      <c r="H896" t="inlineStr">
        <is>
          <t>Skin Redness / Swelling</t>
        </is>
      </c>
      <c r="I896" t="n">
        <v>98</v>
      </c>
      <c r="J896" t="n">
        <v>145</v>
      </c>
      <c r="K896" s="28">
        <f>I896/J896</f>
        <v/>
      </c>
      <c r="L896" s="27" t="n">
        <v>32</v>
      </c>
      <c r="M896" t="inlineStr">
        <is>
          <t>Discharged</t>
        </is>
      </c>
    </row>
    <row r="897">
      <c r="A897" t="inlineStr">
        <is>
          <t>ED212014</t>
        </is>
      </c>
      <c r="B897" t="inlineStr">
        <is>
          <t>PT10337</t>
        </is>
      </c>
      <c r="C897" s="26" t="n">
        <v>46007.88819444444</v>
      </c>
      <c r="D897" t="inlineStr">
        <is>
          <t>Tue</t>
        </is>
      </c>
      <c r="E897" s="27" t="n">
        <v>21</v>
      </c>
      <c r="F897" t="inlineStr">
        <is>
          <t>Walk-In</t>
        </is>
      </c>
      <c r="G897" s="27" t="n">
        <v>3</v>
      </c>
      <c r="H897" t="inlineStr">
        <is>
          <t>Fainting</t>
        </is>
      </c>
      <c r="I897" t="n">
        <v>79</v>
      </c>
      <c r="J897" t="n">
        <v>146</v>
      </c>
      <c r="K897" s="28">
        <f>I897/J897</f>
        <v/>
      </c>
      <c r="L897" s="27" t="n">
        <v>104</v>
      </c>
      <c r="M897" t="inlineStr">
        <is>
          <t>Observation</t>
        </is>
      </c>
    </row>
    <row r="898">
      <c r="A898" t="inlineStr">
        <is>
          <t>ED212029</t>
        </is>
      </c>
      <c r="B898" t="inlineStr">
        <is>
          <t>PT12026</t>
        </is>
      </c>
      <c r="C898" s="26" t="n">
        <v>46008.67013888889</v>
      </c>
      <c r="D898" t="inlineStr">
        <is>
          <t>Wed</t>
        </is>
      </c>
      <c r="E898" s="27" t="n">
        <v>16</v>
      </c>
      <c r="F898" t="inlineStr">
        <is>
          <t>Walk-In</t>
        </is>
      </c>
      <c r="G898" s="27" t="n">
        <v>3</v>
      </c>
      <c r="H898" t="inlineStr">
        <is>
          <t>Skin Redness / Swelling</t>
        </is>
      </c>
      <c r="I898" t="n">
        <v>78</v>
      </c>
      <c r="J898" t="n">
        <v>112</v>
      </c>
      <c r="K898" s="28">
        <f>I898/J898</f>
        <v/>
      </c>
      <c r="L898" s="27" t="n">
        <v>89</v>
      </c>
      <c r="M898" t="inlineStr">
        <is>
          <t>Observation</t>
        </is>
      </c>
    </row>
    <row r="899">
      <c r="A899" t="inlineStr">
        <is>
          <t>ED212041</t>
        </is>
      </c>
      <c r="B899" t="inlineStr">
        <is>
          <t>PT12210</t>
        </is>
      </c>
      <c r="C899" s="26" t="n">
        <v>46009.04722222222</v>
      </c>
      <c r="D899" t="inlineStr">
        <is>
          <t>Thu</t>
        </is>
      </c>
      <c r="E899" s="27" t="n">
        <v>1</v>
      </c>
      <c r="F899" t="inlineStr">
        <is>
          <t>Ambulance</t>
        </is>
      </c>
      <c r="G899" s="27" t="n">
        <v>2</v>
      </c>
      <c r="H899" t="inlineStr">
        <is>
          <t>Abdominal Pain</t>
        </is>
      </c>
      <c r="I899" t="n">
        <v>81</v>
      </c>
      <c r="J899" t="n">
        <v>145</v>
      </c>
      <c r="K899" s="28">
        <f>I899/J899</f>
        <v/>
      </c>
      <c r="L899" s="27" t="n">
        <v>21</v>
      </c>
      <c r="M899" t="inlineStr">
        <is>
          <t>Discharged</t>
        </is>
      </c>
    </row>
    <row r="900">
      <c r="A900" t="inlineStr">
        <is>
          <t>ED212043</t>
        </is>
      </c>
      <c r="B900" t="inlineStr">
        <is>
          <t>PT12851</t>
        </is>
      </c>
      <c r="C900" s="26" t="n">
        <v>46009.11180555556</v>
      </c>
      <c r="D900" t="inlineStr">
        <is>
          <t>Thu</t>
        </is>
      </c>
      <c r="E900" s="27" t="n">
        <v>2</v>
      </c>
      <c r="F900" t="inlineStr">
        <is>
          <t>Walk-In</t>
        </is>
      </c>
      <c r="G900" s="27" t="n">
        <v>3</v>
      </c>
      <c r="H900" t="inlineStr">
        <is>
          <t>Head Injury</t>
        </is>
      </c>
      <c r="I900" t="n">
        <v>65</v>
      </c>
      <c r="J900" t="n">
        <v>137</v>
      </c>
      <c r="K900" s="28">
        <f>I900/J900</f>
        <v/>
      </c>
      <c r="L900" s="27" t="n">
        <v>21</v>
      </c>
      <c r="M900" t="inlineStr">
        <is>
          <t>Discharged</t>
        </is>
      </c>
    </row>
    <row r="901">
      <c r="A901" t="inlineStr">
        <is>
          <t>ED212065</t>
        </is>
      </c>
      <c r="B901" t="inlineStr">
        <is>
          <t>PT13940</t>
        </is>
      </c>
      <c r="C901" s="26" t="n">
        <v>46010.40694444445</v>
      </c>
      <c r="D901" t="inlineStr">
        <is>
          <t>Fri</t>
        </is>
      </c>
      <c r="E901" s="27" t="n">
        <v>9</v>
      </c>
      <c r="F901" t="inlineStr">
        <is>
          <t>Walk-In</t>
        </is>
      </c>
      <c r="G901" s="27" t="n">
        <v>4</v>
      </c>
      <c r="H901" t="inlineStr">
        <is>
          <t>Fainting</t>
        </is>
      </c>
      <c r="I901" t="n">
        <v>88</v>
      </c>
      <c r="J901" t="n">
        <v>156</v>
      </c>
      <c r="K901" s="28">
        <f>I901/J901</f>
        <v/>
      </c>
      <c r="L901" s="27" t="n">
        <v>123</v>
      </c>
      <c r="M901" t="inlineStr">
        <is>
          <t>Discharged</t>
        </is>
      </c>
    </row>
    <row r="902">
      <c r="A902" t="inlineStr">
        <is>
          <t>ED212066</t>
        </is>
      </c>
      <c r="B902" t="inlineStr">
        <is>
          <t>PT12829</t>
        </is>
      </c>
      <c r="C902" s="26" t="n">
        <v>46010.43055555555</v>
      </c>
      <c r="D902" t="inlineStr">
        <is>
          <t>Fri</t>
        </is>
      </c>
      <c r="E902" s="27" t="n">
        <v>10</v>
      </c>
      <c r="F902" t="inlineStr">
        <is>
          <t>Walk-In</t>
        </is>
      </c>
      <c r="G902" s="27" t="n">
        <v>4</v>
      </c>
      <c r="H902" t="inlineStr">
        <is>
          <t>Headache</t>
        </is>
      </c>
      <c r="I902" t="n">
        <v>72</v>
      </c>
      <c r="J902" t="n">
        <v>163</v>
      </c>
      <c r="K902" s="28">
        <f>I902/J902</f>
        <v/>
      </c>
      <c r="L902" s="27" t="n">
        <v>77</v>
      </c>
      <c r="M902" t="inlineStr">
        <is>
          <t>Discharged</t>
        </is>
      </c>
    </row>
    <row r="903">
      <c r="A903" t="inlineStr">
        <is>
          <t>ED212079</t>
        </is>
      </c>
      <c r="B903" t="inlineStr">
        <is>
          <t>PT12325</t>
        </is>
      </c>
      <c r="C903" s="26" t="n">
        <v>46010.80902777778</v>
      </c>
      <c r="D903" t="inlineStr">
        <is>
          <t>Fri</t>
        </is>
      </c>
      <c r="E903" s="27" t="n">
        <v>19</v>
      </c>
      <c r="F903" t="inlineStr">
        <is>
          <t>Walk-In</t>
        </is>
      </c>
      <c r="G903" s="27" t="n">
        <v>3</v>
      </c>
      <c r="H903" t="inlineStr">
        <is>
          <t>Fall / Hip Pain</t>
        </is>
      </c>
      <c r="I903" t="n">
        <v>98</v>
      </c>
      <c r="J903" t="n">
        <v>91</v>
      </c>
      <c r="K903" s="28">
        <f>I903/J903</f>
        <v/>
      </c>
      <c r="L903" s="27" t="n">
        <v>93</v>
      </c>
      <c r="M903" t="inlineStr">
        <is>
          <t>Admitted</t>
        </is>
      </c>
    </row>
    <row r="904">
      <c r="A904" t="inlineStr">
        <is>
          <t>ED212080</t>
        </is>
      </c>
      <c r="B904" t="inlineStr">
        <is>
          <t>PT10384</t>
        </is>
      </c>
      <c r="C904" s="26" t="n">
        <v>46010.8125</v>
      </c>
      <c r="D904" t="inlineStr">
        <is>
          <t>Fri</t>
        </is>
      </c>
      <c r="E904" s="27" t="n">
        <v>19</v>
      </c>
      <c r="F904" t="inlineStr">
        <is>
          <t>Walk-In</t>
        </is>
      </c>
      <c r="G904" s="27" t="n">
        <v>4</v>
      </c>
      <c r="H904" t="inlineStr">
        <is>
          <t>Vomiting / Diarrhea</t>
        </is>
      </c>
      <c r="I904" t="n">
        <v>91</v>
      </c>
      <c r="J904" t="n">
        <v>121</v>
      </c>
      <c r="K904" s="28">
        <f>I904/J904</f>
        <v/>
      </c>
      <c r="L904" s="27" t="n">
        <v>65</v>
      </c>
      <c r="M904" t="inlineStr">
        <is>
          <t>Discharged</t>
        </is>
      </c>
    </row>
    <row r="905">
      <c r="A905" s="29" t="inlineStr">
        <is>
          <t>ED212081</t>
        </is>
      </c>
      <c r="B905" s="29" t="inlineStr">
        <is>
          <t>PT13473</t>
        </is>
      </c>
      <c r="C905" s="30" t="n">
        <v>46010.82361111111</v>
      </c>
      <c r="D905" s="29" t="inlineStr">
        <is>
          <t>Fri</t>
        </is>
      </c>
      <c r="E905" s="31" t="n">
        <v>19</v>
      </c>
      <c r="F905" s="29" t="inlineStr">
        <is>
          <t>Walk-In</t>
        </is>
      </c>
      <c r="G905" s="31" t="n">
        <v>3</v>
      </c>
      <c r="H905" s="29" t="inlineStr">
        <is>
          <t>Cough / Fever</t>
        </is>
      </c>
      <c r="I905" s="29" t="n">
        <v>106</v>
      </c>
      <c r="J905" s="29" t="n">
        <v>95</v>
      </c>
      <c r="K905" s="32">
        <f>I905/J905</f>
        <v/>
      </c>
      <c r="L905" s="31" t="n">
        <v>178</v>
      </c>
      <c r="M905" s="29" t="inlineStr">
        <is>
          <t>Discharged</t>
        </is>
      </c>
    </row>
    <row r="906">
      <c r="A906" t="inlineStr">
        <is>
          <t>ED212086</t>
        </is>
      </c>
      <c r="B906" t="inlineStr">
        <is>
          <t>PT10052</t>
        </is>
      </c>
      <c r="C906" s="26" t="n">
        <v>46011.26805555556</v>
      </c>
      <c r="D906" t="inlineStr">
        <is>
          <t>Sat</t>
        </is>
      </c>
      <c r="E906" s="27" t="n">
        <v>6</v>
      </c>
      <c r="F906" t="inlineStr">
        <is>
          <t>Ambulance</t>
        </is>
      </c>
      <c r="G906" s="27" t="n">
        <v>2</v>
      </c>
      <c r="H906" t="inlineStr">
        <is>
          <t>Chest Pain</t>
        </is>
      </c>
      <c r="I906" t="n">
        <v>91</v>
      </c>
      <c r="J906" t="n">
        <v>141</v>
      </c>
      <c r="K906" s="28">
        <f>I906/J906</f>
        <v/>
      </c>
      <c r="L906" s="27" t="n">
        <v>8</v>
      </c>
      <c r="M906" t="inlineStr">
        <is>
          <t>Left AMA</t>
        </is>
      </c>
    </row>
    <row r="907">
      <c r="A907" t="inlineStr">
        <is>
          <t>ED212089</t>
        </is>
      </c>
      <c r="B907" t="inlineStr">
        <is>
          <t>PT10786</t>
        </is>
      </c>
      <c r="C907" s="26" t="n">
        <v>46011.51041666666</v>
      </c>
      <c r="D907" t="inlineStr">
        <is>
          <t>Sat</t>
        </is>
      </c>
      <c r="E907" s="27" t="n">
        <v>12</v>
      </c>
      <c r="F907" t="inlineStr">
        <is>
          <t>Walk-In</t>
        </is>
      </c>
      <c r="G907" s="27" t="n">
        <v>2</v>
      </c>
      <c r="H907" t="inlineStr">
        <is>
          <t>Painful Urination / Fever</t>
        </is>
      </c>
      <c r="I907" t="n">
        <v>67</v>
      </c>
      <c r="J907" t="n">
        <v>103</v>
      </c>
      <c r="K907" s="28">
        <f>I907/J907</f>
        <v/>
      </c>
      <c r="L907" s="27" t="n">
        <v>8</v>
      </c>
      <c r="M907" t="inlineStr">
        <is>
          <t>Observation</t>
        </is>
      </c>
    </row>
    <row r="908">
      <c r="A908" t="inlineStr">
        <is>
          <t>ED212101</t>
        </is>
      </c>
      <c r="B908" t="inlineStr">
        <is>
          <t>PT12945</t>
        </is>
      </c>
      <c r="C908" s="26" t="n">
        <v>46012.37083333333</v>
      </c>
      <c r="D908" t="inlineStr">
        <is>
          <t>Sun</t>
        </is>
      </c>
      <c r="E908" s="27" t="n">
        <v>8</v>
      </c>
      <c r="F908" t="inlineStr">
        <is>
          <t>Ambulance</t>
        </is>
      </c>
      <c r="G908" s="27" t="n">
        <v>3</v>
      </c>
      <c r="H908" t="inlineStr">
        <is>
          <t>Shortness of Breath</t>
        </is>
      </c>
      <c r="I908" t="n">
        <v>64</v>
      </c>
      <c r="J908" t="n">
        <v>152</v>
      </c>
      <c r="K908" s="28">
        <f>I908/J908</f>
        <v/>
      </c>
      <c r="L908" s="27" t="n">
        <v>33</v>
      </c>
      <c r="M908" t="inlineStr">
        <is>
          <t>Admitted</t>
        </is>
      </c>
    </row>
    <row r="909">
      <c r="A909" t="inlineStr">
        <is>
          <t>ED212103</t>
        </is>
      </c>
      <c r="B909" t="inlineStr">
        <is>
          <t>PT12649</t>
        </is>
      </c>
      <c r="C909" s="26" t="n">
        <v>46012.3875</v>
      </c>
      <c r="D909" t="inlineStr">
        <is>
          <t>Sun</t>
        </is>
      </c>
      <c r="E909" s="27" t="n">
        <v>9</v>
      </c>
      <c r="F909" t="inlineStr">
        <is>
          <t>Walk-In</t>
        </is>
      </c>
      <c r="G909" s="27" t="n">
        <v>4</v>
      </c>
      <c r="H909" t="inlineStr">
        <is>
          <t>Headache</t>
        </is>
      </c>
      <c r="I909" t="n">
        <v>94</v>
      </c>
      <c r="J909" t="n">
        <v>174</v>
      </c>
      <c r="K909" s="28">
        <f>I909/J909</f>
        <v/>
      </c>
      <c r="L909" s="27" t="n">
        <v>60</v>
      </c>
      <c r="M909" t="inlineStr">
        <is>
          <t>Discharged</t>
        </is>
      </c>
    </row>
    <row r="910">
      <c r="A910" t="inlineStr">
        <is>
          <t>ED212105</t>
        </is>
      </c>
      <c r="B910" t="inlineStr">
        <is>
          <t>PT12464</t>
        </is>
      </c>
      <c r="C910" s="26" t="n">
        <v>46012.48888888889</v>
      </c>
      <c r="D910" t="inlineStr">
        <is>
          <t>Sun</t>
        </is>
      </c>
      <c r="E910" s="27" t="n">
        <v>11</v>
      </c>
      <c r="F910" t="inlineStr">
        <is>
          <t>Walk-In</t>
        </is>
      </c>
      <c r="G910" s="27" t="n">
        <v>4</v>
      </c>
      <c r="H910" t="inlineStr">
        <is>
          <t>Skin Redness / Swelling</t>
        </is>
      </c>
      <c r="I910" t="n">
        <v>83</v>
      </c>
      <c r="J910" t="n">
        <v>152</v>
      </c>
      <c r="K910" s="28">
        <f>I910/J910</f>
        <v/>
      </c>
      <c r="L910" s="27" t="n">
        <v>94</v>
      </c>
      <c r="M910" t="inlineStr">
        <is>
          <t>Admitted</t>
        </is>
      </c>
    </row>
    <row r="911">
      <c r="A911" t="inlineStr">
        <is>
          <t>ED212107</t>
        </is>
      </c>
      <c r="B911" t="inlineStr">
        <is>
          <t>PT10032</t>
        </is>
      </c>
      <c r="C911" s="26" t="n">
        <v>46012.51111111111</v>
      </c>
      <c r="D911" t="inlineStr">
        <is>
          <t>Sun</t>
        </is>
      </c>
      <c r="E911" s="27" t="n">
        <v>12</v>
      </c>
      <c r="F911" t="inlineStr">
        <is>
          <t>Walk-In</t>
        </is>
      </c>
      <c r="G911" s="27" t="n">
        <v>4</v>
      </c>
      <c r="H911" t="inlineStr">
        <is>
          <t>Cough / Fever</t>
        </is>
      </c>
      <c r="I911" t="n">
        <v>109</v>
      </c>
      <c r="K911" s="28">
        <f>I911/J911</f>
        <v/>
      </c>
      <c r="L911" s="27" t="n"/>
      <c r="M911" t="inlineStr">
        <is>
          <t>LWBS</t>
        </is>
      </c>
    </row>
    <row r="912">
      <c r="A912" t="inlineStr">
        <is>
          <t>ED212118</t>
        </is>
      </c>
      <c r="B912" t="inlineStr">
        <is>
          <t>PT11542</t>
        </is>
      </c>
      <c r="C912" s="26" t="n">
        <v>46013.27569444444</v>
      </c>
      <c r="D912" t="inlineStr">
        <is>
          <t>Mon</t>
        </is>
      </c>
      <c r="E912" s="27" t="n">
        <v>6</v>
      </c>
      <c r="F912" t="inlineStr">
        <is>
          <t>Walk-In</t>
        </is>
      </c>
      <c r="G912" s="27" t="n">
        <v>4</v>
      </c>
      <c r="H912" t="inlineStr">
        <is>
          <t>Painful Urination / Fever</t>
        </is>
      </c>
      <c r="I912" t="n">
        <v>107</v>
      </c>
      <c r="J912" t="n">
        <v>138</v>
      </c>
      <c r="K912" s="28">
        <f>I912/J912</f>
        <v/>
      </c>
      <c r="L912" s="27" t="n">
        <v>107</v>
      </c>
      <c r="M912" t="inlineStr">
        <is>
          <t>Discharged</t>
        </is>
      </c>
    </row>
    <row r="913">
      <c r="A913" t="inlineStr">
        <is>
          <t>ED212122</t>
        </is>
      </c>
      <c r="B913" t="inlineStr">
        <is>
          <t>PT11720</t>
        </is>
      </c>
      <c r="C913" s="26" t="n">
        <v>46013.49513888889</v>
      </c>
      <c r="D913" t="inlineStr">
        <is>
          <t>Mon</t>
        </is>
      </c>
      <c r="E913" s="27" t="n">
        <v>11</v>
      </c>
      <c r="F913" t="inlineStr">
        <is>
          <t>Ambulance</t>
        </is>
      </c>
      <c r="G913" s="27" t="n">
        <v>2</v>
      </c>
      <c r="H913" t="inlineStr">
        <is>
          <t>Fall / Hip Pain</t>
        </is>
      </c>
      <c r="I913" t="n">
        <v>99</v>
      </c>
      <c r="J913" t="n">
        <v>158</v>
      </c>
      <c r="K913" s="28">
        <f>I913/J913</f>
        <v/>
      </c>
      <c r="L913" s="27" t="n">
        <v>30</v>
      </c>
      <c r="M913" t="inlineStr">
        <is>
          <t>Admitted</t>
        </is>
      </c>
    </row>
    <row r="914">
      <c r="A914" t="inlineStr">
        <is>
          <t>ED212131</t>
        </is>
      </c>
      <c r="B914" t="inlineStr">
        <is>
          <t>PT12274</t>
        </is>
      </c>
      <c r="C914" s="26" t="n">
        <v>46013.71180555555</v>
      </c>
      <c r="D914" t="inlineStr">
        <is>
          <t>Mon</t>
        </is>
      </c>
      <c r="E914" s="27" t="n">
        <v>17</v>
      </c>
      <c r="F914" t="inlineStr">
        <is>
          <t>Walk-In</t>
        </is>
      </c>
      <c r="G914" s="27" t="n">
        <v>3</v>
      </c>
      <c r="H914" t="inlineStr">
        <is>
          <t>Chest Pain</t>
        </is>
      </c>
      <c r="I914" t="n">
        <v>92</v>
      </c>
      <c r="J914" t="n">
        <v>134</v>
      </c>
      <c r="K914" s="28">
        <f>I914/J914</f>
        <v/>
      </c>
      <c r="L914" s="27" t="n">
        <v>69</v>
      </c>
      <c r="M914" t="inlineStr">
        <is>
          <t>Discharged</t>
        </is>
      </c>
    </row>
    <row r="915">
      <c r="A915" t="inlineStr">
        <is>
          <t>ED212132</t>
        </is>
      </c>
      <c r="B915" t="inlineStr">
        <is>
          <t>PT12732</t>
        </is>
      </c>
      <c r="C915" s="26" t="n">
        <v>46013.72777777778</v>
      </c>
      <c r="D915" t="inlineStr">
        <is>
          <t>Mon</t>
        </is>
      </c>
      <c r="E915" s="27" t="n">
        <v>17</v>
      </c>
      <c r="F915" t="inlineStr">
        <is>
          <t>Ambulance</t>
        </is>
      </c>
      <c r="G915" s="27" t="n">
        <v>3</v>
      </c>
      <c r="H915" t="inlineStr">
        <is>
          <t>Laceration</t>
        </is>
      </c>
      <c r="I915" t="n">
        <v>69</v>
      </c>
      <c r="J915" t="n">
        <v>185</v>
      </c>
      <c r="K915" s="28">
        <f>I915/J915</f>
        <v/>
      </c>
      <c r="L915" s="27" t="n">
        <v>17</v>
      </c>
      <c r="M915" t="inlineStr">
        <is>
          <t>Discharged</t>
        </is>
      </c>
    </row>
    <row r="916">
      <c r="A916" t="inlineStr">
        <is>
          <t>ED212161</t>
        </is>
      </c>
      <c r="B916" t="inlineStr">
        <is>
          <t>PT12635</t>
        </is>
      </c>
      <c r="C916" s="26" t="n">
        <v>46014.85347222222</v>
      </c>
      <c r="D916" t="inlineStr">
        <is>
          <t>Tue</t>
        </is>
      </c>
      <c r="E916" s="27" t="n">
        <v>20</v>
      </c>
      <c r="F916" t="inlineStr">
        <is>
          <t>Walk-In</t>
        </is>
      </c>
      <c r="G916" s="27" t="n">
        <v>4</v>
      </c>
      <c r="H916" t="inlineStr">
        <is>
          <t>Rash</t>
        </is>
      </c>
      <c r="I916" t="n">
        <v>100</v>
      </c>
      <c r="J916" t="n">
        <v>180</v>
      </c>
      <c r="K916" s="28">
        <f>I916/J916</f>
        <v/>
      </c>
      <c r="L916" s="27" t="n">
        <v>167</v>
      </c>
      <c r="M916" t="inlineStr">
        <is>
          <t>Discharged</t>
        </is>
      </c>
    </row>
    <row r="917">
      <c r="A917" t="inlineStr">
        <is>
          <t>ED212164</t>
        </is>
      </c>
      <c r="B917" t="inlineStr">
        <is>
          <t>PT12399</t>
        </is>
      </c>
      <c r="C917" s="26" t="n">
        <v>46014.87638888889</v>
      </c>
      <c r="D917" t="inlineStr">
        <is>
          <t>Tue</t>
        </is>
      </c>
      <c r="E917" s="27" t="n">
        <v>21</v>
      </c>
      <c r="F917" t="inlineStr">
        <is>
          <t>Walk-In</t>
        </is>
      </c>
      <c r="G917" s="27" t="n">
        <v>3</v>
      </c>
      <c r="H917" t="inlineStr">
        <is>
          <t>Painful Urination / Fever</t>
        </is>
      </c>
      <c r="I917" t="n">
        <v>97</v>
      </c>
      <c r="J917" t="n">
        <v>124</v>
      </c>
      <c r="K917" s="28">
        <f>I917/J917</f>
        <v/>
      </c>
      <c r="L917" s="27" t="n">
        <v>69</v>
      </c>
      <c r="M917" t="inlineStr">
        <is>
          <t>Admitted</t>
        </is>
      </c>
    </row>
    <row r="918">
      <c r="A918" t="inlineStr">
        <is>
          <t>ED212175</t>
        </is>
      </c>
      <c r="B918" t="inlineStr">
        <is>
          <t>PT11240</t>
        </is>
      </c>
      <c r="C918" s="26" t="n">
        <v>46015.57847222222</v>
      </c>
      <c r="D918" t="inlineStr">
        <is>
          <t>Wed</t>
        </is>
      </c>
      <c r="E918" s="27" t="n">
        <v>13</v>
      </c>
      <c r="F918" t="inlineStr">
        <is>
          <t>Walk-In</t>
        </is>
      </c>
      <c r="G918" s="27" t="n">
        <v>3</v>
      </c>
      <c r="H918" t="inlineStr">
        <is>
          <t>Painful Urination / Fever</t>
        </is>
      </c>
      <c r="I918" t="n">
        <v>73</v>
      </c>
      <c r="J918" t="n">
        <v>149</v>
      </c>
      <c r="K918" s="28">
        <f>I918/J918</f>
        <v/>
      </c>
      <c r="L918" s="27" t="n">
        <v>95</v>
      </c>
      <c r="M918" t="inlineStr">
        <is>
          <t>Admitted</t>
        </is>
      </c>
    </row>
    <row r="919">
      <c r="A919" t="inlineStr">
        <is>
          <t>ED212183</t>
        </is>
      </c>
      <c r="B919" t="inlineStr">
        <is>
          <t>PT10611</t>
        </is>
      </c>
      <c r="C919" s="26" t="n">
        <v>46016.1</v>
      </c>
      <c r="D919" t="inlineStr">
        <is>
          <t>Thu</t>
        </is>
      </c>
      <c r="E919" s="27" t="n">
        <v>2</v>
      </c>
      <c r="F919" t="inlineStr">
        <is>
          <t>Ambulance</t>
        </is>
      </c>
      <c r="G919" s="27" t="n">
        <v>2</v>
      </c>
      <c r="H919" t="inlineStr">
        <is>
          <t>Cough / Fever</t>
        </is>
      </c>
      <c r="I919" t="n">
        <v>107</v>
      </c>
      <c r="J919" t="n">
        <v>128</v>
      </c>
      <c r="K919" s="28">
        <f>I919/J919</f>
        <v/>
      </c>
      <c r="L919" s="27" t="n">
        <v>10</v>
      </c>
      <c r="M919" t="inlineStr">
        <is>
          <t>Admitted</t>
        </is>
      </c>
    </row>
    <row r="920">
      <c r="A920" t="inlineStr">
        <is>
          <t>ED212185</t>
        </is>
      </c>
      <c r="B920" t="inlineStr">
        <is>
          <t>PT12362</t>
        </is>
      </c>
      <c r="C920" s="26" t="n">
        <v>46016.23888888889</v>
      </c>
      <c r="D920" t="inlineStr">
        <is>
          <t>Thu</t>
        </is>
      </c>
      <c r="E920" s="27" t="n">
        <v>5</v>
      </c>
      <c r="F920" t="inlineStr">
        <is>
          <t>Walk-In</t>
        </is>
      </c>
      <c r="G920" s="27" t="n">
        <v>5</v>
      </c>
      <c r="H920" t="inlineStr">
        <is>
          <t>Nausea</t>
        </is>
      </c>
      <c r="I920" t="n">
        <v>100</v>
      </c>
      <c r="J920" t="n">
        <v>114</v>
      </c>
      <c r="K920" s="28">
        <f>I920/J920</f>
        <v/>
      </c>
      <c r="L920" s="27" t="n">
        <v>42</v>
      </c>
      <c r="M920" t="inlineStr">
        <is>
          <t>Discharged</t>
        </is>
      </c>
    </row>
    <row r="921">
      <c r="A921" t="inlineStr">
        <is>
          <t>ED212195</t>
        </is>
      </c>
      <c r="B921" t="inlineStr">
        <is>
          <t>PT10786</t>
        </is>
      </c>
      <c r="C921" s="26" t="n">
        <v>46016.525</v>
      </c>
      <c r="D921" t="inlineStr">
        <is>
          <t>Thu</t>
        </is>
      </c>
      <c r="E921" s="27" t="n">
        <v>12</v>
      </c>
      <c r="F921" t="inlineStr">
        <is>
          <t>Walk-In</t>
        </is>
      </c>
      <c r="G921" s="27" t="n">
        <v>4</v>
      </c>
      <c r="H921" t="inlineStr">
        <is>
          <t>Anxiety / Palpitations</t>
        </is>
      </c>
      <c r="I921" t="n">
        <v>76</v>
      </c>
      <c r="J921" t="n">
        <v>164</v>
      </c>
      <c r="K921" s="28">
        <f>I921/J921</f>
        <v/>
      </c>
      <c r="L921" s="27" t="n">
        <v>27</v>
      </c>
      <c r="M921" t="inlineStr">
        <is>
          <t>Discharged</t>
        </is>
      </c>
    </row>
    <row r="922">
      <c r="A922" t="inlineStr">
        <is>
          <t>ED212198</t>
        </is>
      </c>
      <c r="B922" t="inlineStr">
        <is>
          <t>PT12586</t>
        </is>
      </c>
      <c r="C922" s="26" t="n">
        <v>46016.61944444444</v>
      </c>
      <c r="D922" t="inlineStr">
        <is>
          <t>Thu</t>
        </is>
      </c>
      <c r="E922" s="27" t="n">
        <v>14</v>
      </c>
      <c r="F922" t="inlineStr">
        <is>
          <t>Walk-In</t>
        </is>
      </c>
      <c r="G922" s="27" t="n">
        <v>4</v>
      </c>
      <c r="H922" t="inlineStr">
        <is>
          <t>Vomiting / Dizziness</t>
        </is>
      </c>
      <c r="I922" t="n">
        <v>98</v>
      </c>
      <c r="J922" t="n">
        <v>137</v>
      </c>
      <c r="K922" s="28">
        <f>I922/J922</f>
        <v/>
      </c>
      <c r="L922" s="27" t="n">
        <v>160</v>
      </c>
      <c r="M922" t="inlineStr">
        <is>
          <t>Observation</t>
        </is>
      </c>
    </row>
    <row r="923">
      <c r="A923" t="inlineStr">
        <is>
          <t>ED212199</t>
        </is>
      </c>
      <c r="B923" t="inlineStr">
        <is>
          <t>PT11068</t>
        </is>
      </c>
      <c r="C923" s="26" t="n">
        <v>46016.62013888889</v>
      </c>
      <c r="D923" t="inlineStr">
        <is>
          <t>Thu</t>
        </is>
      </c>
      <c r="E923" s="27" t="n">
        <v>14</v>
      </c>
      <c r="F923" t="inlineStr">
        <is>
          <t>Walk-In</t>
        </is>
      </c>
      <c r="G923" s="27" t="n">
        <v>5</v>
      </c>
      <c r="H923" t="inlineStr">
        <is>
          <t>Ankle Injury</t>
        </is>
      </c>
      <c r="I923" t="n">
        <v>92</v>
      </c>
      <c r="J923" t="n">
        <v>110</v>
      </c>
      <c r="K923" s="28">
        <f>I923/J923</f>
        <v/>
      </c>
      <c r="L923" s="27" t="n">
        <v>72</v>
      </c>
      <c r="M923" t="inlineStr">
        <is>
          <t>Discharged</t>
        </is>
      </c>
    </row>
    <row r="924">
      <c r="A924" t="inlineStr">
        <is>
          <t>ED212201</t>
        </is>
      </c>
      <c r="B924" t="inlineStr">
        <is>
          <t>PT11246</t>
        </is>
      </c>
      <c r="C924" s="26" t="n">
        <v>46016.66527777778</v>
      </c>
      <c r="D924" t="inlineStr">
        <is>
          <t>Thu</t>
        </is>
      </c>
      <c r="E924" s="27" t="n">
        <v>15</v>
      </c>
      <c r="F924" t="inlineStr">
        <is>
          <t>Walk-In</t>
        </is>
      </c>
      <c r="G924" s="27" t="n">
        <v>3</v>
      </c>
      <c r="H924" t="inlineStr">
        <is>
          <t>Shortness of Breath</t>
        </is>
      </c>
      <c r="I924" t="n">
        <v>87</v>
      </c>
      <c r="J924" t="n">
        <v>132</v>
      </c>
      <c r="K924" s="28">
        <f>I924/J924</f>
        <v/>
      </c>
      <c r="L924" s="27" t="n">
        <v>79</v>
      </c>
      <c r="M924" t="inlineStr">
        <is>
          <t>Observation</t>
        </is>
      </c>
    </row>
    <row r="925">
      <c r="A925" t="inlineStr">
        <is>
          <t>ED212209</t>
        </is>
      </c>
      <c r="B925" t="inlineStr">
        <is>
          <t>PT12860</t>
        </is>
      </c>
      <c r="C925" s="26" t="n">
        <v>46017.00208333333</v>
      </c>
      <c r="D925" t="inlineStr">
        <is>
          <t>Fri</t>
        </is>
      </c>
      <c r="E925" s="27" t="n">
        <v>0</v>
      </c>
      <c r="F925" t="inlineStr">
        <is>
          <t>Walk-In</t>
        </is>
      </c>
      <c r="G925" s="27" t="n">
        <v>2</v>
      </c>
      <c r="H925" t="inlineStr">
        <is>
          <t>Palpitations</t>
        </is>
      </c>
      <c r="I925" t="n">
        <v>134</v>
      </c>
      <c r="J925" t="n">
        <v>149</v>
      </c>
      <c r="K925" s="28">
        <f>I925/J925</f>
        <v/>
      </c>
      <c r="L925" s="27" t="n">
        <v>13</v>
      </c>
      <c r="M925" t="inlineStr">
        <is>
          <t>Admitted</t>
        </is>
      </c>
    </row>
    <row r="926">
      <c r="A926" t="inlineStr">
        <is>
          <t>ED212214</t>
        </is>
      </c>
      <c r="B926" t="inlineStr">
        <is>
          <t>PT11783</t>
        </is>
      </c>
      <c r="C926" s="26" t="n">
        <v>46017.37569444445</v>
      </c>
      <c r="D926" t="inlineStr">
        <is>
          <t>Fri</t>
        </is>
      </c>
      <c r="E926" s="27" t="n">
        <v>9</v>
      </c>
      <c r="F926" t="inlineStr">
        <is>
          <t>Walk-In</t>
        </is>
      </c>
      <c r="G926" s="27" t="n">
        <v>4</v>
      </c>
      <c r="H926" t="inlineStr">
        <is>
          <t>Cough / Fever</t>
        </is>
      </c>
      <c r="I926" t="n">
        <v>74</v>
      </c>
      <c r="J926" t="n">
        <v>121</v>
      </c>
      <c r="K926" s="28">
        <f>I926/J926</f>
        <v/>
      </c>
      <c r="L926" s="27" t="n">
        <v>49</v>
      </c>
      <c r="M926" t="inlineStr">
        <is>
          <t>Discharged</t>
        </is>
      </c>
    </row>
    <row r="927">
      <c r="A927" t="inlineStr">
        <is>
          <t>ED212222</t>
        </is>
      </c>
      <c r="B927" t="inlineStr">
        <is>
          <t>PT13031</t>
        </is>
      </c>
      <c r="C927" s="26" t="n">
        <v>46018.11597222222</v>
      </c>
      <c r="D927" t="inlineStr">
        <is>
          <t>Sat</t>
        </is>
      </c>
      <c r="E927" s="27" t="n">
        <v>2</v>
      </c>
      <c r="F927" t="inlineStr">
        <is>
          <t>Walk-In</t>
        </is>
      </c>
      <c r="G927" s="27" t="n">
        <v>3</v>
      </c>
      <c r="H927" t="inlineStr">
        <is>
          <t>Abdominal Pain</t>
        </is>
      </c>
      <c r="I927" t="n">
        <v>82</v>
      </c>
      <c r="J927" t="n">
        <v>102</v>
      </c>
      <c r="K927" s="28">
        <f>I927/J927</f>
        <v/>
      </c>
      <c r="L927" s="27" t="n">
        <v>20</v>
      </c>
      <c r="M927" t="inlineStr">
        <is>
          <t>Discharged</t>
        </is>
      </c>
    </row>
    <row r="928">
      <c r="A928" t="inlineStr">
        <is>
          <t>ED212233</t>
        </is>
      </c>
      <c r="B928" t="inlineStr">
        <is>
          <t>PT11427</t>
        </is>
      </c>
      <c r="C928" s="26" t="n">
        <v>46018.62361111111</v>
      </c>
      <c r="D928" t="inlineStr">
        <is>
          <t>Sat</t>
        </is>
      </c>
      <c r="E928" s="27" t="n">
        <v>14</v>
      </c>
      <c r="F928" t="inlineStr">
        <is>
          <t>Walk-In</t>
        </is>
      </c>
      <c r="G928" s="27" t="n">
        <v>3</v>
      </c>
      <c r="H928" t="inlineStr">
        <is>
          <t>Back Pain</t>
        </is>
      </c>
      <c r="I928" t="n">
        <v>105</v>
      </c>
      <c r="J928" t="n">
        <v>117</v>
      </c>
      <c r="K928" s="28">
        <f>I928/J928</f>
        <v/>
      </c>
      <c r="L928" s="27" t="n">
        <v>41</v>
      </c>
      <c r="M928" t="inlineStr">
        <is>
          <t>Observation</t>
        </is>
      </c>
    </row>
    <row r="929">
      <c r="A929" t="inlineStr">
        <is>
          <t>ED212239</t>
        </is>
      </c>
      <c r="B929" t="inlineStr">
        <is>
          <t>PT12485</t>
        </is>
      </c>
      <c r="C929" s="26" t="n">
        <v>46019.37430555555</v>
      </c>
      <c r="D929" t="inlineStr">
        <is>
          <t>Sun</t>
        </is>
      </c>
      <c r="E929" s="27" t="n">
        <v>8</v>
      </c>
      <c r="F929" t="inlineStr">
        <is>
          <t>Walk-In</t>
        </is>
      </c>
      <c r="G929" s="27" t="n">
        <v>4</v>
      </c>
      <c r="H929" t="inlineStr">
        <is>
          <t>Fall</t>
        </is>
      </c>
      <c r="I929" t="n">
        <v>88</v>
      </c>
      <c r="J929" t="n">
        <v>136</v>
      </c>
      <c r="K929" s="28">
        <f>I929/J929</f>
        <v/>
      </c>
      <c r="L929" s="27" t="n">
        <v>92</v>
      </c>
      <c r="M929" t="inlineStr">
        <is>
          <t>Observation</t>
        </is>
      </c>
    </row>
    <row r="930">
      <c r="A930" t="inlineStr">
        <is>
          <t>ED212242</t>
        </is>
      </c>
      <c r="B930" t="inlineStr">
        <is>
          <t>PT10422</t>
        </is>
      </c>
      <c r="C930" s="26" t="n">
        <v>46019.59027777778</v>
      </c>
      <c r="D930" t="inlineStr">
        <is>
          <t>Sun</t>
        </is>
      </c>
      <c r="E930" s="27" t="n">
        <v>14</v>
      </c>
      <c r="F930" t="inlineStr">
        <is>
          <t>Walk-In</t>
        </is>
      </c>
      <c r="G930" s="27" t="n">
        <v>4</v>
      </c>
      <c r="H930" t="inlineStr">
        <is>
          <t>Headache</t>
        </is>
      </c>
      <c r="I930" t="n">
        <v>98</v>
      </c>
      <c r="J930" t="n">
        <v>210</v>
      </c>
      <c r="K930" s="28">
        <f>I930/J930</f>
        <v/>
      </c>
      <c r="L930" s="27" t="n">
        <v>41</v>
      </c>
      <c r="M930" t="inlineStr">
        <is>
          <t>Discharged</t>
        </is>
      </c>
    </row>
    <row r="931">
      <c r="A931" t="inlineStr">
        <is>
          <t>ED212254</t>
        </is>
      </c>
      <c r="B931" t="inlineStr">
        <is>
          <t>PT13107</t>
        </is>
      </c>
      <c r="C931" s="26" t="n">
        <v>46020.52083333334</v>
      </c>
      <c r="D931" t="inlineStr">
        <is>
          <t>Mon</t>
        </is>
      </c>
      <c r="E931" s="27" t="n">
        <v>12</v>
      </c>
      <c r="F931" t="inlineStr">
        <is>
          <t>Walk-In</t>
        </is>
      </c>
      <c r="G931" s="27" t="n">
        <v>3</v>
      </c>
      <c r="H931" t="inlineStr">
        <is>
          <t>Painful Urination / Fever</t>
        </is>
      </c>
      <c r="I931" t="n">
        <v>89</v>
      </c>
      <c r="J931" t="n">
        <v>131</v>
      </c>
      <c r="K931" s="28">
        <f>I931/J931</f>
        <v/>
      </c>
      <c r="L931" s="27" t="n">
        <v>175</v>
      </c>
      <c r="M931" t="inlineStr">
        <is>
          <t>Discharged</t>
        </is>
      </c>
    </row>
    <row r="932">
      <c r="A932" t="inlineStr">
        <is>
          <t>ED212256</t>
        </is>
      </c>
      <c r="B932" t="inlineStr">
        <is>
          <t>PT12687</t>
        </is>
      </c>
      <c r="C932" s="26" t="n">
        <v>46020.64444444444</v>
      </c>
      <c r="D932" t="inlineStr">
        <is>
          <t>Mon</t>
        </is>
      </c>
      <c r="E932" s="27" t="n">
        <v>15</v>
      </c>
      <c r="F932" t="inlineStr">
        <is>
          <t>Walk-In</t>
        </is>
      </c>
      <c r="G932" s="27" t="n">
        <v>4</v>
      </c>
      <c r="H932" t="inlineStr">
        <is>
          <t>Cough / Fever</t>
        </is>
      </c>
      <c r="I932" t="n">
        <v>93</v>
      </c>
      <c r="J932" t="n">
        <v>128</v>
      </c>
      <c r="K932" s="28">
        <f>I932/J932</f>
        <v/>
      </c>
      <c r="L932" s="27" t="n">
        <v>75</v>
      </c>
      <c r="M932" t="inlineStr">
        <is>
          <t>Discharged</t>
        </is>
      </c>
    </row>
    <row r="933">
      <c r="A933" t="inlineStr">
        <is>
          <t>ED212257</t>
        </is>
      </c>
      <c r="B933" t="inlineStr">
        <is>
          <t>PT12166</t>
        </is>
      </c>
      <c r="C933" s="26" t="n">
        <v>46020.66388888889</v>
      </c>
      <c r="D933" t="inlineStr">
        <is>
          <t>Mon</t>
        </is>
      </c>
      <c r="E933" s="27" t="n">
        <v>15</v>
      </c>
      <c r="F933" t="inlineStr">
        <is>
          <t>Walk-In</t>
        </is>
      </c>
      <c r="G933" s="27" t="n">
        <v>4</v>
      </c>
      <c r="H933" t="inlineStr">
        <is>
          <t>Headache</t>
        </is>
      </c>
      <c r="I933" t="n">
        <v>86</v>
      </c>
      <c r="J933" t="n">
        <v>156</v>
      </c>
      <c r="K933" s="28">
        <f>I933/J933</f>
        <v/>
      </c>
      <c r="L933" s="27" t="n">
        <v>69</v>
      </c>
      <c r="M933" t="inlineStr">
        <is>
          <t>Discharged</t>
        </is>
      </c>
    </row>
    <row r="934">
      <c r="A934" t="inlineStr">
        <is>
          <t>ED212264</t>
        </is>
      </c>
      <c r="B934" t="inlineStr">
        <is>
          <t>PT10855</t>
        </is>
      </c>
      <c r="C934" s="26" t="n">
        <v>46020.88541666666</v>
      </c>
      <c r="D934" t="inlineStr">
        <is>
          <t>Mon</t>
        </is>
      </c>
      <c r="E934" s="27" t="n">
        <v>21</v>
      </c>
      <c r="F934" t="inlineStr">
        <is>
          <t>Walk-In</t>
        </is>
      </c>
      <c r="G934" s="27" t="n">
        <v>5</v>
      </c>
      <c r="H934" t="inlineStr">
        <is>
          <t>Cough / Fever</t>
        </is>
      </c>
      <c r="I934" t="n">
        <v>61</v>
      </c>
      <c r="J934" t="n">
        <v>143</v>
      </c>
      <c r="K934" s="28">
        <f>I934/J934</f>
        <v/>
      </c>
      <c r="L934" s="27" t="n">
        <v>74</v>
      </c>
      <c r="M934" t="inlineStr">
        <is>
          <t>Discharged</t>
        </is>
      </c>
    </row>
    <row r="935">
      <c r="A935" s="29" t="inlineStr">
        <is>
          <t>ED212272</t>
        </is>
      </c>
      <c r="B935" s="29" t="inlineStr">
        <is>
          <t>PT12054</t>
        </is>
      </c>
      <c r="C935" s="30" t="n">
        <v>46021.48055555556</v>
      </c>
      <c r="D935" s="29" t="inlineStr">
        <is>
          <t>Tue</t>
        </is>
      </c>
      <c r="E935" s="31" t="n">
        <v>11</v>
      </c>
      <c r="F935" s="29" t="inlineStr">
        <is>
          <t>Walk-In</t>
        </is>
      </c>
      <c r="G935" s="31" t="n">
        <v>3</v>
      </c>
      <c r="H935" s="29" t="inlineStr">
        <is>
          <t>Cough / Fever</t>
        </is>
      </c>
      <c r="I935" s="29" t="n">
        <v>99</v>
      </c>
      <c r="J935" s="29" t="n">
        <v>139</v>
      </c>
      <c r="K935" s="32">
        <f>I935/J935</f>
        <v/>
      </c>
      <c r="L935" s="31" t="n">
        <v>75</v>
      </c>
      <c r="M935" s="29" t="inlineStr">
        <is>
          <t>Discharged</t>
        </is>
      </c>
    </row>
    <row r="936">
      <c r="A936" t="inlineStr">
        <is>
          <t>ED212275</t>
        </is>
      </c>
      <c r="B936" t="inlineStr">
        <is>
          <t>PT11452</t>
        </is>
      </c>
      <c r="C936" s="26" t="n">
        <v>46021.72222222222</v>
      </c>
      <c r="D936" t="inlineStr">
        <is>
          <t>Tue</t>
        </is>
      </c>
      <c r="E936" s="27" t="n">
        <v>17</v>
      </c>
      <c r="F936" t="inlineStr">
        <is>
          <t>Walk-In</t>
        </is>
      </c>
      <c r="G936" s="27" t="n">
        <v>3</v>
      </c>
      <c r="H936" t="inlineStr">
        <is>
          <t>Rash</t>
        </is>
      </c>
      <c r="I936" t="n">
        <v>94</v>
      </c>
      <c r="J936" t="n">
        <v>141</v>
      </c>
      <c r="K936" s="28">
        <f>I936/J936</f>
        <v/>
      </c>
      <c r="L936" s="27" t="n">
        <v>55</v>
      </c>
      <c r="M936" t="inlineStr">
        <is>
          <t>Discharged</t>
        </is>
      </c>
    </row>
    <row r="937">
      <c r="A937" t="inlineStr">
        <is>
          <t>ED212276</t>
        </is>
      </c>
      <c r="B937" t="inlineStr">
        <is>
          <t>PT10591</t>
        </is>
      </c>
      <c r="C937" s="26" t="n">
        <v>46021.76666666667</v>
      </c>
      <c r="D937" t="inlineStr">
        <is>
          <t>Tue</t>
        </is>
      </c>
      <c r="E937" s="27" t="n">
        <v>18</v>
      </c>
      <c r="F937" t="inlineStr">
        <is>
          <t>Walk-In</t>
        </is>
      </c>
      <c r="G937" s="27" t="n">
        <v>3</v>
      </c>
      <c r="H937" t="inlineStr">
        <is>
          <t>Painful Urination / Fever</t>
        </is>
      </c>
      <c r="I937" t="n">
        <v>76</v>
      </c>
      <c r="J937" t="n">
        <v>127</v>
      </c>
      <c r="K937" s="28">
        <f>I937/J937</f>
        <v/>
      </c>
      <c r="L937" s="27" t="n">
        <v>31</v>
      </c>
      <c r="M937" t="inlineStr">
        <is>
          <t>Discharged</t>
        </is>
      </c>
    </row>
    <row r="938">
      <c r="A938" t="inlineStr">
        <is>
          <t>ED212289</t>
        </is>
      </c>
      <c r="B938" t="inlineStr">
        <is>
          <t>PT13353</t>
        </is>
      </c>
      <c r="C938" s="26" t="n">
        <v>46022.65</v>
      </c>
      <c r="D938" t="inlineStr">
        <is>
          <t>Wed</t>
        </is>
      </c>
      <c r="E938" s="27" t="n">
        <v>15</v>
      </c>
      <c r="F938" t="inlineStr">
        <is>
          <t>Walk-In</t>
        </is>
      </c>
      <c r="G938" s="27" t="n">
        <v>3</v>
      </c>
      <c r="H938" t="inlineStr">
        <is>
          <t>Cough / Fever</t>
        </is>
      </c>
      <c r="I938" t="n">
        <v>91</v>
      </c>
      <c r="J938" t="n">
        <v>130</v>
      </c>
      <c r="K938" s="28">
        <f>I938/J938</f>
        <v/>
      </c>
      <c r="L938" s="27" t="n">
        <v>57</v>
      </c>
      <c r="M938" t="inlineStr">
        <is>
          <t>Discharged</t>
        </is>
      </c>
    </row>
  </sheetData>
  <pageMargins left="0.75" right="0.75" top="1" bottom="1" header="0.5" footer="0.5"/>
</worksheet>
</file>

<file path=xl/worksheets/sheet4.xml><?xml version="1.0" encoding="utf-8"?>
<worksheet xmlns="http://schemas.openxmlformats.org/spreadsheetml/2006/main">
  <sheetPr>
    <tabColor rgb="0070AD47"/>
    <outlinePr summaryBelow="1" summaryRight="1"/>
    <pageSetUpPr/>
  </sheetPr>
  <dimension ref="A1:U8"/>
  <sheetViews>
    <sheetView tabSelected="0" workbookViewId="0">
      <pane ySplit="3" topLeftCell="A4" activePane="bottomLeft" state="frozen"/>
      <selection pane="bottomLeft" activeCell="A1" sqref="A1"/>
    </sheetView>
  </sheetViews>
  <sheetFormatPr baseColWidth="8" defaultRowHeight="15"/>
  <cols>
    <col width="14" customWidth="1" min="1" max="1"/>
    <col width="18" customWidth="1" min="2" max="2"/>
    <col width="14" customWidth="1" min="3" max="3"/>
    <col width="14" customWidth="1" min="4" max="4"/>
    <col width="14" customWidth="1" min="5" max="5"/>
    <col width="17" customWidth="1" min="6" max="6"/>
    <col width="14" customWidth="1" min="7" max="7"/>
    <col width="14" customWidth="1" min="8" max="8"/>
    <col width="14" customWidth="1" min="9" max="9"/>
    <col width="14" customWidth="1" min="10" max="10"/>
    <col width="30" customWidth="1" min="11" max="11"/>
    <col width="14" customWidth="1" min="12" max="12"/>
    <col width="14" customWidth="1" min="13" max="13"/>
    <col width="14" customWidth="1" min="14" max="14"/>
    <col width="18" customWidth="1" min="15" max="15"/>
    <col width="14" customWidth="1" min="16" max="16"/>
    <col width="14" customWidth="1" min="17" max="17"/>
    <col width="14" customWidth="1" min="18" max="18"/>
    <col width="30" customWidth="1" min="19" max="19"/>
    <col width="14" customWidth="1" min="20" max="20"/>
    <col width="14" customWidth="1" min="21" max="21"/>
    <col width="14" customWidth="1" min="22" max="22"/>
    <col width="14" customWidth="1" min="23" max="23"/>
  </cols>
  <sheetData>
    <row r="1">
      <c r="A1" s="33" t="inlineStr">
        <is>
          <t>Workspace: Advanced Filter criteria and results</t>
        </is>
      </c>
    </row>
    <row r="2">
      <c r="A2" s="34" t="inlineStr">
        <is>
          <t>Copy header names from row 1 of EDVisits so they match exactly. Start Data → Advanced from this sheet when the results should land here.</t>
        </is>
      </c>
    </row>
    <row r="3">
      <c r="A3" s="35" t="inlineStr">
        <is>
          <t>Task 9 criteria: A4:B6</t>
        </is>
      </c>
      <c r="D3" s="35" t="inlineStr">
        <is>
          <t>Task 9 results: copy to D4</t>
        </is>
      </c>
      <c r="S3" s="35" t="inlineStr">
        <is>
          <t>Task 10 list: copy to S4</t>
        </is>
      </c>
      <c r="U3" s="35" t="inlineStr">
        <is>
          <t>Bonus criteria: U4:W6</t>
        </is>
      </c>
    </row>
    <row r="8">
      <c r="A8" s="35" t="inlineStr">
        <is>
          <t>Free cells for the guide's examples: A9 and below</t>
        </is>
      </c>
    </row>
  </sheetData>
  <pageMargins left="0.75" right="0.75" top="1" bottom="1" header="0.5" footer="0.5"/>
</worksheet>
</file>

<file path=xl/worksheets/sheet5.xml><?xml version="1.0" encoding="utf-8"?>
<worksheet xmlns="http://schemas.openxmlformats.org/spreadsheetml/2006/main">
  <sheetPr>
    <tabColor rgb="00BF9000"/>
    <outlinePr summaryBelow="1" summaryRight="1"/>
    <pageSetUpPr fitToPage="1"/>
  </sheetPr>
  <dimension ref="A1:E9"/>
  <sheetViews>
    <sheetView tabSelected="0" workbookViewId="0">
      <pane ySplit="5" topLeftCell="A6" activePane="bottomLeft" state="frozen"/>
      <selection pane="bottomLeft" activeCell="A1" sqref="A1"/>
    </sheetView>
  </sheetViews>
  <sheetFormatPr baseColWidth="8" defaultRowHeight="15"/>
  <cols>
    <col width="5" customWidth="1" min="1" max="1"/>
    <col width="72" customWidth="1" min="2" max="2"/>
    <col width="38" customWidth="1" min="3" max="3"/>
    <col width="22" customWidth="1" min="4" max="4"/>
    <col width="14" customWidth="1" min="5" max="5"/>
  </cols>
  <sheetData>
    <row r="1">
      <c r="A1" s="12" t="inlineStr">
        <is>
          <t>Lesson 1.6 · Bonus: the high-acuity evening review</t>
        </is>
      </c>
    </row>
    <row r="2" ht="79" customHeight="1">
      <c r="A2" s="13" t="inlineStr">
        <is>
          <t>Cedar Ridge's ED medical director is preparing a high-acuity review for the quality committee. It covers every ESI 1 visit, plus ESI 2 patients who arrived by ambulance in the evening (ArrivalHour 18 or later, which means 6:00 pm to 11:59 pm). That rule is an OR across different columns, so AutoFilter can't do it in one step. Your practice task 11 and 12 formulas follow the ESI 3 filter, so they switch to ✘ when you clear it. That's expected. To keep them green, first copy each of those two answer cells and paste it back as a value. Then clear every filter on EDVisits (Data → Clear), insert a new sheet named Review, type the criteria range in Workspace!U4:W6, and run Data → Advanced from the Review sheet to copy the matching rows to Review!A1.</t>
        </is>
      </c>
    </row>
    <row r="3" ht="34" customHeight="1">
      <c r="A3" s="14" t="inlineStr">
        <is>
          <t>Type a formula or value in each yellow cell. The Check column turns green when your answer matches. Stuck? Read the hint, then the lesson guide. Answers: right-click a sheet tab → Unhide… → 'Bonus Key'.</t>
        </is>
      </c>
    </row>
    <row r="4">
      <c r="A4" s="15">
        <f>"Score: "&amp;COUNTIF(E6:E9,"✔*")&amp;" of 4 auto-checked tasks correct"</f>
        <v/>
      </c>
    </row>
    <row r="5">
      <c r="A5" s="16" t="inlineStr">
        <is>
          <t>#</t>
        </is>
      </c>
      <c r="B5" s="16" t="inlineStr">
        <is>
          <t>Task</t>
        </is>
      </c>
      <c r="C5" s="16" t="inlineStr">
        <is>
          <t>Hint</t>
        </is>
      </c>
      <c r="D5" s="16" t="inlineStr">
        <is>
          <t>Your Answer</t>
        </is>
      </c>
      <c r="E5" s="16" t="inlineStr">
        <is>
          <t>Check</t>
        </is>
      </c>
    </row>
    <row r="6" ht="36" customHeight="1">
      <c r="A6" s="17" t="inlineStr">
        <is>
          <t>B1</t>
        </is>
      </c>
      <c r="B6" s="18" t="inlineStr">
        <is>
          <t>How many visits does your Advanced Filter copy to the Review sheet? Don't count the header row.</t>
        </is>
      </c>
      <c r="C6" s="19" t="inlineStr">
        <is>
          <t>Two criteria rows: ESI 1 alone, and ESI 2 + Ambulance + &gt;=18 together</t>
        </is>
      </c>
      <c r="D6" s="22" t="n"/>
      <c r="E6" s="21">
        <f>IF(IFERROR(D6="",FALSE),"",IF(IFERROR(AND(ISNUMBER(D6),OR(ABS(D6-'Bonus Key'!$C$5)&lt;=0.0001)),FALSE),"✔ Correct","✘ Not yet"))</f>
        <v/>
      </c>
    </row>
    <row r="7" ht="36" customHeight="1">
      <c r="A7" s="17" t="inlineStr">
        <is>
          <t>B2</t>
        </is>
      </c>
      <c r="B7" s="18" t="inlineStr">
        <is>
          <t>In the yellow cell, write a formula for the average DoorToProviderMin of the review visits, rounded to 1 decimal place.</t>
        </is>
      </c>
      <c r="C7" s="19" t="inlineStr">
        <is>
          <t>AVERAGE over column L of the Review sheet</t>
        </is>
      </c>
      <c r="D7" s="23" t="n"/>
      <c r="E7" s="21">
        <f>IF(IFERROR(D7="",FALSE),"",IF(IFERROR(AND(ISNUMBER(D7),OR(ABS(D7-'Bonus Key'!$C$6)&lt;=0.0001)),FALSE),"✔ Correct","✘ Not yet"))</f>
        <v/>
      </c>
    </row>
    <row r="8" ht="66" customHeight="1">
      <c r="A8" s="17" t="inlineStr">
        <is>
          <t>B3</t>
        </is>
      </c>
      <c r="B8" s="18" t="inlineStr">
        <is>
          <t>The director lists dispositions by level of care. Create the custom list Admitted, Observation, Transferred, Discharged, Left AMA, LWBS. Sort the Review sheet by EDDisposition with that list, then by DoorToProviderMin Largest to Smallest. Which EDVisitID is in row 44 of the Review sheet?</t>
        </is>
      </c>
      <c r="C8" s="19" t="inlineStr">
        <is>
          <t>Order → Custom List… → NEW LIST</t>
        </is>
      </c>
      <c r="D8" s="20" t="n"/>
      <c r="E8" s="21">
        <f>IF(IFERROR(D8="",FALSE),"",IF(IFERROR(OR(LOWER(TRIM(D8&amp;""))=LOWER(TRIM('Bonus Key'!$C$7&amp;""))),FALSE),"✔ Correct","✘ Not yet"))</f>
        <v/>
      </c>
    </row>
    <row r="9" ht="66" customHeight="1">
      <c r="A9" s="17" t="inlineStr">
        <is>
          <t>B4</t>
        </is>
      </c>
      <c r="B9" s="18" t="inlineStr">
        <is>
          <t>CMS reports ED wait times as medians, because a few very long waits pull an average up. Filter the Review sheet to ESILevel 2 only. Then, in the yellow cell, write an AGGREGATE formula that returns the median DoorToProviderMin of the visible Review rows.</t>
        </is>
      </c>
      <c r="C9" s="19" t="inlineStr">
        <is>
          <t>SUBTOTAL has no median, but AGGREGATE function 12 does</t>
        </is>
      </c>
      <c r="D9" s="22" t="n"/>
      <c r="E9" s="21">
        <f>IF(IFERROR(D9="",FALSE),"",IF(IFERROR(AND(ISNUMBER(D9),OR(ABS(D9-'Bonus Key'!$C$8)&lt;=0.0001)),FALSE),"✔ Correct","✘ Not yet"))</f>
        <v/>
      </c>
    </row>
  </sheetData>
  <mergeCells count="3">
    <mergeCell ref="A2:E2"/>
    <mergeCell ref="A4:C4"/>
    <mergeCell ref="A3:E3"/>
  </mergeCells>
  <conditionalFormatting sqref="E6:E9">
    <cfRule type="expression" priority="1" dxfId="0">
      <formula>LEFT(E6,1)="✔"</formula>
    </cfRule>
    <cfRule type="expression" priority="2" dxfId="1">
      <formula>LEFT(E6,1)="✘"</formula>
    </cfRule>
  </conditionalFormatting>
  <pageMargins left="0.75" right="0.75" top="1" bottom="1" header="0.5" footer="0.5"/>
  <pageSetup orientation="landscape" fitToHeight="0" fitToWidth="1"/>
</worksheet>
</file>

<file path=xl/worksheets/sheet6.xml><?xml version="1.0" encoding="utf-8"?>
<worksheet xmlns="http://schemas.openxmlformats.org/spreadsheetml/2006/main">
  <sheetPr>
    <tabColor rgb="00C00000"/>
    <outlinePr summaryBelow="1" summaryRight="1"/>
    <pageSetUpPr fitToPage="1"/>
  </sheetPr>
  <dimension ref="A1:F16"/>
  <sheetViews>
    <sheetView tabSelected="0" workbookViewId="0">
      <pane ySplit="4" topLeftCell="A5" activePane="bottomLeft" state="frozen"/>
      <selection pane="bottomLeft" activeCell="A1" sqref="A1"/>
    </sheetView>
  </sheetViews>
  <sheetFormatPr baseColWidth="8" defaultRowHeight="15"/>
  <cols>
    <col width="5" customWidth="1" min="1" max="1"/>
    <col width="55" customWidth="1" min="2" max="2"/>
    <col width="18" customWidth="1" min="3" max="3"/>
    <col width="48" customWidth="1" min="4" max="4"/>
    <col width="18" customWidth="1" min="5" max="5"/>
    <col width="62" customWidth="1" min="6" max="6"/>
  </cols>
  <sheetData>
    <row r="1">
      <c r="A1" s="36" t="inlineStr">
        <is>
          <t>🔑 Answer Key — Lesson 1.6</t>
        </is>
      </c>
    </row>
    <row r="2" ht="32" customHeight="1">
      <c r="A2" s="37" t="inlineStr">
        <is>
          <t>Spoiler alert: try every task before reading this sheet. Column C is the value the Check column compares against. Column D is a sample solution, and column E recalculates a formula for it live, proving the answer.</t>
        </is>
      </c>
    </row>
    <row r="4">
      <c r="A4" s="38" t="inlineStr">
        <is>
          <t>#</t>
        </is>
      </c>
      <c r="B4" s="38" t="inlineStr">
        <is>
          <t>Task</t>
        </is>
      </c>
      <c r="C4" s="38" t="inlineStr">
        <is>
          <t>Answer</t>
        </is>
      </c>
      <c r="D4" s="38" t="inlineStr">
        <is>
          <t>Sample solution</t>
        </is>
      </c>
      <c r="E4" s="38" t="inlineStr">
        <is>
          <t>Live result</t>
        </is>
      </c>
      <c r="F4" s="38" t="inlineStr">
        <is>
          <t>Explanation</t>
        </is>
      </c>
    </row>
    <row r="5" ht="126" customHeight="1">
      <c r="A5" s="17" t="inlineStr">
        <is>
          <t>1</t>
        </is>
      </c>
      <c r="B5" s="18" t="inlineStr">
        <is>
          <t>Sort the EDVisits sheet by DoorToProviderMin, Largest to Smallest. Which EDVisitID is now in row 2? (That's the visit with the longest wait from arrival to first provider contact.)</t>
        </is>
      </c>
      <c r="C5" s="39" t="inlineStr">
        <is>
          <t>ED208970</t>
        </is>
      </c>
      <c r="D5" s="40" t="inlineStr">
        <is>
          <t>1. Click any cell in column L (DoorToProviderMin), for example L2.
2. Click Data → Sort Z to A (the Z→A button). On a number column, the Home → Sort &amp; Filter menu calls the same command Sort Largest to Smallest. Because you clicked a single cell, Excel sorts the whole block of data with it.
3. Read A2: ED208970, a wait of 299 minutes.</t>
        </is>
      </c>
      <c r="E5" cm="1" s="18">
        <f t="array" ref="E5">INDEX(EDVisits!$A$2:$A$938,MATCH(MAX(EDVisits!$L$2:$L$938),EDVisits!$L$2:$L$938,0))</f>
        <v/>
      </c>
      <c r="F5" s="18" t="inlineStr">
        <is>
          <t>Clicking one cell (not selecting the column) lets Excel find the whole data block and keep every row together. Scroll to the bottom: the 15 LWBS visits with a blank wait sit in rows 924–938. Excel always sorts blanks last, whether you sort ascending or descending.</t>
        </is>
      </c>
    </row>
    <row r="6" ht="156" customHeight="1">
      <c r="A6" s="17" t="inlineStr">
        <is>
          <t>2</t>
        </is>
      </c>
      <c r="B6" s="18" t="inlineStr">
        <is>
          <t>Use the Sort dialog (Data → Sort) to sort by three levels: ESILevel Smallest to Largest, then DoorToProviderMin Largest to Smallest, then ArrivalDateTime Oldest to Newest. Which EDVisitID is in row 11?</t>
        </is>
      </c>
      <c r="C6" s="39" t="inlineStr">
        <is>
          <t>ED208106</t>
        </is>
      </c>
      <c r="D6" s="40" t="inlineStr">
        <is>
          <t>1. Click any cell in the data and choose Data → Sort. Check that My data has headers is ticked.
2. Sort by ESILevel, Sort On Cell Values, Order Smallest to Largest.
3. Click Add Level: Then by DoorToProviderMin, Largest to Smallest.
4. Click Add Level again: Then by ArrivalDateTime, Oldest to Newest. Click OK.
5. Read A11: ED208106.</t>
        </is>
      </c>
      <c r="E6" cm="1" s="18">
        <f t="array" ref="E6">INDEX(_xlfn.SORTBY(EDVisits!$A$2:$A$938,EDVisits!$G$2:$G$938,1,EDVisits!$L$2:$L$938,-1,EDVisits!$C$2:$C$938,1),10)</f>
        <v/>
      </c>
      <c r="F6" s="18" t="inlineStr">
        <is>
          <t>The first level groups the 23 ESI 1 visits at the top (rows 2–24). Inside that group the second level puts the longest waits first. Several ESI 1 patients waited exactly 3 minutes, so the third level (arrival time) breaks the tie. Without a tiebreaker, rows that tie on every level stay in whatever order they happened to be in, which depends on your earlier sorts.</t>
        </is>
      </c>
    </row>
    <row r="7" ht="141" customHeight="1">
      <c r="A7" s="17" t="inlineStr">
        <is>
          <t>3</t>
        </is>
      </c>
      <c r="B7" s="18" t="inlineStr">
        <is>
          <t>Sort by ArrivalDay using the built-in custom list Sun, Mon, Tue, Wed, Thu, Fri, Sat (Sort dialog → Order → Custom List…). On which row does the first Wednesday (Wed) visit appear? Type the row number.</t>
        </is>
      </c>
      <c r="C7" s="39" t="n">
        <v>433</v>
      </c>
      <c r="D7" s="40" t="inlineStr">
        <is>
          <t>1. Data → Sort. If levels from task 2 are still listed, select each one and click Delete Level.
2. Sort by ArrivalDay, Sort On Cell Values, Order Custom List….
3. In the Custom Lists box pick Sun, Mon, Tue, Wed, Thu, Fri, Sat, then OK twice.
4. Scroll down column D until the days change from Tue to Wed: row 433.</t>
        </is>
      </c>
      <c r="E7" cm="1" s="18">
        <f t="array" ref="E7">COUNTIF(EDVisits!$D$2:$D$938,"Sun")+COUNTIF(EDVisits!$D$2:$D$938,"Mon")+COUNTIF(EDVisits!$D$2:$D$938,"Tue")+2</f>
        <v/>
      </c>
      <c r="F7" s="18" t="inlineStr">
        <is>
          <t>A custom list sorts in the order you give it, not alphabetically. Sunday (142 visits), Monday (152) and Tuesday (137) fill rows 2–432, so Wednesday starts in row 433. An A→Z sort would have put the days in the order Fri, Mon, Sat, Sun, Thu, Tue, Wed, and the first Wednesday would land in row 801.</t>
        </is>
      </c>
    </row>
    <row r="8" ht="156" customHeight="1">
      <c r="A8" s="17" t="inlineStr">
        <is>
          <t>4</t>
        </is>
      </c>
      <c r="B8" s="18" t="inlineStr">
        <is>
          <t>Turn on AutoFilter (Ctrl+Shift+L; Mac: ⌘+Shift+F). Show only visits with ArrivalMode = Ambulance and ESILevel 1 or 2. How many visits are visible?</t>
        </is>
      </c>
      <c r="C8" s="39" t="n">
        <v>137</v>
      </c>
      <c r="D8" s="40" t="inlineStr">
        <is>
          <t>1. Click any cell in the data and press Ctrl+Shift+L (Mac: ⌘+Shift+F), or choose Data → Filter.
2. Open the ArrivalMode arrow, untick (Select All), tick Ambulance, OK.
3. Open the ESILevel arrow, untick 3, 4 and 5 (or use Number Filters → Less Than Or Equal To → 2), OK.
4. The status bar reads 137 of 937 records found.</t>
        </is>
      </c>
      <c r="E8" cm="1" s="18">
        <f t="array" ref="E8">COUNTIFS(EDVisits!$F$2:$F$938,"Ambulance",EDVisits!$G$2:$G$938,"&lt;=2")</f>
        <v/>
      </c>
      <c r="F8" s="18" t="inlineStr">
        <is>
          <t>Filters on different columns combine with AND: a row stays visible only if it passes every column's filter. Ticking 1 and 2 inside one column is OR within that column. If the status bar shows Filter Mode instead of a count, select A2:A938 and read Count on the status bar.</t>
        </is>
      </c>
    </row>
    <row r="9" ht="141" customHeight="1">
      <c r="A9" s="17" t="inlineStr">
        <is>
          <t>5</t>
        </is>
      </c>
      <c r="B9" s="18" t="inlineStr">
        <is>
          <t>Clear the filters (Data → Clear). Use the Search box in the ChiefComplaint filter to show every visit whose complaint contains the word fever anywhere. How many visits are visible?</t>
        </is>
      </c>
      <c r="C9" s="39" t="n">
        <v>266</v>
      </c>
      <c r="D9" s="40" t="inlineStr">
        <is>
          <t>1. Data → Clear removes the filters from task 4 but keeps the filter arrows.
2. Open the ChiefComplaint arrow and type fever in the Search box.
3. The list shrinks to 3 items (Cough / Fever, Fever / Altered Mental Status, Painful Urination / Fever). Click OK.
4. The status bar reads 266 of 937 records found.</t>
        </is>
      </c>
      <c r="E9" cm="1" s="18">
        <f t="array" ref="E9">COUNTIF(EDVisits!$H$2:$H$938,"*fever*")</f>
        <v/>
      </c>
      <c r="F9" s="18" t="inlineStr">
        <is>
          <t>The Search box matches text anywhere in the value and ignores case, so it finds complaints that start, end, or contain fever. It works the same as Text Filters → Contains. Always glance at the ticked items before clicking OK, because a search can catch values you didn't intend.</t>
        </is>
      </c>
    </row>
    <row r="10" ht="156" customHeight="1">
      <c r="A10" s="17" t="inlineStr">
        <is>
          <t>6</t>
        </is>
      </c>
      <c r="B10" s="18" t="inlineStr">
        <is>
          <t>Clear the filters. Use Number Filters → Top 10 on DoorToProviderMin to show the 10 longest waits. What is the smallest DoorToProviderMin still visible (the 10th-longest wait), in minutes?</t>
        </is>
      </c>
      <c r="C10" s="39" t="n">
        <v>160</v>
      </c>
      <c r="D10" s="40" t="inlineStr">
        <is>
          <t>1. Data → Clear.
2. Open the DoorToProviderMin arrow → Number Filters → Top 10….
3. Leave Top, 10, Items and click OK.
4. Ten rows remain. Select L2:L938 and read Minimum on the status bar, which skips filtered-out rows (right-click the status bar to turn Minimum on, as in Lesson 1.1). Or sort the column Largest to Smallest and look at the last visible row. Either way it's 160 minutes.</t>
        </is>
      </c>
      <c r="E10" cm="1" s="18">
        <f t="array" ref="E10">LARGE(EDVisits!$L$2:$L$938,10)</f>
        <v/>
      </c>
      <c r="F10" s="18" t="inlineStr">
        <is>
          <t>Top 10 keeps the rows whose value is at least the 10th largest. Here the 10th-longest wait is 160 minutes, so exactly ten rows stay visible. If several rows had tied at the cut-off value, Excel would show all of them, so a Top 10 filter can show more than ten rows. The same dialog does Bottom 10 and Top 10 Percent.</t>
        </is>
      </c>
    </row>
    <row r="11" ht="156" customHeight="1">
      <c r="A11" s="17" t="inlineStr">
        <is>
          <t>7</t>
        </is>
      </c>
      <c r="B11" s="18" t="inlineStr">
        <is>
          <t>Clear the filters. Show only visits that arrived in November 2025 on a Saturday or Sunday. How many are there?</t>
        </is>
      </c>
      <c r="C11" s="39" t="n">
        <v>26</v>
      </c>
      <c r="D11" s="40" t="inlineStr">
        <is>
          <t>1. Data → Clear.
2. Open the ArrivalDateTime arrow. In the date tree, untick (Select All), expand 2025, tick November, OK. (Or use Date Filters → All Dates in the Period → November.)
3. The status bar shows 80 November visits. Now open the ArrivalDay arrow, keep only Sat and Sun, OK.
4. The status bar reads 26 of 937 records found.</t>
        </is>
      </c>
      <c r="E11" cm="1" s="18">
        <f t="array" ref="E11">SUMPRODUCT((MONTH(EDVisits!$C$2:$C$938)=11)*((EDVisits!$D$2:$D$938="Sat")+(EDVisits!$D$2:$D$938="Sun")))</f>
        <v/>
      </c>
      <c r="F11" s="18" t="inlineStr">
        <is>
          <t>Excel groups real dates in the filter list by year, month, and day, so you can tick a whole month at once. There's no built-in weekend date filter, which is why ED exports often include a day-of-week column like ArrivalDay. Avoid Between 11/1/2025 and 11/30/2025 here: the values include times, and 11/30/2025 means midnight at the start of November 30, so visits later that day would be left out.</t>
        </is>
      </c>
    </row>
    <row r="12" ht="126" customHeight="1">
      <c r="A12" s="17" t="inlineStr">
        <is>
          <t>8</t>
        </is>
      </c>
      <c r="B12" s="18" t="inlineStr">
        <is>
          <t>Clear the filters. Rows shaded orange are visits that triage flagged as a positive sepsis screen. Filter to the orange rows, then also keep only those with DoorToProviderMin greater than 30. How many flagged visits waited more than 30 minutes to see a provider?</t>
        </is>
      </c>
      <c r="C12" s="39" t="n">
        <v>29</v>
      </c>
      <c r="D12" s="40" t="inlineStr">
        <is>
          <t>1. Data → Clear.
2. Open any column's arrow (EDVisitID works) → Filter by Color → pick the orange swatch under Filter by Cell Color. 68 rows remain.
3. Open the DoorToProviderMin arrow → Number Filters → Greater Than… → type 30 → OK.
4. The status bar reads 29 of 937 records found.</t>
        </is>
      </c>
      <c r="E12" s="17" t="inlineStr">
        <is>
          <t>—</t>
        </is>
      </c>
      <c r="F12" s="18" t="inlineStr">
        <is>
          <t>Color is the only marker for the sepsis flag, so Filter by Color is the only way to isolate those 68 rows. No worksheet function can read a fill color, which is why this task has no live formula in the key. Combining a color filter on one column with a number filter on another is still AND logic. Sepsis care is time-critical, so these are the waits a quality team reviews first.</t>
        </is>
      </c>
    </row>
    <row r="13" ht="276" customHeight="1">
      <c r="A13" s="17" t="inlineStr">
        <is>
          <t>9</t>
        </is>
      </c>
      <c r="B13" s="18" t="inlineStr">
        <is>
          <t>Clear the filters. Use Advanced Filter to find visits that were ESI level 1 OR waited more than 120 minutes for a provider. Type the criteria range in Workspace!A4:B6. Then, with the Workspace sheet active, choose Data → Advanced and copy the results to Workspace!D4. How many visits does it copy? Don't count the header.</t>
        </is>
      </c>
      <c r="C13" s="39" t="n">
        <v>65</v>
      </c>
      <c r="D13" s="40" t="inlineStr">
        <is>
          <t>1. Data → Clear on EDVisits.
2. On Workspace, type the criteria range in A4:B6. Copy the two headers from row 1 of EDVisits:
   | Row | A | B |
   |:-:|---|---|
   | 4 | ESILevel | DoorToProviderMin |
   | 5 | 1 | |
   | 6 | | &gt;120 |
3. Still on Workspace, click D4, then choose Data → Advanced. Select Copy to another location. List range: EDVisits!$A$1:$M$938. Criteria range: Workspace!$A$4:$B$6. Copy to: Workspace!$D$4. OK.
4. The copy has a header row plus 65 visit rows.</t>
        </is>
      </c>
      <c r="E13" cm="1" s="18">
        <f t="array" ref="E13">SUMPRODUCT(--(((EDVisits!$G$2:$G$938=1)+(EDVisits!$L$2:$L$938&gt;120))&gt;0))</f>
        <v/>
      </c>
      <c r="F13" s="18" t="inlineStr">
        <is>
          <t>Each criteria row is one way to qualify. Row 5 catches the 23 ESI 1 visits and row 6 catches the 42 waits over 120 minutes. No ESI 1 patient waited that long, so the two groups don't overlap here. When they do, a visit that meets both rows is copied once, not twice. AutoFilter can't do this, because filters on two columns always combine with AND. The criteria headers must match the data headers exactly, so copy them from row 1 of EDVisits rather than typing them.</t>
        </is>
      </c>
    </row>
    <row r="14" ht="171" customHeight="1">
      <c r="A14" s="17" t="inlineStr">
        <is>
          <t>10</t>
        </is>
      </c>
      <c r="B14" s="18" t="inlineStr">
        <is>
          <t>Use Advanced Filter with Unique records only to copy a list of the different ChiefComplaint values to Workspace!S4. How many different chief complaints are there? Don't count the header.</t>
        </is>
      </c>
      <c r="C14" s="39" t="n">
        <v>28</v>
      </c>
      <c r="D14" s="40" t="inlineStr">
        <is>
          <t>1. On Workspace, click S4 and choose Data → Advanced.
2. Select Copy to another location. List range: EDVisits!$H$1:$H$938 (just that one column, header included).
3. Make the Criteria range box empty: Excel may fill in Workspace!$A$4:$B$6 from task 9, so delete it. Copy to: Workspace!$S$4. Tick Unique records only. OK.
4. The list has a header plus 28 complaints. Select them and read Count on the status bar.</t>
        </is>
      </c>
      <c r="E14" cm="1" s="18">
        <f t="array" ref="E14">SUMPRODUCT(1/COUNTIF(EDVisits!$H$2:$H$938,EDVisits!$H$2:$H$938))</f>
        <v/>
      </c>
      <c r="F14" s="18" t="inlineStr">
        <is>
          <t>With an empty criteria range every row qualifies, and Unique records only keeps the first copy of each distinct value. Because the list range is a single column, the duplicates are judged on that column alone. With the whole table as the list range, a row would only count as a duplicate if every column matched.</t>
        </is>
      </c>
    </row>
    <row r="15" ht="171" customHeight="1">
      <c r="A15" s="17" t="inlineStr">
        <is>
          <t>11</t>
        </is>
      </c>
      <c r="B15" s="18" t="inlineStr">
        <is>
          <t>Filter EDVisits to ESILevel 3 only, with no other filters on. In the yellow cell, write a formula that averages DoorToProviderMin for the visible rows only, rounded to 1 decimal place with ROUND. Leave the filter on for task 12.</t>
        </is>
      </c>
      <c r="C15" s="41" t="n">
        <v>51.7</v>
      </c>
      <c r="D15" s="40" t="inlineStr">
        <is>
          <t>=ROUND(SUBTOTAL(101,EDVisits!L2:L938),1)</t>
        </is>
      </c>
      <c r="E15" cm="1" s="42">
        <f t="array" ref="E15">ROUND(AVERAGEIFS(EDVisits!$L$2:$L$938,EDVisits!$G$2:$G$938,3),1)</f>
        <v/>
      </c>
      <c r="F15" s="18" t="inlineStr">
        <is>
          <t>SUBTOTAL skips rows hidden by a filter, so it looks only at the 399 ESI 3 visits. Function 1 would work too, because both 1 and 101 ignore filtered-out rows (101 also ignores rows you hide by hand). AVERAGE-type functions skip blank cells, so the 6 ESI 3 LWBS visits with no wait don't drag the average toward zero. Plain AVERAGE would ignore the filter and average all 922 waits. The key's live cell uses AVERAGEIFS (Lesson 2.5) so it works without a filter. If you clear the filter later, this check turns red, which shows SUBTOTAL responding to the filter. To keep the result, copy the cell and paste it back as a value.</t>
        </is>
      </c>
    </row>
    <row r="16" ht="141" customHeight="1">
      <c r="A16" s="17" t="inlineStr">
        <is>
          <t>12</t>
        </is>
      </c>
      <c r="B16" s="18" t="inlineStr">
        <is>
          <t>Keep the ESI 3 filter on. ShockIndex (HeartRate ÷ SystolicBP) shows #DIV/0! where no blood pressure was recorded, so =SUBTOTAL(104,EDVisits!K2:K938) returns #DIV/0!. In the yellow cell, write an AGGREGATE formula that returns the highest ShockIndex among the visible rows while ignoring the errors. Don't round it.</t>
        </is>
      </c>
      <c r="C16" s="43" t="n">
        <v>1.641025641025641</v>
      </c>
      <c r="D16" s="40" t="inlineStr">
        <is>
          <t>=AGGREGATE(4,7,EDVisits!K2:K938)</t>
        </is>
      </c>
      <c r="E16" cm="1" s="44">
        <f t="array" ref="E16">_xlfn.AGGREGATE(14,6,EDVisits!$K$2:$K$938/(EDVisits!$G$2:$G$938=3),1)</f>
        <v/>
      </c>
      <c r="F16" s="18" t="inlineStr">
        <is>
          <t>AGGREGATE(4, 7, range) means MAX (4) while ignoring hidden rows and error values (7). The 6 visible #DIV/0! cells come from LWBS patients whose blood pressure wasn't recorded. SUBTOTAL and MAX return an error as soon as the range holds one, while AGGREGATE steps over it. Option 6 would ignore errors but include the hidden rows, giving the highest shock index of the whole year. A shock index near or above 1.0 suggests the heart is racing to keep blood pressure up, which is why EDs watch it.</t>
        </is>
      </c>
    </row>
  </sheetData>
  <mergeCells count="1">
    <mergeCell ref="A2:F2"/>
  </mergeCells>
  <pageMargins left="0.75" right="0.75" top="1" bottom="1" header="0.5" footer="0.5"/>
  <pageSetup orientation="landscape" fitToHeight="0" fitToWidth="1"/>
</worksheet>
</file>

<file path=xl/worksheets/sheet7.xml><?xml version="1.0" encoding="utf-8"?>
<worksheet xmlns="http://schemas.openxmlformats.org/spreadsheetml/2006/main">
  <sheetPr>
    <tabColor rgb="00C00000"/>
    <outlinePr summaryBelow="1" summaryRight="1"/>
    <pageSetUpPr fitToPage="1"/>
  </sheetPr>
  <dimension ref="A1:F8"/>
  <sheetViews>
    <sheetView tabSelected="0" workbookViewId="0">
      <pane ySplit="4" topLeftCell="A5" activePane="bottomLeft" state="frozen"/>
      <selection pane="bottomLeft" activeCell="A1" sqref="A1"/>
    </sheetView>
  </sheetViews>
  <sheetFormatPr baseColWidth="8" defaultRowHeight="15"/>
  <cols>
    <col width="5" customWidth="1" min="1" max="1"/>
    <col width="55" customWidth="1" min="2" max="2"/>
    <col width="18" customWidth="1" min="3" max="3"/>
    <col width="48" customWidth="1" min="4" max="4"/>
    <col width="18" customWidth="1" min="5" max="5"/>
    <col width="62" customWidth="1" min="6" max="6"/>
  </cols>
  <sheetData>
    <row r="1">
      <c r="A1" s="36" t="inlineStr">
        <is>
          <t>🔑 Bonus Key — Lesson 1.6</t>
        </is>
      </c>
    </row>
    <row r="2" ht="32" customHeight="1">
      <c r="A2" s="37" t="inlineStr">
        <is>
          <t>Spoiler alert: try every task before reading this sheet. Column C is the value the Check column compares against. Column D is a sample solution, and column E recalculates a formula for it live, proving the answer.</t>
        </is>
      </c>
    </row>
    <row r="4">
      <c r="A4" s="38" t="inlineStr">
        <is>
          <t>#</t>
        </is>
      </c>
      <c r="B4" s="38" t="inlineStr">
        <is>
          <t>Task</t>
        </is>
      </c>
      <c r="C4" s="38" t="inlineStr">
        <is>
          <t>Answer</t>
        </is>
      </c>
      <c r="D4" s="38" t="inlineStr">
        <is>
          <t>Sample solution</t>
        </is>
      </c>
      <c r="E4" s="38" t="inlineStr">
        <is>
          <t>Live result</t>
        </is>
      </c>
      <c r="F4" s="38" t="inlineStr">
        <is>
          <t>Explanation</t>
        </is>
      </c>
    </row>
    <row r="5" ht="336" customHeight="1">
      <c r="A5" s="17" t="inlineStr">
        <is>
          <t>B1</t>
        </is>
      </c>
      <c r="B5" s="18" t="inlineStr">
        <is>
          <t>How many visits does your Advanced Filter copy to the Review sheet? Don't count the header row.</t>
        </is>
      </c>
      <c r="C5" s="39" t="n">
        <v>60</v>
      </c>
      <c r="D5" s="40" t="inlineStr">
        <is>
          <t>1. Data → Clear on EDVisits. Insert a sheet with the + button next to the sheet tabs (or press Shift+F11; on a Mac laptop, Fn+Shift+F11), then double-click its tab and rename it Review.
2. On Workspace, type this criteria range in U4:W6, to the right of your task 10 list. Copy the headers from row 1 of EDVisits:
   | Row | U | V | W |
   |:-:|---|---|---|
   | 4 | ESILevel | ArrivalMode | ArrivalHour |
   | 5 | 1 | | |
   | 6 | 2 | Ambulance | &gt;=18 |
3. Click Review!A1, then Data → Advanced → Copy to another location. List range EDVisits!$A$1:$M$938, Criteria range Workspace!$U$4:$W$6, Copy to Review!$A$1. OK.
4. Review shows a header plus 60 rows (rows 2–61).</t>
        </is>
      </c>
      <c r="E5" cm="1" s="18">
        <f t="array" ref="E5">SUMPRODUCT(((EDVisits!$G$2:$G$938=1)+(EDVisits!$G$2:$G$938=2)*(EDVisits!$F$2:$F$938="Ambulance")*(EDVisits!$E$2:$E$938&gt;=18)))</f>
        <v/>
      </c>
      <c r="F5" s="18" t="inlineStr">
        <is>
          <t>Row 5 of the criteria range (ESILevel = 1) catches all 23 ESI 1 visits. Row 6 is an AND: ESI 2 and Ambulance and ArrivalHour ≥ 18, which adds 37 more. The two rows together are OR. Excel only copies filtered data to the active sheet, so you must start Data → Advanced from the Review sheet, or Excel shows an error.</t>
        </is>
      </c>
    </row>
    <row r="6" ht="81" customHeight="1">
      <c r="A6" s="17" t="inlineStr">
        <is>
          <t>B2</t>
        </is>
      </c>
      <c r="B6" s="18" t="inlineStr">
        <is>
          <t>In the yellow cell, write a formula for the average DoorToProviderMin of the review visits, rounded to 1 decimal place.</t>
        </is>
      </c>
      <c r="C6" s="41" t="n">
        <v>15.8</v>
      </c>
      <c r="D6" s="40" t="inlineStr">
        <is>
          <t>=ROUND(AVERAGE(Review!L2:L61),1) (or =ROUND(AVERAGE(Review!L:L),1), because AVERAGE skips the text header).</t>
        </is>
      </c>
      <c r="E6" cm="1" s="42">
        <f t="array" ref="E6">ROUND(SUMPRODUCT(((EDVisits!$G$2:$G$938=1)+(EDVisits!$G$2:$G$938=2)*(EDVisits!$F$2:$F$938="Ambulance")*(EDVisits!$E$2:$E$938&gt;=18))*ISNUMBER(EDVisits!$L$2:$L$938),EDVisits!$L$2:$L$938)/SUMPRODUCT(((EDVisits!$G$2:$G$938=1)+(EDVisits!$G$2:$G$938=2)*(EDVisits!$F$2:$F$938="Ambulance")*(EDVisits!$E$2:$E$938&gt;=18))*ISNUMBER(EDVisits!$L$2:$L$938)),1)</f>
        <v/>
      </c>
      <c r="F6" s="18" t="inlineStr">
        <is>
          <t>The Advanced Filter result is ordinary cells, so regular functions work on it. AVERAGE ignores text and blanks, so even a whole-column reference gives the right answer. The copy is a snapshot: if EDVisits changes, run the Advanced Filter again.</t>
        </is>
      </c>
    </row>
    <row r="7" ht="171" customHeight="1">
      <c r="A7" s="17" t="inlineStr">
        <is>
          <t>B3</t>
        </is>
      </c>
      <c r="B7" s="18" t="inlineStr">
        <is>
          <t>The director lists dispositions by level of care. Create the custom list Admitted, Observation, Transferred, Discharged, Left AMA, LWBS. Sort the Review sheet by EDDisposition with that list, then by DoorToProviderMin Largest to Smallest. Which EDVisitID is in row 44 of the Review sheet?</t>
        </is>
      </c>
      <c r="C7" s="39" t="inlineStr">
        <is>
          <t>ED207754</t>
        </is>
      </c>
      <c r="D7" s="40" t="inlineStr">
        <is>
          <t>1. On Review, click any cell in the data → Data → Sort. Sort by EDDisposition, Order Custom List….
2. Select NEW LIST, type the six entries one per line (press Enter after each), click Add, then OK.
3. Add Level: Then by DoorToProviderMin, Largest to Smallest. OK.
4. Rows 2–43 hold the 42 Admitted visits, so row 44 is the first Observation visit: ED207754.</t>
        </is>
      </c>
      <c r="E7" cm="1" s="18">
        <f t="array" ref="E7">INDEX(_xlfn.SORTBY(_xlfn._xlws.FILTER(EDVisits!$A$2:$A$938,((EDVisits!$G$2:$G$938=1)+(EDVisits!$G$2:$G$938=2)*(EDVisits!$F$2:$F$938="Ambulance")*(EDVisits!$E$2:$E$938&gt;=18))),_xlfn.XMATCH(_xlfn._xlws.FILTER(EDVisits!$M$2:$M$938,((EDVisits!$G$2:$G$938=1)+(EDVisits!$G$2:$G$938=2)*(EDVisits!$F$2:$F$938="Ambulance")*(EDVisits!$E$2:$E$938&gt;=18))),{"Admitted","Observation","Transferred","Discharged","Left AMA","LWBS"}),1,_xlfn._xlws.FILTER(EDVisits!$L$2:$L$938,((EDVisits!$G$2:$G$938=1)+(EDVisits!$G$2:$G$938=2)*(EDVisits!$F$2:$F$938="Ambulance")*(EDVisits!$E$2:$E$938&gt;=18))),-1),43)</f>
        <v/>
      </c>
      <c r="F7" s="18" t="inlineStr">
        <is>
          <t>The review list holds 42 Admitted, 10 Observation and 8 Discharged visits, so the custom order puts Observation in rows 44–53. Row 44 is the Observation patient who waited longest (88 minutes). An A→Z sort would have put Discharged second, and a different visit in row 44. Every disposition appears in the list, even ones the review doesn't contain, so the list works on any month's data. Excel saves a custom list on your computer, so it's available in every workbook you open there.</t>
        </is>
      </c>
    </row>
    <row r="8" ht="111" customHeight="1">
      <c r="A8" s="17" t="inlineStr">
        <is>
          <t>B4</t>
        </is>
      </c>
      <c r="B8" s="18" t="inlineStr">
        <is>
          <t>CMS reports ED wait times as medians, because a few very long waits pull an average up. Filter the Review sheet to ESILevel 2 only. Then, in the yellow cell, write an AGGREGATE formula that returns the median DoorToProviderMin of the visible Review rows.</t>
        </is>
      </c>
      <c r="C8" s="39" t="n">
        <v>19</v>
      </c>
      <c r="D8" s="40" t="inlineStr">
        <is>
          <t>1. On Review, press Ctrl+Shift+L (Mac: ⌘+Shift+F) and filter ESILevel to 2.
2. In the yellow B4 cell on the Bonus sheet, type =AGGREGATE(12,5,Review!L2:L61). The Bonus sheet isn't filtered, so the filter can't hide your formula.
3. It returns 19.</t>
        </is>
      </c>
      <c r="E8" cm="1" s="18">
        <f t="array" ref="E8">MEDIAN(IF(((EDVisits!$G$2:$G$938=1)+(EDVisits!$G$2:$G$938=2)*(EDVisits!$F$2:$F$938="Ambulance")*(EDVisits!$E$2:$E$938&gt;=18))*(EDVisits!$G$2:$G$938=2)*ISNUMBER(EDVisits!$L$2:$L$938),EDVisits!$L$2:$L$938))</f>
        <v/>
      </c>
      <c r="F8" s="18" t="inlineStr">
        <is>
          <t>AGGREGATE(12, 5, range) is MEDIAN (12) that ignores hidden rows (5). SUBTOTAL can't do this, because its eleven functions don't include MEDIAN, LARGE, SMALL, or PERCENTILE. The 37 ESI 2 evening ambulance patients had a median wait of 19 minutes but a mean of 23.7, because a few long waits pull the mean up. That gap is why CMS reports medians.</t>
        </is>
      </c>
    </row>
  </sheetData>
  <mergeCells count="1">
    <mergeCell ref="A2:F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Learn Excel · Bluestone Health course</dc:creator>
  <dc:title>Lesson 1.6 — Sorting &amp; Filtering Data</dc:title>
  <dcterms:created xsi:type="dcterms:W3CDTF">2026-10-02T17:37:22Z</dcterms:created>
  <dcterms:modified xsi:type="dcterms:W3CDTF">2026-10-02T17:37:22Z</dcterms:modified>
</cp:coreProperties>
</file>